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Superseded Proposal (Ref)" sheetId="8" state="visible" r:id="rId10"/>
    <sheet name="Data" sheetId="9" state="hidden" r:id="rId11"/>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7" name="_xlnm.Print_Titles" vbProcedure="false">'Superseded Proposal (Ref)'!$1:$6</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<sst xmlns="http://schemas.openxmlformats.org/spreadsheetml/2006/main" count="2349" uniqueCount="1523">
  <si>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</si>
  <si>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</si>
  <si>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</si>
  <si>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</si>
  <si>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</si>
  <si>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</si>
  <si>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</si>
  <si>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</si>
  <si>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</si>
  <si>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</si>
  <si>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</si>
  <si>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</si>
  <si>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</si>
  <si>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</si>
  <si>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</si>
  <si>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</si>
  <si>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</si>
  <si>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</si>
  <si>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</si>
  <si>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</si>
  <si>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</si>
  <si>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</si>
  <si>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</si>
  <si>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</si>
  <si>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</si>
  <si>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</si>
  <si>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</si>
  <si>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</si>
  <si>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</si>
  <si>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</si>
  <si>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</si>
  <si>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</si>
  <si>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</si>
  <si>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</si>
  <si>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</si>
  <si>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</si>
  <si>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</si>
  <si>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</si>
  <si>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</si>
  <si>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</si>
  <si>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</si>
  <si>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</si>
  <si>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</si>
  <si>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</si>
  <si>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</si>
  <si>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</si>
  <si>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</si>
  <si>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</si>
  <si>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</si>
  <si>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</si>
  <si>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</si>
  <si>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establishment: the tank site is in the lower plateau, outside the D-18 boundary, so site staff, welfare, water, security, insurance endorsement, mobilisation, demobilisation and close-out are assessed for the site period derived from the Contractor's programme of 29-Sep-2026 ('Programme' tab, D1): mobilisation on 22-Aug-2026 to the end of demobilisation, the end being set by the external readiness milestone of 03-Dec-2026 and the tie-in, sequential testing, commissioning and demobilisation that follow; site staff are assessed role by role by phase ('Programme' tab, Section 4). Design resources are shared with the main Contract. See 'Build-Up' Item 1, 'Programme' Sections 3 to 5 and 'Build-Up Comparison' Section 3.</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</si>
  <si>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</si>
  <si>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</si>
  <si>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</si>
  <si>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</si>
  <si>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</si>
  <si>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</si>
  <si>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</si>
  <si>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</si>
  <si>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</si>
  <si>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</si>
  <si>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Quotation lapsed; scope split not yet confirmed in writing.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</si>
  <si>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</si>
  <si>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</si>
  <si>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</si>
  <si>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</si>
  <si>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</si>
  <si>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</si>
  <si>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supplier attendance that the tank quotation excludes; the supplier's price is supply and installation, so GRP erectors are not priced. Helpers and plant are assessed phase by phase on the 'Programme' tab, Section 4, from material availability and activity dependencies: one helper gang while only Tank 1 material is on site, a second only while two fronts run (22-Oct to 14-Nov-2026), the days the work needs rather than the days the staged deliveries stretched Tank 1 to. No plant schedule has been submitted. See 'Build-Up' Item 5, 'Programme' Sections 3 to 5 and 'Build-Up Comparison'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</si>
  <si>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</si>
  <si>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</si>
  <si>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</si>
  <si>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</si>
  <si>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</si>
  <si>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</si>
  <si>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</si>
  <si>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tank filled and the water re-used for the second, per the Engineer's (KEO) email of 30-Aug-2026; the Contractor's programme tests both tanks in parallel, which is shown beside this basis on the 'Programme' tab and not carried; the sequential test is fitted to the programme there, with Tank 1 tested early on a conditional method assumption and integrated commissioning after both tanks have passed and the tie-in is complete. A third-party factory acceptance test the Contractor is arranging is carried at nil (line 7.23) pending evidence that the Engineer requires it. Excludes the supplier's leak-test supervision (Item 6) and re-testing, which is the Contractor's obligation.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</si>
  <si>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</si>
  <si>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</si>
  <si>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Provisional allowance priced to the RFP specification (GRP or ductile iron above DN150, uPVC below, butterfly isolation valves). The Contractor's procurement tracker of 29-Sep-2026 shows HDPE main-line pipe, a gate valve and a motorised butterfly valve being procured; the substitutions are not approved and are shown for information after line 8.21. No quantities exist: the pipework shop drawings were returned Code C and no take-off has been received.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</si>
  <si>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</si>
  <si>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</si>
  <si>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</si>
  <si>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</si>
  <si>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</si>
  <si>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and unchanged. Assessed rates in column J are calculated on the 'Build-Up' tab; quantities are those submitted. Status 'Provisional' marks an item that depends on a confirmation still outstanding; the list is on the 'Build-Up Comparison' tab, Section 7. The Contractor's programme of 29-Sep-2026 is under the Engineer's approval and is not an agreed basis; the Contractor has been instructed and is on site, the instruction reference not having been supplied to the Cost Consultant.</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</si>
  <si>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</si>
  <si>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</si>
  <si>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on the 'Assessment' tab whose rate is assessed rather than quoted is built up here as quantity x rate, with its basis beside it. Item totals carry to column J of the 'Assessment' tab. Quantities shown in column D as links to the 'Programme' tab are derived from the Contractor's programme of 29-Sep-2026 on the basis carried there (Basis B); the same lines on the programme exactly as submitted (Basis A) are on the 'Programme' tab, Section 4. Rates marked 'assumption' are working assumptions pending the Contractor's substantiation. All amounts exclude VAT.</t>
  </si>
  <si>
    <t xml:space="preserve">ITEM 1 - SITE MOBILISATION, TEMPORARY FACILITIES AND WELFARE</t>
  </si>
  <si>
    <t xml:space="preserve">The tank site is in the lower plateau, outside the D-18 site boundary. Site management, welfare, water, security, insurance cover and close-out are therefore assessed as a separate establishment. Periods are taken from the Contractor's programme of 29-Sep-2026 ('Programme' tab, Section 3): site staff, transport and facilities for the site period D1, mobilisation to the end of demobilisation, with the post-demobilisation completion inspection priced at 1.22 and 1.23. The programme is under the Engineer's approval and is not an agreed basis; the end of the site period is set by the external readiness milestone of 03-Dec-2026 and the tie-in, sequential testing, commissioning and demobilisation that follow. Site staff are assessed role by role with their phase duties on the 'Programme' tab, Section 4. Design and engineering resources are shared with the main Contract (Item 2). Power is in Item 5. The tank supplier's price includes the installer's own mobilisation; the foundations and steel base frames are existing.</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</si>
  <si>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</si>
  <si>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</si>
  <si>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</si>
  <si>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</si>
  <si>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</si>
  <si>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Assessed market rate, Riyadh, Sep-2026 - assumption pending the Contractor's substantiation</t>
  </si>
  <si>
    <t xml:space="preserve">1.2</t>
  </si>
  <si>
    <t xml:space="preserve">HSE officer - dedicated</t>
  </si>
  <si>
    <t xml:space="preserve">Dedicated for the site period with the phase duties at 'Programme' tab, Section 4, role R2. Assessed market rate, Riyadh, Sep-2026 - assumption pending the Contractor's substantiation</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</si>
  <si>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</si>
  <si>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</si>
  <si>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Assessed market rate, Riyadh, Sep-2026 - assumption pending the Contractor's substantiation</t>
  </si>
  <si>
    <t xml:space="preserve">1.4</t>
  </si>
  <si>
    <t xml:space="preserve">Works foreman - dedicated</t>
  </si>
  <si>
    <t xml:space="preserve">Dedicated for the site period: the Contractor's own labour is on site from mobilisation to demobilisation ('Programme' tab, Section 4, role R4). Assessed market rate, Riyadh, Sep-2026 - assumption pending the Contractor's substantiation</t>
  </si>
  <si>
    <t xml:space="preserve">1.5</t>
  </si>
  <si>
    <t xml:space="preserve">Storekeeper / timekeeper</t>
  </si>
  <si>
    <t xml:space="preserve">From the first delivery to completion of testing only ('Programme' tab, Section 4, role R5).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</si>
  <si>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</si>
  <si>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</si>
  <si>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</si>
  <si>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</si>
  <si>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</si>
  <si>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</si>
  <si>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</si>
  <si>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</si>
  <si>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</si>
  <si>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</si>
  <si>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</si>
  <si>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</si>
  <si>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</si>
  <si>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</si>
  <si>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</si>
  <si>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</si>
  <si>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</si>
  <si>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</si>
  <si>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</si>
  <si>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</si>
  <si>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</si>
  <si>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</si>
  <si>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</si>
  <si>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</si>
  <si>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</si>
  <si>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</si>
  <si>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</si>
  <si>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</si>
  <si>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</si>
  <si>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</si>
  <si>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</si>
  <si>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</si>
  <si>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</si>
  <si>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</si>
  <si>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</si>
  <si>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</si>
  <si>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</si>
  <si>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</si>
  <si>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</si>
  <si>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</si>
  <si>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</si>
  <si>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</si>
  <si>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</si>
  <si>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</si>
  <si>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</si>
  <si>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</si>
  <si>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</si>
  <si>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</si>
  <si>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</si>
  <si>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</si>
  <si>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</si>
  <si>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</si>
  <si>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</si>
  <si>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</si>
  <si>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</si>
  <si>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</si>
  <si>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</si>
  <si>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</si>
  <si>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</si>
  <si>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</si>
  <si>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</si>
  <si>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</si>
  <si>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</si>
  <si>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</si>
  <si>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</si>
  <si>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</si>
  <si>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</si>
  <si>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</si>
  <si>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</si>
  <si>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</si>
  <si>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</si>
  <si>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</si>
  <si>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Assessed market rate, Riyadh, Sep-2026 - assumption pending the Contractor's substantiation</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</si>
  <si>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</si>
  <si>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</si>
  <si>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</si>
  <si>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</si>
  <si>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</si>
  <si>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</si>
  <si>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</si>
  <si>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</si>
  <si>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</si>
  <si>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</si>
  <si>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</si>
  <si>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</si>
  <si>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</si>
  <si>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</si>
  <si>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</si>
  <si>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</si>
  <si>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</si>
  <si>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</si>
  <si>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</si>
  <si>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</si>
  <si>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</si>
  <si>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</si>
  <si>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</si>
  <si>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</si>
  <si>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</si>
  <si>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</si>
  <si>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</si>
  <si>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</si>
  <si>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</si>
  <si>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</si>
  <si>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</si>
  <si>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</si>
  <si>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</si>
  <si>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</si>
  <si>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</si>
  <si>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</si>
  <si>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</si>
  <si>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</si>
  <si>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</si>
  <si>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</si>
  <si>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</si>
  <si>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</si>
  <si>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</si>
  <si>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</si>
  <si>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</si>
  <si>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</si>
  <si>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</si>
  <si>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</si>
  <si>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Covers what the tank supplier's offer (Stalwart technical offer SS-07-26-1516 dated 03-Aug-2026, with Al Mousa quotation S04488) requires the Contractor to provide free of cost: offloading and hoisting, scaffolding, storage and handling, power, and 4-6 helpers; plus general site support. The supplier's price under Item 6 is supply and installation, so GRP erectors are not priced here. Boundary: Item 1 is management, welfare and mobilisation; Item 5 is execution plant, access, power and supplier attendance. Helper and plant days are assessed phase by phase on the 'Programme' tab, Section 4: one helper gang while only Tank 1 material is on site, a second gang only while the two erection fronts run together (22-Oct to 14-Nov-2026), walls and bracing as one front, and the days the work needs rather than the days the staged deliveries stretched the Tank 1 activities to; that balance is shown there and not assessed. One boom truck and one telehandler are a provisional utilisation assumption pending the Contractor's plant schedule. Power: the works generator by day to completion of commissioning, the welfare generator continuously to the end of demobilisation. The Engineer's (KEO) email of 30-Aug-2026: suitable Site power is unlikely, so a generator is allowed; the Contractor's methodology uses forklifts, cranes and pallet jacks.</t>
  </si>
  <si>
    <t xml:space="preserve">5.1</t>
  </si>
  <si>
    <t xml:space="preserve">Boom truck (hiab) - offloading and erection support</t>
  </si>
  <si>
    <t xml:space="preserve">Hire days from the 'Programme' tab, Section 4 (plant rows): offloading days plus the wall, bracing, roof-support and roof lifting days of both tanks, one unit serving concurrent activities.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</si>
  <si>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</si>
  <si>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</si>
  <si>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Hire days from the 'Programme' tab, Section 4: offloading, base, wall and roof panel days of both tanks, one unit serving concurrent activities - a provisional utilisation assumption.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</si>
  <si>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</si>
  <si>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</si>
  <si>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</si>
  <si>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</si>
  <si>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</si>
  <si>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</si>
  <si>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</si>
  <si>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</si>
  <si>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</si>
  <si>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</si>
  <si>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</si>
  <si>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</si>
  <si>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</si>
  <si>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</si>
  <si>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</si>
  <si>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</si>
  <si>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</si>
  <si>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</si>
  <si>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</si>
  <si>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</si>
  <si>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</si>
  <si>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</si>
  <si>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</si>
  <si>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</si>
  <si>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Contractor's helpers - attendance to the tank supplier, offloading and panel handling, man-months from the resource matrix</t>
  </si>
  <si>
    <t xml:space="preserve">man-month</t>
  </si>
  <si>
    <t xml:space="preserve">Supplier condition: 4-6 non-skilled labourers for material handling. Helper-days assessed phase by phase on the 'Programme' tab, Section 4 (one gang on the single front, a second gang only while two fronts run, offloading days, mobilisation and dismantling attendance), converted at 26 working days a month. The Contractor's histogram helper row (85 man-weeks) is reconciled week by week there;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</si>
  <si>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</si>
  <si>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</si>
  <si>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</si>
  <si>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</si>
  <si>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</si>
  <si>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Not assessed: sealing tape and sealant application at every joint is the erection work in RFP Scope of Works work package 2, which the supplier performs under Item 6 with its own tools and consumables; the supplier's conditions ask the Contractor for offloading, scaffolding, storage, power and helpers only. Previously 2 tanks at SAR 1,500.00</t>
  </si>
  <si>
    <t xml:space="preserve">5.13</t>
  </si>
  <si>
    <t xml:space="preserve">Fixings, touch-up and miscellaneous consumables</t>
  </si>
  <si>
    <t xml:space="preserve">Not assessed: bolts, nuts, washers and tie rods are supplied by the tank supplier and fixed by its erection crew (Item 6); no Contractor fixing or touch-up work is identified. Previously 2 tanks at SAR 2,250.00</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</si>
  <si>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</si>
  <si>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</si>
  <si>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</si>
  <si>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</si>
  <si>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</si>
  <si>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</si>
  <si>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</si>
  <si>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</si>
  <si>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</si>
  <si>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</si>
  <si>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</si>
  <si>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</si>
  <si>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</si>
  <si>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The Engineer's (KEO) email of 30-Aug-2026: installation and testing will not be in parallel; one tank is filled and the water is re-used for the second by pumping across. This basis is carried. The Contractor's programme tests both tanks in parallel on 09 to 16-Dec-2026, which would need 7,548 m3 of water at once; that basis is shown beside this one on the 'Programme' tab, Section 4 (lines 7.1 to 7.5 and 7.22) and is not carried. The sequential test is fitted to the submitted dates ('Programme' tab, P18 to P22): Tank 1 is tested before the tie-in, within its programme float, on the conditional assumption of an Engineer-approved method with the water retained in Tank 1; the water is transferred once Tank 1 has passed and Tank 2 is ready; component checks follow the tie-in; integrated commissioning follows the last of the tie-in, the Tank 2 test and the component checks. Each test is 7 elapsed working days (fill or transfer, hold, inspection); the attendance priced is set out line by line. The Contractor arranges the water; the source is being checked by the Employer, so tankered supply is assumed. Excludes the leak-test supervision already in the supplier's price (Item 6) and any re-testing after an unsatisfactory test, which is the Contractor's obligation under RFP Scope of Works 5.1. External pipework testing is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</si>
  <si>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</si>
  <si>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</si>
  <si>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</si>
  <si>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</si>
  <si>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</si>
  <si>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The transfer P19 and the Tank 2 test P20 on the 'Programme' tab (7 days);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</si>
  <si>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</si>
  <si>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</si>
  <si>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</si>
  <si>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</si>
  <si>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</si>
  <si>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2 No. x 3 days, the transfer window P19 on the 'Programme' tab. Assessed market rate, Riyadh, Sep-2026 - assumption pending the Contractor's substantiation</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</si>
  <si>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</si>
  <si>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</si>
  <si>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</si>
  <si>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</si>
  <si>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</si>
  <si>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</si>
  <si>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</si>
  <si>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</si>
  <si>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</si>
  <si>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Disinfection and flushing labour,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</si>
  <si>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</si>
  <si>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</si>
  <si>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</si>
  <si>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</si>
  <si>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</si>
  <si>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</si>
  <si>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</si>
  <si>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</si>
  <si>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</si>
  <si>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</si>
  <si>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</si>
  <si>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</si>
  <si>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</si>
  <si>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</si>
  <si>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</si>
  <si>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</si>
  <si>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</si>
  <si>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</si>
  <si>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</si>
  <si>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</si>
  <si>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</si>
  <si>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</si>
  <si>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</si>
  <si>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</si>
  <si>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</si>
  <si>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</si>
  <si>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</si>
  <si>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</si>
  <si>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</si>
  <si>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</si>
  <si>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</si>
  <si>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</si>
  <si>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</si>
  <si>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</si>
  <si>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</si>
  <si>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</si>
  <si>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</si>
  <si>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</si>
  <si>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</si>
  <si>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</si>
  <si>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</si>
  <si>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</si>
  <si>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</si>
  <si>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instrumentation connecting the two tanks to the confirmed tie-in points (RFP Scope of Works, Piping Connections and General Piping Requirements); excluded from both tank suppliers' scopes. Priced to the RFP specification: uPVC Schedule 40 below DN150; GRP or ductile iron with internal lining above DN150; resilient-seated butterfly isolation valves, lever-operated up to DN200 and gearbox-operated above. The Contractor's procurement tracker of 29-Sep-2026 shows different materials being procured (HDPE main line, a gate valve and a motorised butterfly valve); those substitutions are not approved and are shown after line 8.21, not carried. No quantities exist: the pipework shop drawings were returned Code C and are being resubmitted, and no take-off has been received, so the quantities remain assessed from the RFP schematic and are provisional. Unit rates are supplied and installed, inclusive of labour.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</si>
  <si>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</si>
  <si>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</si>
  <si>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</si>
  <si>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</si>
  <si>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</si>
  <si>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</si>
  <si>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</si>
  <si>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</si>
  <si>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</si>
  <si>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</si>
  <si>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</si>
  <si>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</si>
  <si>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</si>
  <si>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</si>
  <si>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</si>
  <si>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</si>
  <si>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</si>
  <si>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</si>
  <si>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</si>
  <si>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</si>
  <si>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</si>
  <si>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</si>
  <si>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</si>
  <si>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</si>
  <si>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</si>
  <si>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</si>
  <si>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</si>
  <si>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</si>
  <si>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</si>
  <si>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</si>
  <si>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</si>
  <si>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</si>
  <si>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</si>
  <si>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</si>
  <si>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</si>
  <si>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</si>
  <si>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</si>
  <si>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</si>
  <si>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</si>
  <si>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</si>
  <si>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</si>
  <si>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</si>
  <si>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</si>
  <si>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</si>
  <si>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</si>
  <si>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</si>
  <si>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</si>
  <si>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</si>
  <si>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</si>
  <si>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</si>
  <si>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</si>
  <si>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</si>
  <si>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</si>
  <si>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</si>
  <si>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</si>
  <si>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</si>
  <si>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</si>
  <si>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</si>
  <si>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</si>
  <si>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</si>
  <si>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</si>
  <si>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</si>
  <si>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</si>
  <si>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</si>
  <si>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</si>
  <si>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</si>
  <si>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</si>
  <si>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</si>
  <si>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</si>
  <si>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</si>
  <si>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</si>
  <si>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</si>
  <si>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</si>
  <si>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</si>
  <si>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</si>
  <si>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the Contractor's baseline programme QC05958-BSL01THF-TSE.xer (data date 01-Jul-2026), issued 29-Sep-2026 with a cost S-curve, cash flow, manpower histogram and two-week look-ahead, is the source of every period on this tab, as set out on the 'Programme' tab. It is under the Engineer's approval (acceptable with minor comments, a procurement schedule required) and is not an agreed basis. Site period D1 on the 'Programme' tab, from mobilisation on 22-Aug-2026 to the end of demobilisation, its end set by the external readiness milestone of 03-Dec-2026 and the tie-in, sequential testing, commissioning and demobilisation that follow; labour, plant and site staff assessed phase by phase in the resource matrix on that tab. Supplier delivery terms are 7-9 weeks for the first tank and 12-14 weeks for the second, delivered duty paid from the UAE. The staged delivery is the Contractor's procurement risk: no standby, idle time or prolongation arising from it is assessed. Dates after the look-ahead data date of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</si>
  <si>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</si>
  <si>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</si>
  <si>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covers head-office overheads and profit only; every site-specific cost is priced in the items. The Contractor's cost loading of its programme spreads the proposal including that percentage across activities for progress measurement; it is an allocation, not evidence of cost, and is recorded on the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</si>
  <si>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</si>
  <si>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</si>
  <si>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</si>
  <si>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</si>
  <si>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</si>
  <si>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</si>
  <si>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</si>
  <si>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</si>
  <si>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</si>
  <si>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</si>
  <si>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</si>
  <si>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</si>
  <si>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</si>
  <si>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</si>
  <si>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</si>
  <si>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</si>
  <si>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</si>
  <si>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</si>
  <si>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</si>
  <si>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</si>
  <si>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</si>
  <si>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</si>
  <si>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</si>
  <si>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</si>
  <si>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</si>
  <si>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</si>
  <si>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</si>
  <si>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</si>
  <si>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</si>
  <si>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</si>
  <si>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</si>
  <si>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</si>
  <si>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</si>
  <si>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</si>
  <si>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</si>
  <si>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</si>
  <si>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</si>
  <si>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</si>
  <si>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</si>
  <si>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</si>
  <si>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</si>
  <si>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</si>
  <si>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</si>
  <si>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</si>
  <si>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</si>
  <si>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</si>
  <si>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</si>
  <si>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</si>
  <si>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</si>
  <si>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</si>
  <si>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</si>
  <si>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</si>
  <si>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</si>
  <si>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</si>
  <si>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</si>
  <si>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</si>
  <si>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</si>
  <si>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</si>
  <si>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</si>
  <si>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</si>
  <si>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</si>
  <si>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</si>
  <si>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</si>
  <si>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</si>
  <si>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</si>
  <si>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</si>
  <si>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</si>
  <si>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</si>
  <si>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</si>
  <si>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</si>
  <si>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</si>
  <si>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</si>
  <si>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</si>
  <si>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</si>
  <si>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</si>
  <si>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</si>
  <si>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</si>
  <si>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</si>
  <si>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</si>
  <si>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</si>
  <si>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</si>
  <si>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</si>
  <si>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</si>
  <si>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</si>
  <si>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</si>
  <si>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</si>
  <si>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</si>
  <si>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</si>
  <si>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</si>
  <si>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</si>
  <si>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</si>
  <si>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</si>
  <si>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</si>
  <si>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</si>
  <si>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</si>
  <si>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</si>
  <si>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</si>
  <si>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</si>
  <si>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</si>
  <si>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</si>
  <si>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</si>
  <si>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</si>
  <si>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</si>
  <si>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</si>
  <si>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</si>
  <si>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</si>
  <si>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</si>
  <si>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</si>
  <si>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</si>
  <si>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</si>
  <si>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</si>
  <si>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</si>
  <si>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</si>
  <si>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</si>
  <si>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</si>
  <si>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</si>
  <si>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</si>
  <si>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</si>
  <si>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</si>
  <si>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</si>
  <si>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</si>
  <si>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</si>
  <si>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</si>
  <si>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</si>
  <si>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</si>
  <si>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</si>
  <si>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</si>
  <si>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</si>
  <si>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</si>
  <si>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</si>
  <si>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</si>
  <si>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</si>
  <si>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</si>
  <si>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</si>
  <si>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</si>
  <si>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</si>
  <si>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</si>
  <si>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</si>
  <si>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</si>
  <si>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</si>
  <si>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</si>
  <si>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</si>
  <si>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</si>
  <si>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</si>
  <si>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</si>
  <si>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</si>
  <si>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</si>
  <si>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</si>
  <si>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</si>
  <si>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</si>
  <si>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</si>
  <si>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</si>
  <si>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</si>
  <si>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</si>
  <si>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</si>
  <si>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</si>
  <si>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</si>
  <si>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</si>
  <si>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</si>
  <si>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</si>
  <si>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</si>
  <si>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</si>
  <si>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</si>
  <si>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</si>
  <si>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</si>
  <si>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</si>
  <si>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</si>
  <si>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</si>
  <si>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</si>
  <si>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</si>
  <si>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</si>
  <si>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</si>
  <si>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</si>
  <si>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</si>
  <si>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</si>
  <si>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</si>
  <si>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</si>
  <si>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</si>
  <si>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</si>
  <si>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</si>
  <si>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</si>
  <si>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</si>
  <si>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</si>
  <si>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</si>
  <si>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</si>
  <si>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</si>
  <si>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</si>
  <si>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</si>
  <si>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</si>
  <si>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</si>
  <si>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</si>
  <si>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</si>
  <si>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</si>
  <si>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</si>
  <si>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</si>
  <si>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</si>
  <si>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</si>
  <si>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</si>
  <si>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</si>
  <si>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</si>
  <si>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</si>
  <si>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</si>
  <si>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</si>
  <si>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</si>
  <si>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</si>
  <si>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</si>
  <si>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</si>
  <si>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</si>
  <si>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</si>
  <si>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</si>
  <si>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</si>
  <si>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</si>
  <si>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</si>
  <si>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</si>
  <si>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</si>
  <si>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</si>
  <si>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</si>
  <si>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</si>
  <si>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</si>
  <si>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</si>
  <si>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</si>
  <si>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</si>
  <si>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</si>
  <si>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</si>
  <si>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</si>
  <si>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</si>
  <si>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</si>
  <si>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</si>
  <si>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</si>
  <si>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</si>
  <si>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</si>
  <si>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</si>
  <si>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</si>
  <si>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</si>
  <si>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</si>
  <si>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</si>
  <si>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to read this tab: Section 1 records the status of the programme and of the instruction. Section 2 is the working calendar taken from the programme file. Section 3 sets the programme's windows as submitted beside the basis carried, every date derived by formula from the activity data in Section 7. Section 4 is the resource matrix: for each phase, what material is on site, which activities are active and what they depend on, whose crew does the work, which Contractor helpers, plant and site staff are needed, and where each is priced. Section 5 lists each 'Build-Up' line whose quantity is taken from this tab, with the programme exactly as submitted beside the basis carried; the carried quantity is the one linked into column D of the 'Build-Up' tab. Section 6 links every 'Build-Up' line to its activities or site service.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</si>
  <si>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</si>
  <si>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</si>
  <si>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</si>
  <si>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Use made of the programme: (i) the site period is taken as submitted, its end being governed by the external milestone 'SAJCO Readiness for Tie-In Connections' on 03-Dec-2026 and the tie-in, sequential testing, commissioning and demobilisation that follow it; (ii) the erection windows are taken as submitted, and the labour and plant inside them are assessed on the days the work needs, the balance being time paced by the Contractor's staged deliveries (Section 4); (iii) testing is carried on the Engineer's basis of 30-Aug-2026 (one tank filled, water re-used for the second), fitted to the submitted dates. Slippage against the baseline shown in the look-ahead (Tank 1 base panels forecast to start 30-Sep-2026 against 12-Sep-2026 programmed) is delivery-driven and adds nothing to the assessment. Dates after the look-ahead data date of 28-Sep-2026 are forecasts, not actuals.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</si>
  <si>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</si>
  <si>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</si>
  <si>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</si>
  <si>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</si>
  <si>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</si>
  <si>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</si>
  <si>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</si>
  <si>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</si>
  <si>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</si>
  <si>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</si>
  <si>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t>
  </si>
  <si>
    <t xml:space="preserve">C3</t>
  </si>
  <si>
    <t xml:space="preserve">Calendar days per month used to convert periods to months</t>
  </si>
  <si>
    <t xml:space="preserve">Average month (365 days / 12); months are rounded to one decimal place</t>
  </si>
  <si>
    <t xml:space="preserve">3. PROGRAMME WINDOWS - A: AS SUBMITTED; B: AS CARRIED (SUBMITTED ERECTION DATES, SEQUENTIAL TESTING)</t>
  </si>
  <si>
    <t xml:space="preserve">Column A reproduces the submitted programme, including its parallel testing. Column B is the basis carried: the erection dates exactly as submitted - no activity is compressed - with the Engineer's sequential testing fitted after the tank each test needs, and demobilisation following completion. Both columns are derived by formula from the activity data in Section 6 and the calendar in Section 2. The resources that each window carries, and how much of each window is productive, are assessed in Section 4; the site period is set by the external readiness milestone of 03-Dec-2026 and the tie-in, testing, commissioning and demobilisation that follow it.</t>
  </si>
  <si>
    <t xml:space="preserve">Window</t>
  </si>
  <si>
    <t xml:space="preserve">Start - Basis A</t>
  </si>
  <si>
    <t xml:space="preserve">Finish - Basis A</t>
  </si>
  <si>
    <t xml:space="preserve">Days - A</t>
  </si>
  <si>
    <t xml:space="preserve">Start - Basis B</t>
  </si>
  <si>
    <t xml:space="preserve">Finish - Basis B</t>
  </si>
  <si>
    <t xml:space="preserve">Days - B</t>
  </si>
  <si>
    <t xml:space="preserve">Derivation and source</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</si>
  <si>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</si>
  <si>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</si>
  <si>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</si>
  <si>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</si>
  <si>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</si>
  <si>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</si>
  <si>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</si>
  <si>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</si>
  <si>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paced by the partial delivery QCD18TSEPRC1120 (08-Sep to 03-Oct-2026). The identical work on Tank 2 (QCD18TSECONT2INS1020) is programmed at 6 working days: the difference is the delivery-staging idle time deducted in Section 4, not a change of dates. The look-ahead forecasts the actual start as 30-Sep-2026, delivery-driven, the Contractor's risk</t>
  </si>
  <si>
    <t xml:space="preserve">P4</t>
  </si>
  <si>
    <t xml:space="preserve">Tank 1 - wall panels (working days)</t>
  </si>
  <si>
    <t xml:space="preserve">Activity QCD18TSECONT1INS1030, 06 to 24-Oct-2026, 16 working days, paced by the wall-panel delivery QCD18TSEPRC1170; Tank 2 walls (QCD18TSECONT2INS1030) 12 working days - difference deducted as idle in Section 4</t>
  </si>
  <si>
    <t xml:space="preserve">P5</t>
  </si>
  <si>
    <t xml:space="preserve">Tank 1 - bracing (working days)</t>
  </si>
  <si>
    <t xml:space="preserve">Activity QCD18TSECONT1INS1060, 08 to 29-Oct-2026, 19 working days; Tank 2 bracing (QCD18TSECONT2INS1060) 15 working days - difference deducted as idle in Section 4</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</si>
  <si>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</si>
  <si>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</si>
  <si>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</si>
  <si>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</si>
  <si>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</si>
  <si>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</si>
  <si>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</si>
  <si>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</si>
  <si>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</si>
  <si>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</si>
  <si>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</si>
  <si>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</si>
  <si>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</si>
  <si>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</si>
  <si>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</si>
  <si>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</si>
  <si>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</si>
  <si>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</si>
  <si>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</si>
  <si>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</si>
  <si>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</si>
  <si>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</si>
  <si>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</si>
  <si>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</si>
  <si>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</si>
  <si>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</si>
  <si>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</si>
  <si>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</si>
  <si>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</si>
  <si>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</si>
  <si>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on both bases;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</si>
  <si>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</si>
  <si>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</si>
  <si>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</si>
  <si>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</si>
  <si>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</si>
  <si>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Basis A only: activities QCD18TSECONTCT12050 and QCD18TSECONTCT22030, 09 to 16-Dec-2026, 7 working days each, in parallel, with two simultaneous fills. Not carried: the Engineer's (KEO) email of 30-Aug-2026 states that installation and testing will not be in parallel and that one tank is filled and the water re-used for the second. The sequential, task-based sequence carried is at P18 to P22</t>
  </si>
  <si>
    <t xml:space="preserve">P18</t>
  </si>
  <si>
    <t xml:space="preserve">Hydrostatic test - Tank 1, before the tie-in (working days)</t>
  </si>
  <si>
    <t xml:space="preserve">Carried basis: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</si>
  <si>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</si>
  <si>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</si>
  <si>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</si>
  <si>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</si>
  <si>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</si>
  <si>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the Tank 2 test sequence is 7 working days from the start of the transfer, the same as the programme's per-tank figure - 3 days of transfer (P19, attended by the transfer labour at 7.4), then 4 days here: top-up to test level (1), the 24-hour hold (1, unattended apart from level readings), inspection of joints and nozzles and records (2). Attendance as for P18. Assessed assumption</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</si>
  <si>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</si>
  <si>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</si>
  <si>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</si>
  <si>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</si>
  <si>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</si>
  <si>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3 working days (pump interface run, network demonstration, witnessed test and records) is an assessed assumption on the same footing as P21</t>
  </si>
  <si>
    <t xml:space="preserve">P22</t>
  </si>
  <si>
    <t xml:space="preserve">Completion of testing and commissioning - both tanks</t>
  </si>
  <si>
    <t xml:space="preserve">A: completion milestones QCD18TSEOMS1040 and 1050, 16-Dec-2026, with parallel testing. B: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</si>
  <si>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</si>
  <si>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</si>
  <si>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</si>
  <si>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</si>
  <si>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</si>
  <si>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</si>
  <si>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A: the programme as submitted, 22-Aug to 24-Dec-2026. B: the same erection dates with the sequential testing carried,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</si>
  <si>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</si>
  <si>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</si>
  <si>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</si>
  <si>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</si>
  <si>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</si>
  <si>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window is the same on both bases; the idle time inside it is deducted from labour and plant days in Section 4, not from monthly hire</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</si>
  <si>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</si>
  <si>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</si>
  <si>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</si>
  <si>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</si>
  <si>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</si>
  <si>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</si>
  <si>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Sensitivity - not carried; same durations and dependencies as P18 to P23</t>
  </si>
  <si>
    <t xml:space="preserve">S2</t>
  </si>
  <si>
    <t xml:space="preserve">Carried basis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</si>
  <si>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</si>
  <si>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</si>
  <si>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</si>
  <si>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carried: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</si>
  <si>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</si>
  <si>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</si>
  <si>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carried into the assessment</t>
  </si>
  <si>
    <t xml:space="preserve">4. RESOURCE MATRIX - LABOUR, PLANT AND SITE STAFF BY PHASE, RECONCILED TO THE 'BUILD-UP' TAB</t>
  </si>
  <si>
    <t xml:space="preserve">Supplier scope. Item 6 is supply and installation: the Contractor's own Item 6 description reads 'Supply and install', and the adopted Al Mousa quotation S04488 with the Stalwart technical offer SS-07-26-1516 dated 03-Aug-2026 is recorded in the previous revision as including erection, with the Contractor to provide offloading and hoisting, scaffolding, storage and handling, power and 4 to 6 non-skilled labourers for material handling (the exact clause is to be quoted from the proposal pack, which is not attached to this revision; Professional Bayan's PB/Q/0086/2026 was ex-works supply only and is not adopted). GRP erectors are therefore within Item 6 and are not priced below. The histogram does not identify employers or trades; its skilled row (peak 23, 136 man-weeks) is either the supplier's erectors, already in Item 6, or Contractor labour whose role is unexplained - neither reading supports a further allowance until the Contractor answers ('Build-Up Comparison' tab, Section 7, item 10). Material availability. Only Tank 1 material is on site from the first partial delivery (08-Sep-2026 programmed; first batch received 28-Sep-2026, remaining base material due 05-Oct-2026 per the look-ahead) until the Tank 2 kit arrives (20 to 21-Oct-2026 per the tracker; 20-Oct to 04-Nov-2026 programmed): one erection front only, one helper gang. The Tank 2 workfront opens on 22-Oct-2026 and the two fronts run together until the Tank 1 nozzles finish on 14-Nov-2026; in that interval a second gang is needed only for the Tank 2 panel handling, the Tank 1 front by then being in bracing, roof and nozzle stages. Walls and bracing are one front: the programme links bracing to the walls (start 2 working days after, finish 5 working days after), tier by tier, so they carry one gang, not two. Helper-days are assessed on the productive days each task needs (the Contractor's own Tank 2 durations for identical work, the only productivity evidence, crew size assumed equal - an assumption); the balance on the submitted Tank 1 durations is time paced by the staged deliveries, to which the programme links the base and wall activities finish-to-finish (QCD18TSECONT1INS1020 to QCD18TSEPRC1120, QCD18TSECONT1INS1030 to QCD18TSEPRC1170), shown but not assessed: the Contractor's procurement risk, and its quantum unproven (crew size and redeployment unknown). Conversions: helpers to man-months at 26 working days a month (6-day week); plant by the working day on site, mobilisation within the day rate; monthly hire at 30.4 calendar days a month, rounded to one decimal place, or rounded up where the hire is by the month. Nothing priced elsewhere is repeated: dismantling labour and crane (Item 3), pipework, level transmitters and their fixing (Item 8), transfer, disinfection and commissioning labour (Item 7), site clean-up (1.16).</t>
  </si>
  <si>
    <t xml:space="preserve">Phase, material availability, activities and window as submitted</t>
  </si>
  <si>
    <t xml:space="preserve">Working days - submitted</t>
  </si>
  <si>
    <t xml:space="preserve">Working days - task-based</t>
  </si>
  <si>
    <t xml:space="preserve">Helpers (No.)</t>
  </si>
  <si>
    <t xml:space="preserve">Helper-days assessed</t>
  </si>
  <si>
    <t xml:space="preserve">Helper-days delivery-paced, not assessed</t>
  </si>
  <si>
    <t xml:space="preserve">Boom truck days</t>
  </si>
  <si>
    <t xml:space="preserve">Telehandler days</t>
  </si>
  <si>
    <t xml:space="preserve">Predecessors, crew ownership, source or assessed assumption; priced item</t>
  </si>
  <si>
    <t xml:space="preserve">M1</t>
  </si>
  <si>
    <t xml:space="preserve">Mobilisation and site establishment, 22 to 26-Aug-2026 (P1)</t>
  </si>
  <si>
    <t xml:space="preserve">2 helpers setting out cabins, storage and barriers - assessed assumption; the flatbed trips are 'Build-Up' 1.14. Priced at 5.10</t>
  </si>
  <si>
    <t xml:space="preserve">M2</t>
  </si>
  <si>
    <t xml:space="preserve">Dismantling of the existing tank, 27-Aug to 12-Sep-2026 (P2) - attendance only</t>
  </si>
  <si>
    <t xml:space="preserve">Dismantling, segregation and loading, with the crane, are within the Al Mousa quotation S04647 (Item 3). The histogram shows 8 to 14 on site in these weeks (skilled 5 to 9): the dismantling crew. 2 Contractor helpers for barricading, permits and housekeeping - assessed assumption. Priced at 5.10</t>
  </si>
  <si>
    <t xml:space="preserve">M3</t>
  </si>
  <si>
    <t xml:space="preserve">Receipt and offloading of deliveries - Tank 1 base panels 08-Sep to 03-Oct (partial, batches), Tank 1 wall panels 04 to 19-Oct, Tank 2 complete kit 20-Oct to 04-Nov, pipes and valves 08 to 11-Nov-2026</t>
  </si>
  <si>
    <t xml:space="preserve">Delivered duty paid, offloaded by the Contractor (supplier condition). 18 truck-arrival days is an assessed assumption (4 + 4 + 8 + 2; the programme gives windows, the tracker gives batch dates, neither gives loads) - to be replaced by the delivery schedule and material inspection requests. Boom truck offloads, telehandler moves pallets to storage, 4 helpers additional to the erection gang on those days. Priced at 5.10, 5.1, 5.2</t>
  </si>
  <si>
    <t xml:space="preserve">M4</t>
  </si>
  <si>
    <t xml:space="preserve">SINGLE FRONT - Tank 1 base panels, 12-Sep to 05-Oct-2026 (P3), only Tank 1 material on site; predecessors: base-panel delivery (start 3 days after, finish 2 days after it), dismantling and survey complete</t>
  </si>
  <si>
    <t xml:space="preserve">Supplier's erection crew (Item 6). One Contractor gang of 5 helpers feeding panels - the supplier's 4 to 6 taken at the midpoint for a single front, an assessed assumption (the quotation does not say per front or in total). Task-based days: the Contractor's Tank 2 base, 6 working days, for the same 34 m x 30 m base (about 1,020 panels if 1 m x 1 m - assumption). The 14-day balance is paced by the batched delivery (finish-to-finish link) and is not assessed. Telehandler moves pallets into the footprint; no lifting plant for base panels. Priced at 5.10, 5.2</t>
  </si>
  <si>
    <t xml:space="preserve">M5</t>
  </si>
  <si>
    <t xml:space="preserve">SINGLE FRONT - Tank 1 wall panels and bracing, 06 to 29-Oct-2026 (P4 and P5, one front: bracing follows the walls tier by tier); predecessors: base complete, wall-panel delivery (walls start 2 days after, finish 4 days after it)</t>
  </si>
  <si>
    <t xml:space="preserve">Supplier's crew erects walls and bracing together (Item 6); one gang of 5 helpers serves both tasks - not 5 plus 3. Task-based days: the Tank 2 walls-and-bracing envelope, 17 working days (29-Oct to 17-Nov-2026); the 4-day balance is delivery-paced and not assessed. Telehandler on the wall-panel days (12); boom truck on alternate days for the upper tiers and the long galvanised bracing members - assessed assumption. Priced at 5.10, 5.1, 5.2</t>
  </si>
  <si>
    <t xml:space="preserve">M6</t>
  </si>
  <si>
    <t xml:space="preserve">Tank 1 roof supports and ladder, 31-Oct to 04-Nov-2026 (P6); predecessor: bracing complete</t>
  </si>
  <si>
    <t xml:space="preserve">TWO FRONTS from 22-Oct-2026: the Tank 1 gang reduces to 3 helpers (supports and ladder, little panel handling) while the second gang works the Tank 2 base and walls (M10, M11). Boom truck daily, telehandler half the days. Priced at 5.10, 5.1, 5.2</t>
  </si>
  <si>
    <t xml:space="preserve">M7</t>
  </si>
  <si>
    <t xml:space="preserve">Tank 1 roof panels, 05 to 11-Nov-2026 (P7); predecessor: roof supports complete</t>
  </si>
  <si>
    <t xml:space="preserve">Tank 1 gang back to 5 helpers for the roof panels (about 1,020 panels lifted to 4 m); boom truck and telehandler daily, concurrent with the Tank 2 walls (M11) - see the plant concurrency deduction. Priced at 5.10, 5.1, 5.2</t>
  </si>
  <si>
    <t xml:space="preserve">M8</t>
  </si>
  <si>
    <t xml:space="preserve">Tank 1 nozzles and internals, 09 to 14-Nov-2026 (within P8); predecessor: roof panels (finish 2 days after)</t>
  </si>
  <si>
    <t xml:space="preserve">2 helpers attending the supplier's fitters. The level transmitter and the pipes and fittings in P8 are Item 8 supplied-and-installed lines and carry no helpers here. Priced at 5.10</t>
  </si>
  <si>
    <t xml:space="preserve">M9</t>
  </si>
  <si>
    <t xml:space="preserve">TWO FRONTS - Tank 2 base panels, 22 to 28-Oct-2026 (P9); predecessors: Tank 2 kit delivery (start 2 days after its start), foundation survey</t>
  </si>
  <si>
    <t xml:space="preserve">Second front opens when the Tank 2 kit is on site (20 to 21-Oct-2026 per the tracker). A second gang of 5 is needed because the Tank 1 gang is still on the Tank 1 walls and bracing (M5, to 29-Oct); a shared gang would hold Tank 2 until 30-Oct and, with the same durations, push the Tank 2 mechanical completion past the 03-Dec-2026 readiness date. The Contractor's own helper row shows 12 in this week. Priced at 5.10, 5.2</t>
  </si>
  <si>
    <t xml:space="preserve">M10</t>
  </si>
  <si>
    <t xml:space="preserve">Tank 2 wall panels and bracing, 29-Oct to 17-Nov-2026 (P10 and P11, one front)</t>
  </si>
  <si>
    <t xml:space="preserve">As M5 for the second gang; submitted durations are the task-based durations. Priced at 5.10, 5.1, 5.2</t>
  </si>
  <si>
    <t xml:space="preserve">M11</t>
  </si>
  <si>
    <t xml:space="preserve">Tank 2 roof supports and ladder, 18 to 23-Nov-2026 (P12) - single front again from 15-Nov-2026</t>
  </si>
  <si>
    <t xml:space="preserve">As M6; the Tank 1 front is finished, so one gang remains. Priced at 5.10, 5.1, 5.2</t>
  </si>
  <si>
    <t xml:space="preserve">M12</t>
  </si>
  <si>
    <t xml:space="preserve">Tank 2 roof panels, 24 to 30-Nov-2026 (P13)</t>
  </si>
  <si>
    <t xml:space="preserve">As M7. Priced at 5.10, 5.1, 5.2</t>
  </si>
  <si>
    <t xml:space="preserve">M13</t>
  </si>
  <si>
    <t xml:space="preserve">Tank 2 nozzles and internals, 28-Nov to 02-Dec-2026 (within P14)</t>
  </si>
  <si>
    <t xml:space="preserve">As M8. Priced at 5.10</t>
  </si>
  <si>
    <t xml:space="preserve">M14</t>
  </si>
  <si>
    <t xml:space="preserve">Tie-in, hydrostatic tests, transfer and commissioning, 17-Nov to 15-Dec-2026 (P16, P18 to P21b)</t>
  </si>
  <si>
    <t xml:space="preserve">No helpers here: the transfer labour (7.4), disinfection and flushing labour (7.8), commissioning staff (7.13 to 7.17) and pipework testing crew (8.18) are priced in Items 7 and 8; the tie-in is 8.14 and 8.15. Tankers, pump and hoses are 7.1 to 7.3 and 7.22</t>
  </si>
  <si>
    <t xml:space="preserve">M15</t>
  </si>
  <si>
    <t xml:space="preserve">Demobilisation and site clean-up, 16 to 23-Dec-2026 (P23)</t>
  </si>
  <si>
    <t xml:space="preserve">Site clean-up, 4 No. x 3 days, is 'Build-Up' line 1.16 and the flatbed trips are 1.15; nothing is assessed here</t>
  </si>
  <si>
    <t xml:space="preserve">Helper-days assessed, task-based - carried to 'Build-Up' line 5.10 (net figure)</t>
  </si>
  <si>
    <t xml:space="preserve">M1 to M13; nothing in this total depends on the delivery-paced balance</t>
  </si>
  <si>
    <t xml:space="preserve">Helper-days on the submitted Tank 1 durations beyond the task-based days - delivery-paced, not assessed</t>
  </si>
  <si>
    <t xml:space="preserve">M4 and M5: paced by the batched Tank 1 deliveries to which the programme links those activities finish-to-finish. Shown so that the Contractor's position can be seen; the quantum of any waiting cost is unproven (crew size and redeployment unknown) and it is the Contractor's procurement risk. Sensitivity: at the helper rate it is worth the man-months shown at S5 in Section 5</t>
  </si>
  <si>
    <t xml:space="preserve">Helper-days on the submitted durations, gross</t>
  </si>
  <si>
    <t xml:space="preserve">Task-based plus delivery-paced: what the helpers would cost if every submitted day were paid</t>
  </si>
  <si>
    <t xml:space="preserve">Helper man-months at 26 working days - 'Build-Up' line 5.10 quantity</t>
  </si>
  <si>
    <t xml:space="preserve">Conversion for the man-month rate on the 'Build-Up' tab (6-day week, 26 working days a month)</t>
  </si>
  <si>
    <t xml:space="preserve">Histogram as submitted: helpers 85 man-weeks (510 man-days), skilled 136 man-weeks, peak 35 in the week ending 30-Oct-2026</t>
  </si>
  <si>
    <t xml:space="preserve">The Contractor's own helper row, for comparison only; it was not used to set any figure above. The week-by-week reconciliation follows the plant rows. Employers and trades are not identified in the histogram</t>
  </si>
  <si>
    <t xml:space="preserve">Plant-days summed by activity, M3 to M14</t>
  </si>
  <si>
    <t xml:space="preserve">Before allowing for one unit serving two concurrent activities</t>
  </si>
  <si>
    <t xml:space="preserve">Less days on which one unit serves two concurrent activities</t>
  </si>
  <si>
    <t xml:space="preserve">Counted on dated activity-days: the task-based days placed at the start of each submitted Tank 1 window, Tank 2 as programmed, the boom truck on alternate wall and bracing days, delivery days spread through their windows (4, 4, 8 and 2). One unit of each is a provisional utilisation assumption, not a capacity finding: panel dimensions and count, panels per pallet, lift weights, unloading cycle times and hours are not in any document received. The concurrent demand is 11 working days (Tank 1 roof with Tank 2 walls, 29-Oct to 11-Nov-2026); a second telehandler for those days is the sensitivity S6 in Section 5. To be confirmed by the Contractor's plant schedule and method statement</t>
  </si>
  <si>
    <t xml:space="preserve">Plant hire days assessed - carried to 'Build-Up' lines 5.1 (boom truck) and 5.2 (telehandler)</t>
  </si>
  <si>
    <t xml:space="preserve">Day-rate hire on working days on site; idle days between staged deliveries are not paid</t>
  </si>
  <si>
    <t xml:space="preserve">Week ending (histogram weeks) - activities in the assessed allocation</t>
  </si>
  <si>
    <t xml:space="preserve">Histogram helpers (No.)</t>
  </si>
  <si>
    <t xml:space="preserve">Histogram helper-days</t>
  </si>
  <si>
    <t xml:space="preserve">Assessed helper-days</t>
  </si>
  <si>
    <t xml:space="preserve">Assessed helpers a day</t>
  </si>
  <si>
    <t xml:space="preserve">W1</t>
  </si>
  <si>
    <t xml:space="preserve">28-Aug-2026 - Mobilisation; dismantling</t>
  </si>
  <si>
    <t xml:space="preserve">W2</t>
  </si>
  <si>
    <t xml:space="preserve">04-Sep-2026 - Dismantling (Item 3 crew); attendance</t>
  </si>
  <si>
    <t xml:space="preserve">W3</t>
  </si>
  <si>
    <t xml:space="preserve">11-Sep-2026 - Dismantling; survey; first base-panel batch</t>
  </si>
  <si>
    <t xml:space="preserve">W4</t>
  </si>
  <si>
    <t xml:space="preserve">18-Sep-2026 - Single front: Tank 1 base panels as batches arrive</t>
  </si>
  <si>
    <t xml:space="preserve">W5</t>
  </si>
  <si>
    <t xml:space="preserve">25-Sep-2026 - Single front: Tank 1 base (actual first batch 28-Sep-2026)</t>
  </si>
  <si>
    <t xml:space="preserve">W6</t>
  </si>
  <si>
    <t xml:space="preserve">02-Oct-2026 - Single front: Tank 1 base</t>
  </si>
  <si>
    <t xml:space="preserve">W7</t>
  </si>
  <si>
    <t xml:space="preserve">09-Oct-2026 - Single front: Tank 1 walls and bracing; wall-panel batches</t>
  </si>
  <si>
    <t xml:space="preserve">W8</t>
  </si>
  <si>
    <t xml:space="preserve">16-Oct-2026 - Single front: Tank 1 walls and bracing</t>
  </si>
  <si>
    <t xml:space="preserve">W9</t>
  </si>
  <si>
    <t xml:space="preserve">23-Oct-2026 - Tank 2 kit arrives 20-Oct; second front opens 22-Oct</t>
  </si>
  <si>
    <t xml:space="preserve">W10</t>
  </si>
  <si>
    <t xml:space="preserve">30-Oct-2026 - Two fronts: Tank 1 bracing and roof supports; Tank 2 base and walls</t>
  </si>
  <si>
    <t xml:space="preserve">W11</t>
  </si>
  <si>
    <t xml:space="preserve">06-Nov-2026 - Two fronts: Tank 1 roof; Tank 2 walls and bracing</t>
  </si>
  <si>
    <t xml:space="preserve">W12</t>
  </si>
  <si>
    <t xml:space="preserve">13-Nov-2026 - Two fronts: Tank 1 roof and nozzles; Tank 2 bracing; pipe delivery</t>
  </si>
  <si>
    <t xml:space="preserve">W13</t>
  </si>
  <si>
    <t xml:space="preserve">20-Nov-2026 - Single front: Tank 2 roof supports</t>
  </si>
  <si>
    <t xml:space="preserve">W14</t>
  </si>
  <si>
    <t xml:space="preserve">27-Nov-2026 - Single front: Tank 2 roof panels; Tank 1 test</t>
  </si>
  <si>
    <t xml:space="preserve">W15</t>
  </si>
  <si>
    <t xml:space="preserve">04-Dec-2026 - Tank 2 nozzles; readiness milestone</t>
  </si>
  <si>
    <t xml:space="preserve">W16</t>
  </si>
  <si>
    <t xml:space="preserve">11-Dec-2026 - Tie-in; transfer; Tank 2 test</t>
  </si>
  <si>
    <t xml:space="preserve">Totals - histogram helper row against the assessed allocation</t>
  </si>
  <si>
    <t xml:space="preserve">The assessed column places the M1 to M13 helper-days on dates by the rule stated at the plant concurrency row (task-based days at the start of each window) and sums them by histogram week; its total equals the carried helper-days above. Differences by week: the Contractor's row is lower in the single-front Tank 1 weeks than the task-based allocation (its gang was working at the pace of its own deliveries) and carries helpers for the dismantling weeks whose work is within the Item 3 quotation</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</si>
  <si>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</si>
  <si>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</si>
  <si>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</si>
  <si>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</si>
  <si>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</si>
  <si>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</si>
  <si>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</si>
  <si>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</si>
  <si>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</si>
  <si>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</si>
  <si>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</si>
  <si>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</si>
  <si>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</si>
  <si>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</si>
  <si>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</si>
  <si>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</si>
  <si>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</si>
  <si>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</si>
  <si>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</si>
  <si>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</si>
  <si>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</si>
  <si>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'BUILD-UP' LINES WHOSE QUANTITY IS TAKEN FROM THIS TAB - THE PROGRAMME AS SUBMITTED BESIDE THE BASIS CARRIED</t>
  </si>
  <si>
    <t xml:space="preserve">Rates are those on the 'Build-Up' tab. Column G (carried) is linked into column D of the 'Build-Up' tab; column F (Basis A) shows what the same rate would give on the programme exactly as submitted - parallel testing, every submitted day paid, the Contractor's own helper histogram - and is a comparison, not a target. Lines not listed here are unchanged from the previous revision because the programme does not inform them (mobilisation trips, design resources, scaffold area, consumables and pipework quantities); their basis is stated on the 'Build-Up' tab.</t>
  </si>
  <si>
    <t xml:space="preserve">'Build-Up' line</t>
  </si>
  <si>
    <t xml:space="preserve">Qty - previous revision</t>
  </si>
  <si>
    <t xml:space="preserve">Qty - Basis A</t>
  </si>
  <si>
    <t xml:space="preserve">Qty - Basis B (carried)</t>
  </si>
  <si>
    <t xml:space="preserve">Amount - Basis A (SAR)</t>
  </si>
  <si>
    <t xml:space="preserve">Amount - Basis B (SAR)</t>
  </si>
  <si>
    <t xml:space="preserve">Derivation</t>
  </si>
  <si>
    <t xml:space="preserve">Section 4, role R1: phase coverage stated there. A: the whole submitted site period</t>
  </si>
  <si>
    <t xml:space="preserve">Section 4, role R2: phase coverage stated there. A: the whole submitted site period</t>
  </si>
  <si>
    <t xml:space="preserve">Section 4, role R3: phase coverage stated there. A: the whole submitted site period</t>
  </si>
  <si>
    <t xml:space="preserve">Section 4, role R4: phase coverage stated there. A: the whole submitted site period</t>
  </si>
  <si>
    <t xml:space="preserve">Section 4, role R5: phase coverage stated there. A: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</si>
  <si>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</si>
  <si>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</si>
  <si>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</si>
  <si>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</si>
  <si>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</si>
  <si>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plant hire days. A: the same activity-days on the submitted durations without the idle deduction (44 days)</t>
  </si>
  <si>
    <t xml:space="preserve">As 5.1 (62 days on A)</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</si>
  <si>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</si>
  <si>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</si>
  <si>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</si>
  <si>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</si>
  <si>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</si>
  <si>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helper man-months: task-based helper-days M1 to M13 at 26 working days a month; the delivery-paced balance is not included. A: the Contractor's histogram helper row, 85 man-weeks, converted at 26 working days a month</t>
  </si>
  <si>
    <t xml:space="preserve">Erection window D3 in months</t>
  </si>
  <si>
    <t xml:space="preserve">2 No. lighting towers for the erection window D3 in months</t>
  </si>
  <si>
    <t xml:space="preserve">A: both tanks filled at once for parallel testing (7,548 m3, RFP Scope of Works section 1). Carried: one fill, water re-used for the second tank - the Engineer's (KEO) email of 30-Aug-2026</t>
  </si>
  <si>
    <t xml:space="preserve">Transfer pump: not needed on A; carried for the transfer P19 and the Tank 2 test P20 (top-up and hold)</t>
  </si>
  <si>
    <t xml:space="preserve">Transfer hoses: not needed on A; 1 week carried</t>
  </si>
  <si>
    <t xml:space="preserve">Transfer labour: not needed on A; 2 No. for the transfer P19</t>
  </si>
  <si>
    <t xml:space="preserve">Top-up at 10 per cent of the water filled: of two fills on A, of one fill carried (retention in Tank 1 between P18 and P19)</t>
  </si>
  <si>
    <t xml:space="preserve">A: the programmed 7-working-day parallel testing and commissioning activity plus one day at the hold. Carried: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</si>
  <si>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 for the 7-day programmed activity; carried for the component checks P21 and the integrated commissioning P21b (6 days)</t>
  </si>
  <si>
    <t xml:space="preserve">Tie-in P16 working days plus one day of integrated commissioning, both bases</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</si>
  <si>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</si>
  <si>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</si>
  <si>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</si>
  <si>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</si>
  <si>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</si>
  <si>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</si>
  <si>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</si>
  <si>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</si>
  <si>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</si>
  <si>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</si>
  <si>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The carried basis is the 'Assessment' tab total (row 21). Basis A replaces the listed lines with their Basis A amounts and applies the Overhead and Profit once, as on the 'Assessment' tab</t>
  </si>
  <si>
    <t xml:space="preserve">Sensitivities on the resource matrix - not carried</t>
  </si>
  <si>
    <t xml:space="preserve">S5</t>
  </si>
  <si>
    <t xml:space="preserve">Delivery-paced helper-days on the submitted Tank 1 durations (Section 4, not assessed), if they were paid</t>
  </si>
  <si>
    <t xml:space="preserve">Excluding Overhead and Profit. Would apply only if the Employer were to bear the Contractor's staged-delivery pace, which the assessment does not accept</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</si>
  <si>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</si>
  <si>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</si>
  <si>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</si>
  <si>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</si>
  <si>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</si>
  <si>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</si>
  <si>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</si>
  <si>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</si>
  <si>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</si>
  <si>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</si>
  <si>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</si>
  <si>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</si>
  <si>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</si>
  <si>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</si>
  <si>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</si>
  <si>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</si>
  <si>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</si>
  <si>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</si>
  <si>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</si>
  <si>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</si>
  <si>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</si>
  <si>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</si>
  <si>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</si>
  <si>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</si>
  <si>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</si>
  <si>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</si>
  <si>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</si>
  <si>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</si>
  <si>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</si>
  <si>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</si>
  <si>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</si>
  <si>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</si>
  <si>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</si>
  <si>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</si>
  <si>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</si>
  <si>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</si>
  <si>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</si>
  <si>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</si>
  <si>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</si>
  <si>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</si>
  <si>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</si>
  <si>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</si>
  <si>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</si>
  <si>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</si>
  <si>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</si>
  <si>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</si>
  <si>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</si>
  <si>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</si>
  <si>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</si>
  <si>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</si>
  <si>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</si>
  <si>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</si>
  <si>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demobilisation helpers are not in 5.10 (matrix M15)</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</si>
  <si>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</si>
  <si>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</si>
  <si>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</si>
  <si>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</si>
  <si>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</si>
  <si>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</si>
  <si>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</si>
  <si>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</si>
  <si>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</si>
  <si>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</si>
  <si>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</si>
  <si>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</si>
  <si>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</si>
  <si>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</si>
  <si>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</si>
  <si>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</si>
  <si>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</si>
  <si>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</si>
  <si>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</si>
  <si>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</si>
  <si>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</si>
  <si>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</si>
  <si>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</si>
  <si>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</si>
  <si>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</si>
  <si>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</si>
  <si>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</si>
  <si>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</si>
  <si>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</si>
  <si>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</si>
  <si>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</si>
  <si>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</si>
  <si>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</si>
  <si>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</si>
  <si>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</si>
  <si>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</si>
  <si>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</si>
  <si>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</si>
  <si>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</si>
  <si>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</si>
  <si>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t>
  </si>
  <si>
    <t xml:space="preserve">No - haulage is 4.1; the crane and crew are within the quotation, so no plant or helpers at Item 5 (matrix M2 carries attendance only)</t>
  </si>
  <si>
    <t xml:space="preserve">c.1 to c.14</t>
  </si>
  <si>
    <t xml:space="preserve">First-principles check of 3.1 - information only</t>
  </si>
  <si>
    <t xml:space="preserve">Not carried</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</si>
  <si>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</si>
  <si>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</si>
  <si>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</si>
  <si>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</si>
  <si>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Matrix M3, M5 to M7, M10 to M12 (plant rows)</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</si>
  <si>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</si>
  <si>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</si>
  <si>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</si>
  <si>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Matrix M3 to M5, M7, M9 to M12 (plant rows)</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</si>
  <si>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</si>
  <si>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</si>
  <si>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</si>
  <si>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</si>
  <si>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</si>
  <si>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</si>
  <si>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</si>
  <si>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</si>
  <si>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</si>
  <si>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</si>
  <si>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</si>
  <si>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</si>
  <si>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</si>
  <si>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</si>
  <si>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</si>
  <si>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</si>
  <si>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</si>
  <si>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</si>
  <si>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</si>
  <si>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</si>
  <si>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Matrix M1 to M13</t>
  </si>
  <si>
    <t xml:space="preserve">Contractor's helpers: mobilisation, dismantling attendance, offloading, panel handling on one front then two, nozzle attendance</t>
  </si>
  <si>
    <t xml:space="preserve">Attendance: task-based helper-days converted to man-months</t>
  </si>
  <si>
    <t xml:space="preserve">No - erectors within Item 6; transfer, disinfection and testing labour in Item 7;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</si>
  <si>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</si>
  <si>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</si>
  <si>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</si>
  <si>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</si>
  <si>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(RFP Scope of Works work package 2)</t>
  </si>
  <si>
    <t xml:space="preserve">Sealant application - supplier erection work</t>
  </si>
  <si>
    <t xml:space="preserve">Not assessed</t>
  </si>
  <si>
    <t xml:space="preserve">Yes - Item 6</t>
  </si>
  <si>
    <t xml:space="preserve">Within Item 6</t>
  </si>
  <si>
    <t xml:space="preserve">Fixings and touch-up - supplier supply and erection</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</si>
  <si>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</si>
  <si>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</si>
  <si>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</si>
  <si>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</si>
  <si>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</si>
  <si>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</si>
  <si>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</si>
  <si>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</si>
  <si>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t>
  </si>
  <si>
    <t xml:space="preserve">No - the Contractor provides offloading, scaffold, storage, power and helpers (Items 1 and 5)</t>
  </si>
  <si>
    <t xml:space="preserve">P18 (17 to 24-Nov-2026 carried)</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</si>
  <si>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</si>
  <si>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</si>
  <si>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</si>
  <si>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</si>
  <si>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</si>
  <si>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</si>
  <si>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</si>
  <si>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Pump attendance during the transfer; Contractor labour</t>
  </si>
  <si>
    <t xml:space="preserve">Attendance: 2 No. for the transfer days</t>
  </si>
  <si>
    <t xml:space="preserve">No - not in 5.10 (matrix M14)</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</si>
  <si>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</si>
  <si>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</si>
  <si>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</si>
  <si>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</si>
  <si>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</si>
  <si>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</si>
  <si>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</si>
  <si>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</si>
  <si>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</si>
  <si>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Disinfection and flushing labour; Contractor</t>
  </si>
  <si>
    <t xml:space="preserve">Attendance: 2 No. x 10 days</t>
  </si>
  <si>
    <t xml:space="preserve">No - not in 5.10</t>
  </si>
  <si>
    <t xml:space="preserve">After P20</t>
  </si>
  <si>
    <t xml:space="preserve">Dechlorination for discharge; Contractor</t>
  </si>
  <si>
    <t xml:space="preserve">Quantity: 400 kg</t>
  </si>
  <si>
    <t xml:space="preserve">Sampling and transport; Contractor</t>
  </si>
  <si>
    <t xml:space="preserve">Quantity: 2 tanks</t>
  </si>
  <si>
    <t xml:space="preserve">Laboratory water-quality tests; third-party laboratory</t>
  </si>
  <si>
    <t xml:space="preserve">Quantity: 6 samples</t>
  </si>
  <si>
    <t xml:space="preserve">No - excluded by both tank suppliers</t>
  </si>
  <si>
    <t xml:space="preserve">None - no third-party inspection in the RFP</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</si>
  <si>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</si>
  <si>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</si>
  <si>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</si>
  <si>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</si>
  <si>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</si>
  <si>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</si>
  <si>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</si>
  <si>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</si>
  <si>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</si>
  <si>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</si>
  <si>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</si>
  <si>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</si>
  <si>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</si>
  <si>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</si>
  <si>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</si>
  <si>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</si>
  <si>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</si>
  <si>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</si>
  <si>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</si>
  <si>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</si>
  <si>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</si>
  <si>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</si>
  <si>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</si>
  <si>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</si>
  <si>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</si>
  <si>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</si>
  <si>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</si>
  <si>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</si>
  <si>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</si>
  <si>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</si>
  <si>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</si>
  <si>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</si>
  <si>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</si>
  <si>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</si>
  <si>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</si>
  <si>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</si>
  <si>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</si>
  <si>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</si>
  <si>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</si>
  <si>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</si>
  <si>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</si>
  <si>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</si>
  <si>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</si>
  <si>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</si>
  <si>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</si>
  <si>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</si>
  <si>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</si>
  <si>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</si>
  <si>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</si>
  <si>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</si>
  <si>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</si>
  <si>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</si>
  <si>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</si>
  <si>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</si>
  <si>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</si>
  <si>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</si>
  <si>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excluded from the tank supply</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</si>
  <si>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</si>
  <si>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</si>
  <si>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</si>
  <si>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</si>
  <si>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</si>
  <si>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</si>
  <si>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</si>
  <si>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</si>
  <si>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</si>
  <si>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</si>
  <si>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</si>
  <si>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</si>
  <si>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</si>
  <si>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</si>
  <si>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</si>
  <si>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</si>
  <si>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</si>
  <si>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</si>
  <si>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</si>
  <si>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</si>
  <si>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</si>
  <si>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</si>
  <si>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</si>
  <si>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</si>
  <si>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</si>
  <si>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</si>
  <si>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</si>
  <si>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</si>
  <si>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</si>
  <si>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</si>
  <si>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</si>
  <si>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7. ACTIVITY DATA - QC05958-BSL01THF-TSE.xer, PROJECT 'QC05958-BSL01THF-TSE-FINAL', DATA DATE 01-JUL-2026</t>
  </si>
  <si>
    <t xml:space="preserve">All 81 activities as submitted, sorted by start date; names and sections are reproduced as they appear in the programme file. Working days are on each activity's own calendar: '6-day, 10 h' is the calendar 'QIC 6 Days 10 Hrs', '5-day, 10 h' is 'QIC 5 Days 10 Hrs' and '7-day, 10 h' is 'QIC 7 Days 10 Hrs' or 'QIC 7D/10H'. 'Cost loaded' is the Contractor's allocation of its proposal of SAR 8,110,296.62 including 5 per cent Overhead and Profit to the single cost resource 'TSE Tank Cost'; it is an allocation for progress measurement, not evidence of the cost of any activity.</t>
  </si>
  <si>
    <t xml:space="preserve">Activity (as named in the programme)</t>
  </si>
  <si>
    <t xml:space="preserve">Start</t>
  </si>
  <si>
    <t xml:space="preserve">Finish</t>
  </si>
  <si>
    <t xml:space="preserve">Working days</t>
  </si>
  <si>
    <t xml:space="preserve">Cost loaded (SAR, incl. 5% OHP)</t>
  </si>
  <si>
    <t xml:space="preserve">Activity ID</t>
  </si>
  <si>
    <t xml:space="preserve">Calendar</t>
  </si>
  <si>
    <t xml:space="preserve">Total float (days)</t>
  </si>
  <si>
    <t xml:space="preserve">GRP TSE Tank - Supplier identifcation</t>
  </si>
  <si>
    <t xml:space="preserve">QCD18TSEMOB1020</t>
  </si>
  <si>
    <t xml:space="preserve">6-day, 10 h</t>
  </si>
  <si>
    <t xml:space="preserve">MOBILIZATION / Supplier Identification &amp; Evaluation</t>
  </si>
  <si>
    <t xml:space="preserve">Project Start</t>
  </si>
  <si>
    <t xml:space="preserve">QCD18TSEMS1000</t>
  </si>
  <si>
    <t xml:space="preserve">7-day, 10 h</t>
  </si>
  <si>
    <t xml:space="preserve">MILESTONES</t>
  </si>
  <si>
    <t xml:space="preserve">Issuance of Engineer's Instruction</t>
  </si>
  <si>
    <t xml:space="preserve">QCD18TSEOMS1020</t>
  </si>
  <si>
    <t xml:space="preserve">MILESTONES / Other Milestones</t>
  </si>
  <si>
    <t xml:space="preserve">GRP TSE Tank - Supplier Evaluation &amp; Proposal</t>
  </si>
  <si>
    <t xml:space="preserve">QCD18TSEMOB1030</t>
  </si>
  <si>
    <t xml:space="preserve">Preparation &amp; Submission of MOS - TSE Tank Dismantling</t>
  </si>
  <si>
    <t xml:space="preserve">QCD18TSEMOB1040</t>
  </si>
  <si>
    <t xml:space="preserve">MOBILIZATION / Project Deliverables &amp; Submittals / Project Submittals / Submissions of Submittals</t>
  </si>
  <si>
    <t xml:space="preserve">Preparation &amp; Submission of MOS - TSE Tank Installation</t>
  </si>
  <si>
    <t xml:space="preserve">QCD18TSEMOB1050</t>
  </si>
  <si>
    <t xml:space="preserve">Approval of MOS - TSE Tank Dismantling</t>
  </si>
  <si>
    <t xml:space="preserve">QCD18TSEMOB1060</t>
  </si>
  <si>
    <t xml:space="preserve">5-day, 10 h</t>
  </si>
  <si>
    <t xml:space="preserve">MOBILIZATION / Project Deliverables &amp; Submittals / Project Submittals / Approval of Submittals</t>
  </si>
  <si>
    <t xml:space="preserve">Approval of MOS - TSE Tank Installation</t>
  </si>
  <si>
    <t xml:space="preserve">QCD18TSEMOB1070</t>
  </si>
  <si>
    <t xml:space="preserve">Preparation &amp; Submission of Health &amp; Safety Managment Plan</t>
  </si>
  <si>
    <t xml:space="preserve">QCD18TSEMOB1080</t>
  </si>
  <si>
    <t xml:space="preserve">MOBILIZATION / Project Deliverables &amp; Submittals / Project Deliverables / Submissions of Deliverables</t>
  </si>
  <si>
    <t xml:space="preserve">Preparation &amp; Submission of CEMP Plan</t>
  </si>
  <si>
    <t xml:space="preserve">QCD18TSEMOB1090</t>
  </si>
  <si>
    <t xml:space="preserve">Preparation &amp; Submission of Project Execution Plan</t>
  </si>
  <si>
    <t xml:space="preserve">QCD18TSEMOB1100</t>
  </si>
  <si>
    <t xml:space="preserve">Preparation &amp; Submission of Project Mobilization Plan</t>
  </si>
  <si>
    <t xml:space="preserve">QCD18TSEMOB1110</t>
  </si>
  <si>
    <t xml:space="preserve">Preparation &amp; Submission of Project Quality Plan</t>
  </si>
  <si>
    <t xml:space="preserve">QCD18TSEMOB1120</t>
  </si>
  <si>
    <t xml:space="preserve">Preparation &amp; Submission of MOS - Pipe Installation</t>
  </si>
  <si>
    <t xml:space="preserve">QCD18TSEMOB1130</t>
  </si>
  <si>
    <t xml:space="preserve">Preparation &amp; Submission of MOS - Tie in Connections</t>
  </si>
  <si>
    <t xml:space="preserve">QCD18TSEMOB1140</t>
  </si>
  <si>
    <t xml:space="preserve">Preparation &amp; Submission of ITP</t>
  </si>
  <si>
    <t xml:space="preserve">QCD18TSEMOB1150</t>
  </si>
  <si>
    <t xml:space="preserve">Vendor/Supplier PQD Submission</t>
  </si>
  <si>
    <t xml:space="preserve">QCD18TSEPRC1020</t>
  </si>
  <si>
    <t xml:space="preserve">PROCUREMENT / Long Lead Item / GRP Material / Vendor / Supplier Approval</t>
  </si>
  <si>
    <t xml:space="preserve">Submisison of MAR</t>
  </si>
  <si>
    <t xml:space="preserve">QCD18TSEPRC1030</t>
  </si>
  <si>
    <t xml:space="preserve">PROCUREMENT / Long Lead Item / GRP Material / Material Approval</t>
  </si>
  <si>
    <t xml:space="preserve">Preparation &amp; Submission of Vendor/Supplier PQD</t>
  </si>
  <si>
    <t xml:space="preserve">QCD18TSEPRC1090</t>
  </si>
  <si>
    <t xml:space="preserve">PROCUREMENT / Short Lead Item / Pipes,Valves &amp; Accessories / Vendor / Supplier Approval</t>
  </si>
  <si>
    <t xml:space="preserve">Vendor/Supplier PQD Approval</t>
  </si>
  <si>
    <t xml:space="preserve">QCD18TSEPRC1040</t>
  </si>
  <si>
    <t xml:space="preserve">Approval of MAR</t>
  </si>
  <si>
    <t xml:space="preserve">QCD18TSEPRC1050</t>
  </si>
  <si>
    <t xml:space="preserve">Issuance of Purchase Order</t>
  </si>
  <si>
    <t xml:space="preserve">QCD18TSEPRC1060</t>
  </si>
  <si>
    <t xml:space="preserve">PROCUREMENT / Long Lead Item / GRP Material / PO Issuance</t>
  </si>
  <si>
    <t xml:space="preserve">Approval of Vendor/Supplier PQD</t>
  </si>
  <si>
    <t xml:space="preserve">QCD18TSEPRC1100</t>
  </si>
  <si>
    <t xml:space="preserve">Submission of Shop Drawings</t>
  </si>
  <si>
    <t xml:space="preserve">QCD18TSEENG1240</t>
  </si>
  <si>
    <t xml:space="preserve">ENGINEERING / Shop Drawings</t>
  </si>
  <si>
    <t xml:space="preserve">Manufacturing of Material</t>
  </si>
  <si>
    <t xml:space="preserve">QCD18TSEPRC1070</t>
  </si>
  <si>
    <t xml:space="preserve">PROCUREMENT / Long Lead Item / GRP Material / Manufacturing &amp; Delivery / TSE Tank-02</t>
  </si>
  <si>
    <t xml:space="preserve">QCD18TSEPRC1080</t>
  </si>
  <si>
    <t xml:space="preserve">PROCUREMENT / Long Lead Item / GRP Material / Manufacturing &amp; Delivery / TSE Tank-01</t>
  </si>
  <si>
    <t xml:space="preserve">Approval of Project Quality Plan</t>
  </si>
  <si>
    <t xml:space="preserve">QCD18TSEMOB1160</t>
  </si>
  <si>
    <t xml:space="preserve">MOBILIZATION / Project Deliverables &amp; Submittals / Project Deliverables / Aprroval of Deliverables</t>
  </si>
  <si>
    <t xml:space="preserve">Approval of Shop Drawings</t>
  </si>
  <si>
    <t xml:space="preserve">QCD18TSEENG1250</t>
  </si>
  <si>
    <t xml:space="preserve">Approval of Health &amp; Safety Managment Plan</t>
  </si>
  <si>
    <t xml:space="preserve">QCD18TSEMOB1170</t>
  </si>
  <si>
    <t xml:space="preserve">Approval of Project Execution Plan</t>
  </si>
  <si>
    <t xml:space="preserve">QCD18TSEMOB1180</t>
  </si>
  <si>
    <t xml:space="preserve">Approval of Project Mobilization Plan</t>
  </si>
  <si>
    <t xml:space="preserve">QCD18TSEMOB1190</t>
  </si>
  <si>
    <t xml:space="preserve">Approval of MOS - Pipe Installation</t>
  </si>
  <si>
    <t xml:space="preserve">QCD18TSEMOB1200</t>
  </si>
  <si>
    <t xml:space="preserve">Approval of MOS - Tie in Connections</t>
  </si>
  <si>
    <t xml:space="preserve">QCD18TSEMOB1210</t>
  </si>
  <si>
    <t xml:space="preserve">Approval of CEMP Plan</t>
  </si>
  <si>
    <t xml:space="preserve">QCD18TSEMOB1220</t>
  </si>
  <si>
    <t xml:space="preserve">Approval of ITP</t>
  </si>
  <si>
    <t xml:space="preserve">QCD18TSEMOB1230</t>
  </si>
  <si>
    <t xml:space="preserve">Mobilization of Manpower &amp; Equipment</t>
  </si>
  <si>
    <t xml:space="preserve">QCD18TSEMOB1240</t>
  </si>
  <si>
    <t xml:space="preserve">MOBILIZATION / Manpower &amp; Equipment Mobilization</t>
  </si>
  <si>
    <t xml:space="preserve">Site Establishment &amp; Temporaray Welfare Facilities</t>
  </si>
  <si>
    <t xml:space="preserve">QCD18TSEMOB1250</t>
  </si>
  <si>
    <t xml:space="preserve">MOBILIZATION / Welfare Facilities</t>
  </si>
  <si>
    <t xml:space="preserve">QCD18TSEPRC1110</t>
  </si>
  <si>
    <t xml:space="preserve">PROCUREMENT / Short Lead Item / Pipes,Valves &amp; Accessories / Material Approval</t>
  </si>
  <si>
    <t xml:space="preserve">Removal &amp; Disposal of Roof panels &amp; Structure</t>
  </si>
  <si>
    <t xml:space="preserve">QCD18TSECONDSM1020</t>
  </si>
  <si>
    <t xml:space="preserve">CONSTRUCTION / Dismantling of Existing TSE Tank</t>
  </si>
  <si>
    <t xml:space="preserve">Removal &amp; Disposal of Side Panels</t>
  </si>
  <si>
    <t xml:space="preserve">QCD18TSECONDSM1040</t>
  </si>
  <si>
    <t xml:space="preserve">QCD18TSEPRC1140</t>
  </si>
  <si>
    <t xml:space="preserve">Removal &amp; Disposal of base Panels</t>
  </si>
  <si>
    <t xml:space="preserve">QCD18TSECONDSM1030</t>
  </si>
  <si>
    <t xml:space="preserve">Survey &amp; Leveling verfication for the existing foundation</t>
  </si>
  <si>
    <t xml:space="preserve">QCD18TSECONSL1050</t>
  </si>
  <si>
    <t xml:space="preserve">CONSTRUCTION / Survey &amp; Levelling (Existing Foundations)</t>
  </si>
  <si>
    <t xml:space="preserve">Partial Delivery of material TSE Tank - 01  (Base panels)</t>
  </si>
  <si>
    <t xml:space="preserve">QCD18TSEPRC1120</t>
  </si>
  <si>
    <t xml:space="preserve">Submission of MIR for TSE Tank - 01  (Base panels)</t>
  </si>
  <si>
    <t xml:space="preserve">QCD18TSEPRC1130</t>
  </si>
  <si>
    <t xml:space="preserve">PROCUREMENT / Long Lead Item / GRP Material / Material Inspection / TSE Tank-01</t>
  </si>
  <si>
    <t xml:space="preserve">Approval of MIR for TSE Tank - 01  (Base panels)</t>
  </si>
  <si>
    <t xml:space="preserve">QCD18TSEPRC1150</t>
  </si>
  <si>
    <t xml:space="preserve">Installation of Base Panels with Internal lining &amp; food grade joint sealent</t>
  </si>
  <si>
    <t xml:space="preserve">QCD18TSECONT1INS1020</t>
  </si>
  <si>
    <t xml:space="preserve">CONSTRUCTION / TSE Tank -01 / Tank Installation</t>
  </si>
  <si>
    <t xml:space="preserve">QCD18TSEPRC1160</t>
  </si>
  <si>
    <t xml:space="preserve">PROCUREMENT / Short Lead Item / Pipes,Valves &amp; Accessories / PO Issuance</t>
  </si>
  <si>
    <t xml:space="preserve">Manufacturing of Material &amp; delivery</t>
  </si>
  <si>
    <t xml:space="preserve">QCD18TSEPRC1190</t>
  </si>
  <si>
    <t xml:space="preserve">PROCUREMENT / Short Lead Item / Pipes,Valves &amp; Accessories / Manufacturing &amp; Delivery</t>
  </si>
  <si>
    <t xml:space="preserve">Partial Delievery of wall panels + associated material TSE Tank - 01</t>
  </si>
  <si>
    <t xml:space="preserve">QCD18TSEPRC1170</t>
  </si>
  <si>
    <t xml:space="preserve">Submission of MIR of wall panels + associated material TSE Tank - 01</t>
  </si>
  <si>
    <t xml:space="preserve">QCD18TSEPRC1180</t>
  </si>
  <si>
    <t xml:space="preserve">Approval of MIR of wall panels + associated material TSE Tank - 01</t>
  </si>
  <si>
    <t xml:space="preserve">QCD18TSEPRC1200</t>
  </si>
  <si>
    <t xml:space="preserve">Installation of Wall Panels with Internal lining &amp; food grade joint sealent</t>
  </si>
  <si>
    <t xml:space="preserve">QCD18TSECONT1INS1030</t>
  </si>
  <si>
    <t xml:space="preserve">Installation of Bracing</t>
  </si>
  <si>
    <t xml:space="preserve">QCD18TSECONT1INS1060</t>
  </si>
  <si>
    <t xml:space="preserve">Delievery of TSE Tanks -02 (Base+Wall Panel + associated material)</t>
  </si>
  <si>
    <t xml:space="preserve">QCD18TSEPRC1210</t>
  </si>
  <si>
    <t xml:space="preserve">Submission of MIR  TSE Tanks -02 (Base+Wall Panel + associated material)</t>
  </si>
  <si>
    <t xml:space="preserve">QCD18TSEPRC1220</t>
  </si>
  <si>
    <t xml:space="preserve">PROCUREMENT / Long Lead Item / GRP Material / Material Inspection / TSE Tank-02</t>
  </si>
  <si>
    <t xml:space="preserve">QCD18TSECONT2INS1020</t>
  </si>
  <si>
    <t xml:space="preserve">CONSTRUCTION / TSE Tank -02 / Tank Installation</t>
  </si>
  <si>
    <t xml:space="preserve">Approval of MIR  TSE Tanks -02 (Base+Wall Panel + associated material)</t>
  </si>
  <si>
    <t xml:space="preserve">QCD18TSEPRC1230</t>
  </si>
  <si>
    <t xml:space="preserve">QCD18TSECONT2INS1030</t>
  </si>
  <si>
    <t xml:space="preserve">Installation of Roof Supports &amp; Ladder</t>
  </si>
  <si>
    <t xml:space="preserve">QCD18TSECONT1INS1040</t>
  </si>
  <si>
    <t xml:space="preserve">QCD18TSECONT2INS1060</t>
  </si>
  <si>
    <t xml:space="preserve">Submission of MIR for Pipe, Vlaves &amp; Accessories</t>
  </si>
  <si>
    <t xml:space="preserve">QCD18TSEPRC1240</t>
  </si>
  <si>
    <t xml:space="preserve">PROCUREMENT / Short Lead Item / Pipes,Valves &amp; Accessories / Material Inspection</t>
  </si>
  <si>
    <t xml:space="preserve">Approval of MIR for  Pipe, Vlaves &amp; Accessories</t>
  </si>
  <si>
    <t xml:space="preserve">QCD18TSEPRC1250</t>
  </si>
  <si>
    <t xml:space="preserve">Installation of Roof Panels with Internal lining &amp; food grade joint sealent</t>
  </si>
  <si>
    <t xml:space="preserve">QCD18TSECONT1INS1050</t>
  </si>
  <si>
    <t xml:space="preserve">Installation of Inlet/Outlet, Overflow &amp; Drain Nozzles, Internals &amp; Blind Flanges</t>
  </si>
  <si>
    <t xml:space="preserve">QCD18TSECONT1MW2050</t>
  </si>
  <si>
    <t xml:space="preserve">CONSTRUCTION / TSE Tank -01 / Mechanical Works</t>
  </si>
  <si>
    <t xml:space="preserve">Installation of Level Trabsmitter / Remote level indication.</t>
  </si>
  <si>
    <t xml:space="preserve">QCD18TSECONT1MW2060</t>
  </si>
  <si>
    <t xml:space="preserve">Installation of Pipes &amp; Fittings</t>
  </si>
  <si>
    <t xml:space="preserve">QCD18TSECONT1MW2055</t>
  </si>
  <si>
    <t xml:space="preserve">QCD18TSECONT2INS1040</t>
  </si>
  <si>
    <t xml:space="preserve">QCD18TSECONT2INS1050</t>
  </si>
  <si>
    <t xml:space="preserve">QCD18TSECONT2MW2030</t>
  </si>
  <si>
    <t xml:space="preserve">CONSTRUCTION / TSE Tank -02 / Mechanical Works</t>
  </si>
  <si>
    <t xml:space="preserve">QCD18TSECONT2MW2040</t>
  </si>
  <si>
    <t xml:space="preserve">QCD18TSECONT2MW2020</t>
  </si>
  <si>
    <t xml:space="preserve">SAJCO Readiness for Tie-In Connections</t>
  </si>
  <si>
    <t xml:space="preserve">QCD18TSECONIF2050</t>
  </si>
  <si>
    <t xml:space="preserve">CONSTRUCTION / Tie in Interface</t>
  </si>
  <si>
    <t xml:space="preserve">Tie in Connections with Existing Pump Room</t>
  </si>
  <si>
    <t xml:space="preserve">Testing &amp; Commissioning-TSE TanK-01</t>
  </si>
  <si>
    <t xml:space="preserve">QCD18TSECONTCT12050</t>
  </si>
  <si>
    <t xml:space="preserve">CONSTRUCTION / Testing &amp; Commissioning</t>
  </si>
  <si>
    <t xml:space="preserve">Testing &amp; Commissioning-TSE TanK-02</t>
  </si>
  <si>
    <t xml:space="preserve">QCD18TSECONTCT22030</t>
  </si>
  <si>
    <t xml:space="preserve">Completion of TSE Tank - 01</t>
  </si>
  <si>
    <t xml:space="preserve">QCD18TSEOMS1040</t>
  </si>
  <si>
    <t xml:space="preserve">Completion of TSE Tank - 02</t>
  </si>
  <si>
    <t xml:space="preserve">QCD18TSEOMS1050</t>
  </si>
  <si>
    <t xml:space="preserve">Demobilization of Manpower, Equipment &amp; Temporary Facilities</t>
  </si>
  <si>
    <t xml:space="preserve">DEMOBILIZATION &amp; CLOSEOUT / Manpower, Equipment &amp; Temp. Facilities</t>
  </si>
  <si>
    <t xml:space="preserve">As Built Drawing &amp; Closeout documents</t>
  </si>
  <si>
    <t xml:space="preserve">DEMOBILIZATION &amp; CLOSEOUT / Closeout</t>
  </si>
  <si>
    <t xml:space="preserve">Project Finish</t>
  </si>
  <si>
    <t xml:space="preserve">QCD18TSEMS1010</t>
  </si>
  <si>
    <t xml:space="preserve">Total cost loaded</t>
  </si>
  <si>
    <t xml:space="preserve">Equals the Contractor's proposal of SAR 8,110,296.62 including Overhead and Profit</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</si>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</sst>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8">
    <numFmt numFmtId="164" formatCode="General"/>
    <numFmt numFmtId="165" formatCode="#,##0.00"/>
    <numFmt numFmtId="166" formatCode="0.0%"/>
    <numFmt numFmtId="167" formatCode="#,##0"/>
    <numFmt numFmtId="168" formatCode="dd\-mmm\-yyyy"/>
    <numFmt numFmtId="169" formatCode="0.0"/>
    <numFmt numFmtId="170" formatCode="#,##0.0"/>
    <numFmt numFmtId="171"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70" fontId="12" fillId="0" borderId="6"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69"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1"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1"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2 No. TSE irrigation storage tanks, dismantling of damaged Tank-1, associated pipework and testing. Result: the proposal of SAR " &amp; TEXT(F21,"#,##0.00") &amp; " is assessed at SAR " &amp; TEXT(K21,"#,##0.00") &amp; ", both excluding VAT (row 21). Basis: supplier quotations where the Contractor obtained them (Items 3 and 6), first-principles build-ups elsewhere ('Build-Up' tab), with every time-related period taken from the Contractor's programme of 29-"&amp;"Sep-2026 ('Programme' tab) - a programme under the Engineer's approval, not an agreed basis. Status: preliminary - items marked Provisional depend on confirmations still outstanding. Rev 02 replaces Rev 01 dated 17-Sep-2026 (SAR " &amp; TEXT(6921685.64,"#,##0.00") &amp; ")."</f>
        <v>Purpose: to value the Contractor's revised proposal ref. SAMACO-RRFP-000001 dated 13-Aug-2026 for the 2 No. TSE irrigation storage tanks, dismantling of damaged Tank-1, associated pipework and testing. Result: the proposal of SAR 8,110,296.62 is assessed at SAR 6,956,708.39,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70.2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319680.56</v>
      </c>
      <c r="K8" s="20" t="n">
        <f aca="false">I8*J8</f>
        <v>319680.56</v>
      </c>
      <c r="L8" s="19" t="s">
        <v>51</v>
      </c>
      <c r="M8" s="21" t="s">
        <v>52</v>
      </c>
      <c r="N8" s="21" t="s">
        <v>53</v>
      </c>
      <c r="O8" s="18" t="n">
        <f aca="false">F8-K8</f>
        <v>360319.44</v>
      </c>
      <c r="P8" s="22"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55000</v>
      </c>
      <c r="K10" s="20" t="n">
        <f aca="false">I10*J10</f>
        <v>55000</v>
      </c>
      <c r="L10" s="19" t="s">
        <v>57</v>
      </c>
      <c r="M10" s="21" t="s">
        <v>52</v>
      </c>
      <c r="N10" s="21" t="s">
        <v>53</v>
      </c>
      <c r="O10" s="18" t="n">
        <f aca="false">F10-K10</f>
        <v>30000</v>
      </c>
      <c r="P10" s="22"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66"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144.75"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298950</v>
      </c>
      <c r="K14" s="20" t="n">
        <f aca="false">I14*J14</f>
        <v>298950</v>
      </c>
      <c r="L14" s="19" t="s">
        <v>69</v>
      </c>
      <c r="M14" s="21" t="s">
        <v>52</v>
      </c>
      <c r="N14" s="21" t="s">
        <v>53</v>
      </c>
      <c r="O14" s="18" t="n">
        <f aca="false">F14-K14</f>
        <v>205242.02</v>
      </c>
      <c r="P14" s="22" t="n">
        <f aca="false">IF(K14=0,"",(F14-K14)/K14)</f>
        <v>0.686542967051346</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70.2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51153</v>
      </c>
      <c r="K17" s="20" t="n">
        <f aca="false">I17*J17</f>
        <v>102306</v>
      </c>
      <c r="L17" s="19" t="s">
        <v>77</v>
      </c>
      <c r="M17" s="21" t="s">
        <v>52</v>
      </c>
      <c r="N17" s="21" t="s">
        <v>78</v>
      </c>
      <c r="O17" s="18" t="n">
        <f aca="false">F17-K17</f>
        <v>324094</v>
      </c>
      <c r="P17" s="22" t="n">
        <f aca="false">IF(K17=0,"",(F17-K17)/K17)</f>
        <v>3.16788849138858</v>
      </c>
    </row>
    <row r="18" customFormat="false" ht="105.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6625436.56</v>
      </c>
      <c r="L19" s="23"/>
      <c r="M19" s="23"/>
      <c r="N19" s="23"/>
      <c r="O19" s="24" t="n">
        <f aca="false">F19-K19</f>
        <v>1098655.46</v>
      </c>
      <c r="P19" s="26" t="n">
        <f aca="false">IF(K19=0,"",(F19-K19)/K19)</f>
        <v>0.165823859311091</v>
      </c>
    </row>
    <row r="20" customFormat="false" ht="70.5" hidden="false" customHeight="true" outlineLevel="0" collapsed="false">
      <c r="A20" s="27"/>
      <c r="B20" s="27" t="s">
        <v>83</v>
      </c>
      <c r="C20" s="27"/>
      <c r="D20" s="27"/>
      <c r="E20" s="27"/>
      <c r="F20" s="28" t="n">
        <v>386204.6</v>
      </c>
      <c r="G20" s="27"/>
      <c r="H20" s="27"/>
      <c r="I20" s="27"/>
      <c r="J20" s="27"/>
      <c r="K20" s="29" t="n">
        <f aca="false">ROUND(K19*0.05,2)</f>
        <v>331271.83</v>
      </c>
      <c r="L20" s="30" t="s">
        <v>84</v>
      </c>
      <c r="M20" s="27"/>
      <c r="N20" s="27"/>
      <c r="O20" s="28" t="n">
        <f aca="false">F20-K20</f>
        <v>54932.77</v>
      </c>
      <c r="P20" s="31" t="n">
        <f aca="false">IF(K20=0,"",(F20-K20)/K20)</f>
        <v>0.165823849253949</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6956708.39</v>
      </c>
      <c r="L21" s="23"/>
      <c r="M21" s="23"/>
      <c r="N21" s="23"/>
      <c r="O21" s="24" t="n">
        <f aca="false">F21-K21</f>
        <v>1153588.23</v>
      </c>
      <c r="P21" s="26" t="n">
        <f aca="false">IF(K21=0,"",(F21-K21)/K21)</f>
        <v>0.16582385883218</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60" hidden="false" customHeight="true" outlineLevel="0" collapsed="false">
      <c r="A24" s="11" t="str">
        <f aca="false">"Changes from Rev 01 dated 17-Sep-2026 (SAR 6,921,685.64): every time-related period re-based from an assumed 3-month site period to the Contractor's programme of 29-Sep-2026 - site staff by role and phase and facilities for the site period "&amp;"to the end of demobilisation (Item 1 and the generators in Item 5), helpers and plant from a phase-by-phase resource matrix built on material availability and activity dependencies, access equipment on the erection windows (Item 5); Item 7 "&amp;"re-sequenced with the Engineer's sequential basis carried, commissioning staff reconciled to that sequence and a nil line added for the third-party factory test; sealant tools, fixings and third-party inspection visits removed as within Ite"&amp;"m 6 or not required (5.12, 5.13, 7.12); PPE, survey and document control increased on the programme evidence (1.18, 2.3, 2.4); every line linked to its activities or site service on the 'Programme' tab; Item 8 re-described to the RFP specif"&amp;"ication with the Contractor's procured materials shown alongside; the Contractor's cost loading, cash flow and manpower histogram recorded as evidence on the 'Build-Up Comparison' tab. No rate has moved. Net effect: SAR " &amp; TEXT(K21-6921685.64,"#,##0.00;-#,##0.00") &amp; " (" &amp; TEXT((K21-6921685.64)/6921685.64,"0.0%;-0.0%") &amp; ")."</f>
        <v>Changes from Rev 01 dated 17-Sep-2026 (SAR 6,921,685.64): every time-related period re-based from an assumed 3-month site period to the Contractor's programme of 29-Sep-2026 - site staff by role and phase and facilities for the site period to the end of demobilisation (Item 1 and the generators in Item 5), helpers and plant from a phase-by-phase resource matrix built on material availability and activity dependencies, access equipment on the erection windows (Item 5); Item 7 re-sequenced with the Engineer's sequential basis carried, commissioning staff reconciled to that sequence and a nil line added for the third-party factory test; sealant tools, fixings and third-party inspection visits removed as within Item 6 or not required (5.12, 5.13, 7.12); PPE, survey and document control increased on the programme evidence (1.18, 2.3, 2.4); every line linked to its activities or site service on the 'Programme' tab; Item 8 re-described to the RFP specification with the Contractor's procured materials shown alongside; the Contractor's cost loading, cash flow and manpower histogram recorded as evidence on the 'Build-Up Comparison' tab. No rate has moved. Net effect: SAR 35,022.75 (0.5%).</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54.75" hidden="false" customHeight="true" outlineLevel="0" collapsed="false">
      <c r="A9" s="16" t="s">
        <v>94</v>
      </c>
      <c r="B9" s="17" t="s">
        <v>95</v>
      </c>
      <c r="C9" s="16" t="s">
        <v>96</v>
      </c>
      <c r="D9" s="18" t="n">
        <f aca="false">Programme!$G$112</f>
        <v>4.1</v>
      </c>
      <c r="E9" s="18" t="n">
        <v>12000</v>
      </c>
      <c r="F9" s="18" t="n">
        <f aca="false">D9*E9</f>
        <v>49200</v>
      </c>
      <c r="G9" s="19" t="s">
        <v>97</v>
      </c>
    </row>
    <row r="10" customFormat="false" ht="54.75" hidden="false" customHeight="true" outlineLevel="0" collapsed="false">
      <c r="A10" s="16" t="s">
        <v>98</v>
      </c>
      <c r="B10" s="17" t="s">
        <v>99</v>
      </c>
      <c r="C10" s="16" t="s">
        <v>96</v>
      </c>
      <c r="D10" s="18" t="n">
        <f aca="false">Programme!$G$113</f>
        <v>4.1</v>
      </c>
      <c r="E10" s="18" t="n">
        <v>10000</v>
      </c>
      <c r="F10" s="18" t="n">
        <f aca="false">D10*E10</f>
        <v>41000</v>
      </c>
      <c r="G10" s="19" t="s">
        <v>100</v>
      </c>
    </row>
    <row r="11" customFormat="false" ht="67.5" hidden="false" customHeight="true" outlineLevel="0" collapsed="false">
      <c r="A11" s="16" t="s">
        <v>101</v>
      </c>
      <c r="B11" s="17" t="s">
        <v>102</v>
      </c>
      <c r="C11" s="16" t="s">
        <v>96</v>
      </c>
      <c r="D11" s="18" t="n">
        <f aca="false">Programme!$G$114</f>
        <v>3.7</v>
      </c>
      <c r="E11" s="18" t="n">
        <v>10000</v>
      </c>
      <c r="F11" s="18" t="n">
        <f aca="false">D11*E11</f>
        <v>37000</v>
      </c>
      <c r="G11" s="19" t="s">
        <v>103</v>
      </c>
    </row>
    <row r="12" customFormat="false" ht="54.75" hidden="false" customHeight="true" outlineLevel="0" collapsed="false">
      <c r="A12" s="16" t="s">
        <v>104</v>
      </c>
      <c r="B12" s="17" t="s">
        <v>105</v>
      </c>
      <c r="C12" s="16" t="s">
        <v>96</v>
      </c>
      <c r="D12" s="18" t="n">
        <f aca="false">Programme!$G$115</f>
        <v>4.1</v>
      </c>
      <c r="E12" s="18" t="n">
        <v>8000</v>
      </c>
      <c r="F12" s="18" t="n">
        <f aca="false">D12*E12</f>
        <v>32800</v>
      </c>
      <c r="G12" s="19" t="s">
        <v>106</v>
      </c>
    </row>
    <row r="13" customFormat="false" ht="54.75" hidden="false" customHeight="true" outlineLevel="0" collapsed="false">
      <c r="A13" s="16" t="s">
        <v>107</v>
      </c>
      <c r="B13" s="17" t="s">
        <v>108</v>
      </c>
      <c r="C13" s="16" t="s">
        <v>96</v>
      </c>
      <c r="D13" s="18" t="n">
        <f aca="false">Programme!$G$116</f>
        <v>3.3</v>
      </c>
      <c r="E13" s="18" t="n">
        <v>4000</v>
      </c>
      <c r="F13" s="18" t="n">
        <f aca="false">D13*E13</f>
        <v>13200</v>
      </c>
      <c r="G13" s="19" t="s">
        <v>109</v>
      </c>
    </row>
    <row r="14" customFormat="false" ht="54.75" hidden="false" customHeight="true" outlineLevel="0" collapsed="false">
      <c r="A14" s="16" t="s">
        <v>110</v>
      </c>
      <c r="B14" s="17" t="s">
        <v>111</v>
      </c>
      <c r="C14" s="16" t="s">
        <v>96</v>
      </c>
      <c r="D14" s="18" t="n">
        <f aca="false">Programme!$G$117</f>
        <v>4.1</v>
      </c>
      <c r="E14" s="18" t="n">
        <v>2200</v>
      </c>
      <c r="F14" s="18" t="n">
        <f aca="false">D14*E14</f>
        <v>9020</v>
      </c>
      <c r="G14" s="19" t="s">
        <v>112</v>
      </c>
    </row>
    <row r="15" customFormat="false" ht="54.75" hidden="false" customHeight="true" outlineLevel="0" collapsed="false">
      <c r="A15" s="16" t="s">
        <v>113</v>
      </c>
      <c r="B15" s="17" t="s">
        <v>114</v>
      </c>
      <c r="C15" s="16" t="s">
        <v>96</v>
      </c>
      <c r="D15" s="18" t="n">
        <f aca="false">Programme!$G$118</f>
        <v>4.1</v>
      </c>
      <c r="E15" s="18" t="n">
        <v>2200</v>
      </c>
      <c r="F15" s="18" t="n">
        <f aca="false">D15*E15</f>
        <v>9020</v>
      </c>
      <c r="G15" s="19" t="s">
        <v>112</v>
      </c>
    </row>
    <row r="16" customFormat="false" ht="54.75" hidden="false" customHeight="true" outlineLevel="0" collapsed="false">
      <c r="A16" s="16" t="s">
        <v>115</v>
      </c>
      <c r="B16" s="17" t="s">
        <v>116</v>
      </c>
      <c r="C16" s="16" t="s">
        <v>96</v>
      </c>
      <c r="D16" s="18" t="n">
        <f aca="false">Programme!$G$119</f>
        <v>4.1</v>
      </c>
      <c r="E16" s="18" t="n">
        <v>1300</v>
      </c>
      <c r="F16" s="18" t="n">
        <f aca="false">D16*E16</f>
        <v>5330</v>
      </c>
      <c r="G16" s="19" t="s">
        <v>112</v>
      </c>
    </row>
    <row r="17" customFormat="false" ht="54.75" hidden="false" customHeight="true" outlineLevel="0" collapsed="false">
      <c r="A17" s="16" t="s">
        <v>117</v>
      </c>
      <c r="B17" s="17" t="s">
        <v>118</v>
      </c>
      <c r="C17" s="16" t="s">
        <v>119</v>
      </c>
      <c r="D17" s="18" t="n">
        <f aca="false">Programme!$G$120</f>
        <v>36</v>
      </c>
      <c r="E17" s="18" t="n">
        <v>350</v>
      </c>
      <c r="F17" s="18" t="n">
        <f aca="false">D17*E17</f>
        <v>12600</v>
      </c>
      <c r="G17" s="19" t="s">
        <v>120</v>
      </c>
    </row>
    <row r="18" customFormat="false" ht="54.75" hidden="false" customHeight="true" outlineLevel="0" collapsed="false">
      <c r="A18" s="16" t="s">
        <v>121</v>
      </c>
      <c r="B18" s="17" t="s">
        <v>122</v>
      </c>
      <c r="C18" s="16" t="s">
        <v>96</v>
      </c>
      <c r="D18" s="18" t="n">
        <f aca="false">Programme!$G$121</f>
        <v>4.1</v>
      </c>
      <c r="E18" s="18" t="n">
        <v>350</v>
      </c>
      <c r="F18" s="18" t="n">
        <f aca="false">D18*E18</f>
        <v>1435</v>
      </c>
      <c r="G18" s="19" t="s">
        <v>112</v>
      </c>
    </row>
    <row r="19" customFormat="false" ht="54.75" hidden="false" customHeight="true" outlineLevel="0" collapsed="false">
      <c r="A19" s="16" t="s">
        <v>123</v>
      </c>
      <c r="B19" s="17" t="s">
        <v>124</v>
      </c>
      <c r="C19" s="16" t="s">
        <v>125</v>
      </c>
      <c r="D19" s="18" t="n">
        <f aca="false">Programme!$G$122</f>
        <v>5.6</v>
      </c>
      <c r="E19" s="18" t="n">
        <v>1200</v>
      </c>
      <c r="F19" s="18" t="n">
        <f aca="false">D19*E19</f>
        <v>6720</v>
      </c>
      <c r="G19" s="19" t="s">
        <v>126</v>
      </c>
    </row>
    <row r="20" customFormat="false" ht="54.75" hidden="false" customHeight="true" outlineLevel="0" collapsed="false">
      <c r="A20" s="16" t="s">
        <v>127</v>
      </c>
      <c r="B20" s="17" t="s">
        <v>128</v>
      </c>
      <c r="C20" s="16" t="s">
        <v>96</v>
      </c>
      <c r="D20" s="18" t="n">
        <f aca="false">Programme!$G$123</f>
        <v>4.1</v>
      </c>
      <c r="E20" s="18" t="n">
        <v>4000</v>
      </c>
      <c r="F20" s="18" t="n">
        <f aca="false">D20*E20</f>
        <v>16400</v>
      </c>
      <c r="G20" s="19" t="s">
        <v>129</v>
      </c>
    </row>
    <row r="21" customFormat="false" ht="67.5" hidden="false" customHeight="true" outlineLevel="0" collapsed="false">
      <c r="A21" s="16" t="s">
        <v>130</v>
      </c>
      <c r="B21" s="17" t="s">
        <v>131</v>
      </c>
      <c r="C21" s="16" t="s">
        <v>96</v>
      </c>
      <c r="D21" s="18" t="n">
        <f aca="false">Programme!$G$124</f>
        <v>4.1</v>
      </c>
      <c r="E21" s="18" t="n">
        <v>4500</v>
      </c>
      <c r="F21" s="18" t="n">
        <f aca="false">D21*E21</f>
        <v>18450</v>
      </c>
      <c r="G21" s="19" t="s">
        <v>132</v>
      </c>
    </row>
    <row r="22" customFormat="false" ht="54.75" hidden="false" customHeight="true" outlineLevel="0" collapsed="false">
      <c r="A22" s="16" t="s">
        <v>133</v>
      </c>
      <c r="B22" s="17" t="s">
        <v>134</v>
      </c>
      <c r="C22" s="16" t="s">
        <v>135</v>
      </c>
      <c r="D22" s="18" t="n">
        <v>5</v>
      </c>
      <c r="E22" s="18" t="n">
        <v>1250</v>
      </c>
      <c r="F22" s="18" t="n">
        <f aca="false">D22*E22</f>
        <v>6250</v>
      </c>
      <c r="G22" s="19" t="s">
        <v>136</v>
      </c>
    </row>
    <row r="23" customFormat="false" ht="54.75" hidden="false" customHeight="true" outlineLevel="0" collapsed="false">
      <c r="A23" s="16" t="s">
        <v>137</v>
      </c>
      <c r="B23" s="17" t="s">
        <v>138</v>
      </c>
      <c r="C23" s="16" t="s">
        <v>135</v>
      </c>
      <c r="D23" s="18" t="n">
        <v>5</v>
      </c>
      <c r="E23" s="18" t="n">
        <v>1250</v>
      </c>
      <c r="F23" s="18" t="n">
        <f aca="false">D23*E23</f>
        <v>6250</v>
      </c>
      <c r="G23" s="19" t="s">
        <v>139</v>
      </c>
    </row>
    <row r="24" customFormat="false" ht="29.25" hidden="false" customHeight="true" outlineLevel="0" collapsed="false">
      <c r="A24" s="16" t="s">
        <v>140</v>
      </c>
      <c r="B24" s="17" t="s">
        <v>141</v>
      </c>
      <c r="C24" s="16" t="s">
        <v>142</v>
      </c>
      <c r="D24" s="18" t="n">
        <v>12</v>
      </c>
      <c r="E24" s="18" t="n">
        <v>150</v>
      </c>
      <c r="F24" s="18" t="n">
        <f aca="false">D24*E24</f>
        <v>1800</v>
      </c>
      <c r="G24" s="19" t="s">
        <v>143</v>
      </c>
    </row>
    <row r="25" customFormat="false" ht="66" hidden="false" customHeight="true" outlineLevel="0" collapsed="false">
      <c r="A25" s="16" t="s">
        <v>144</v>
      </c>
      <c r="B25" s="17" t="s">
        <v>145</v>
      </c>
      <c r="C25" s="16" t="s">
        <v>146</v>
      </c>
      <c r="D25" s="18" t="n">
        <v>1</v>
      </c>
      <c r="E25" s="18" t="n">
        <v>13000</v>
      </c>
      <c r="F25" s="18" t="n">
        <f aca="false">D25*E25</f>
        <v>13000</v>
      </c>
      <c r="G25" s="19" t="s">
        <v>147</v>
      </c>
    </row>
    <row r="26" customFormat="false" ht="80.25" hidden="false" customHeight="true" outlineLevel="0" collapsed="false">
      <c r="A26" s="16" t="s">
        <v>148</v>
      </c>
      <c r="B26" s="17" t="s">
        <v>149</v>
      </c>
      <c r="C26" s="16" t="s">
        <v>72</v>
      </c>
      <c r="D26" s="18" t="n">
        <v>20</v>
      </c>
      <c r="E26" s="18" t="n">
        <v>350</v>
      </c>
      <c r="F26" s="18" t="n">
        <f aca="false">D26*E26</f>
        <v>7000</v>
      </c>
      <c r="G26" s="19" t="s">
        <v>150</v>
      </c>
    </row>
    <row r="27" customFormat="false" ht="51.75" hidden="false" customHeight="true" outlineLevel="0" collapsed="false">
      <c r="A27" s="16" t="s">
        <v>151</v>
      </c>
      <c r="B27" s="17" t="s">
        <v>152</v>
      </c>
      <c r="C27" s="16" t="s">
        <v>72</v>
      </c>
      <c r="D27" s="18" t="n">
        <v>12</v>
      </c>
      <c r="E27" s="18" t="n">
        <v>150</v>
      </c>
      <c r="F27" s="18" t="n">
        <f aca="false">D27*E27</f>
        <v>1800</v>
      </c>
      <c r="G27" s="19" t="s">
        <v>153</v>
      </c>
    </row>
    <row r="28" customFormat="false" ht="54.75" hidden="false" customHeight="true" outlineLevel="0" collapsed="false">
      <c r="A28" s="16" t="s">
        <v>154</v>
      </c>
      <c r="B28" s="17" t="s">
        <v>155</v>
      </c>
      <c r="C28" s="16" t="s">
        <v>72</v>
      </c>
      <c r="D28" s="18" t="n">
        <v>12</v>
      </c>
      <c r="E28" s="18" t="n">
        <v>1479.63</v>
      </c>
      <c r="F28" s="18" t="n">
        <f aca="false">D28*E28</f>
        <v>17755.56</v>
      </c>
      <c r="G28" s="19" t="s">
        <v>156</v>
      </c>
    </row>
    <row r="29" customFormat="false" ht="51.75" hidden="false" customHeight="true" outlineLevel="0" collapsed="false">
      <c r="A29" s="16" t="s">
        <v>157</v>
      </c>
      <c r="B29" s="17" t="s">
        <v>158</v>
      </c>
      <c r="C29" s="16" t="s">
        <v>159</v>
      </c>
      <c r="D29" s="18" t="n">
        <v>100</v>
      </c>
      <c r="E29" s="18" t="n">
        <v>100</v>
      </c>
      <c r="F29" s="18" t="n">
        <f aca="false">D29*E29</f>
        <v>10000</v>
      </c>
      <c r="G29" s="19" t="s">
        <v>160</v>
      </c>
    </row>
    <row r="30" customFormat="false" ht="118.5" hidden="false" customHeight="true" outlineLevel="0" collapsed="false">
      <c r="A30" s="16" t="s">
        <v>161</v>
      </c>
      <c r="B30" s="17" t="s">
        <v>162</v>
      </c>
      <c r="C30" s="16" t="s">
        <v>163</v>
      </c>
      <c r="D30" s="18" t="n">
        <v>3</v>
      </c>
      <c r="E30" s="18" t="n">
        <v>550</v>
      </c>
      <c r="F30" s="18" t="n">
        <f aca="false">D30*E30</f>
        <v>1650</v>
      </c>
      <c r="G30" s="19" t="s">
        <v>164</v>
      </c>
    </row>
    <row r="31" customFormat="false" ht="45" hidden="false" customHeight="true" outlineLevel="0" collapsed="false">
      <c r="A31" s="16" t="s">
        <v>165</v>
      </c>
      <c r="B31" s="17" t="s">
        <v>166</v>
      </c>
      <c r="C31" s="16" t="s">
        <v>163</v>
      </c>
      <c r="D31" s="18" t="n">
        <v>4</v>
      </c>
      <c r="E31" s="18" t="n">
        <v>500</v>
      </c>
      <c r="F31" s="18" t="n">
        <f aca="false">D31*E31</f>
        <v>2000</v>
      </c>
      <c r="G31" s="19" t="s">
        <v>143</v>
      </c>
    </row>
    <row r="32" customFormat="false" ht="19.5" hidden="false" customHeight="true" outlineLevel="0" collapsed="false">
      <c r="A32" s="34"/>
      <c r="B32" s="23" t="s">
        <v>167</v>
      </c>
      <c r="C32" s="34"/>
      <c r="D32" s="34"/>
      <c r="E32" s="34"/>
      <c r="F32" s="35" t="n">
        <f aca="false">SUM(F9:F31)</f>
        <v>319680.56</v>
      </c>
      <c r="G32" s="34"/>
    </row>
    <row r="34" customFormat="false" ht="21" hidden="false" customHeight="true" outlineLevel="0" collapsed="false">
      <c r="A34" s="15" t="s">
        <v>168</v>
      </c>
      <c r="B34" s="15"/>
      <c r="C34" s="15"/>
      <c r="D34" s="15"/>
      <c r="E34" s="15"/>
      <c r="F34" s="15"/>
      <c r="G34" s="15"/>
    </row>
    <row r="35" customFormat="false" ht="31.5" hidden="false" customHeight="true" outlineLevel="0" collapsed="false">
      <c r="A35" s="11" t="s">
        <v>169</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170</v>
      </c>
      <c r="B37" s="17" t="s">
        <v>171</v>
      </c>
      <c r="C37" s="16" t="s">
        <v>96</v>
      </c>
      <c r="D37" s="18" t="n">
        <v>2</v>
      </c>
      <c r="E37" s="18" t="n">
        <v>15000</v>
      </c>
      <c r="F37" s="18" t="n">
        <f aca="false">D37*E37</f>
        <v>30000</v>
      </c>
      <c r="G37" s="19" t="s">
        <v>172</v>
      </c>
    </row>
    <row r="38" customFormat="false" ht="54.75" hidden="false" customHeight="true" outlineLevel="0" collapsed="false">
      <c r="A38" s="16" t="s">
        <v>173</v>
      </c>
      <c r="B38" s="17" t="s">
        <v>174</v>
      </c>
      <c r="C38" s="16" t="s">
        <v>96</v>
      </c>
      <c r="D38" s="18" t="n">
        <v>1.5</v>
      </c>
      <c r="E38" s="18" t="n">
        <v>8000</v>
      </c>
      <c r="F38" s="18" t="n">
        <f aca="false">D38*E38</f>
        <v>12000</v>
      </c>
      <c r="G38" s="19" t="s">
        <v>175</v>
      </c>
    </row>
    <row r="39" customFormat="false" ht="118.5" hidden="false" customHeight="true" outlineLevel="0" collapsed="false">
      <c r="A39" s="16" t="s">
        <v>176</v>
      </c>
      <c r="B39" s="17" t="s">
        <v>177</v>
      </c>
      <c r="C39" s="16" t="s">
        <v>178</v>
      </c>
      <c r="D39" s="18" t="n">
        <v>6</v>
      </c>
      <c r="E39" s="18" t="n">
        <v>1500</v>
      </c>
      <c r="F39" s="18" t="n">
        <f aca="false">D39*E39</f>
        <v>9000</v>
      </c>
      <c r="G39" s="19" t="s">
        <v>179</v>
      </c>
    </row>
    <row r="40" customFormat="false" ht="67.5" hidden="false" customHeight="true" outlineLevel="0" collapsed="false">
      <c r="A40" s="16" t="s">
        <v>180</v>
      </c>
      <c r="B40" s="17" t="s">
        <v>181</v>
      </c>
      <c r="C40" s="16" t="s">
        <v>163</v>
      </c>
      <c r="D40" s="18" t="n">
        <v>8</v>
      </c>
      <c r="E40" s="18" t="n">
        <v>500</v>
      </c>
      <c r="F40" s="18" t="n">
        <f aca="false">D40*E40</f>
        <v>4000</v>
      </c>
      <c r="G40" s="19" t="s">
        <v>182</v>
      </c>
    </row>
    <row r="41" customFormat="false" ht="19.5" hidden="false" customHeight="true" outlineLevel="0" collapsed="false">
      <c r="A41" s="34"/>
      <c r="B41" s="23" t="s">
        <v>183</v>
      </c>
      <c r="C41" s="34"/>
      <c r="D41" s="34"/>
      <c r="E41" s="34"/>
      <c r="F41" s="35" t="n">
        <f aca="false">SUM(F37:F40)</f>
        <v>55000</v>
      </c>
      <c r="G41" s="34"/>
    </row>
    <row r="43" customFormat="false" ht="21" hidden="false" customHeight="true" outlineLevel="0" collapsed="false">
      <c r="A43" s="15" t="s">
        <v>184</v>
      </c>
      <c r="B43" s="15"/>
      <c r="C43" s="15"/>
      <c r="D43" s="15"/>
      <c r="E43" s="15"/>
      <c r="F43" s="15"/>
      <c r="G43" s="15"/>
    </row>
    <row r="44" customFormat="false" ht="31.5" hidden="false" customHeight="true" outlineLevel="0" collapsed="false">
      <c r="A44" s="11" t="s">
        <v>185</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186</v>
      </c>
      <c r="B46" s="17" t="s">
        <v>187</v>
      </c>
      <c r="C46" s="16" t="s">
        <v>146</v>
      </c>
      <c r="D46" s="18" t="n">
        <v>1</v>
      </c>
      <c r="E46" s="18" t="n">
        <v>71000</v>
      </c>
      <c r="F46" s="18" t="n">
        <f aca="false">D46*E46</f>
        <v>71000</v>
      </c>
      <c r="G46" s="19" t="s">
        <v>188</v>
      </c>
    </row>
    <row r="47" customFormat="false" ht="19.5" hidden="false" customHeight="true" outlineLevel="0" collapsed="false">
      <c r="A47" s="34"/>
      <c r="B47" s="23" t="s">
        <v>189</v>
      </c>
      <c r="C47" s="34"/>
      <c r="D47" s="34"/>
      <c r="E47" s="34"/>
      <c r="F47" s="35" t="n">
        <f aca="false">SUM(F46:F46)</f>
        <v>71000</v>
      </c>
      <c r="G47" s="34"/>
    </row>
    <row r="48" customFormat="false" ht="14.25" hidden="false" customHeight="false" outlineLevel="0" collapsed="false">
      <c r="B48" s="36" t="s">
        <v>190</v>
      </c>
    </row>
    <row r="49" customFormat="false" ht="29.25" hidden="false" customHeight="true" outlineLevel="0" collapsed="false">
      <c r="A49" s="16" t="s">
        <v>191</v>
      </c>
      <c r="B49" s="17" t="s">
        <v>192</v>
      </c>
      <c r="C49" s="16" t="s">
        <v>142</v>
      </c>
      <c r="D49" s="18" t="n">
        <v>72</v>
      </c>
      <c r="E49" s="18" t="n">
        <v>150</v>
      </c>
      <c r="F49" s="18" t="n">
        <f aca="false">D49*E49</f>
        <v>10800</v>
      </c>
      <c r="G49" s="19" t="s">
        <v>143</v>
      </c>
    </row>
    <row r="50" customFormat="false" ht="29.25" hidden="false" customHeight="true" outlineLevel="0" collapsed="false">
      <c r="A50" s="16" t="s">
        <v>193</v>
      </c>
      <c r="B50" s="17" t="s">
        <v>194</v>
      </c>
      <c r="C50" s="16" t="s">
        <v>142</v>
      </c>
      <c r="D50" s="18" t="n">
        <v>12</v>
      </c>
      <c r="E50" s="18" t="n">
        <v>250</v>
      </c>
      <c r="F50" s="18" t="n">
        <f aca="false">D50*E50</f>
        <v>3000</v>
      </c>
      <c r="G50" s="19" t="s">
        <v>143</v>
      </c>
    </row>
    <row r="51" customFormat="false" ht="29.25" hidden="false" customHeight="true" outlineLevel="0" collapsed="false">
      <c r="A51" s="16" t="s">
        <v>195</v>
      </c>
      <c r="B51" s="17" t="s">
        <v>196</v>
      </c>
      <c r="C51" s="16" t="s">
        <v>163</v>
      </c>
      <c r="D51" s="18" t="n">
        <v>12</v>
      </c>
      <c r="E51" s="18" t="n">
        <v>2500</v>
      </c>
      <c r="F51" s="18" t="n">
        <f aca="false">D51*E51</f>
        <v>30000</v>
      </c>
      <c r="G51" s="19" t="s">
        <v>143</v>
      </c>
    </row>
    <row r="52" customFormat="false" ht="29.25" hidden="false" customHeight="true" outlineLevel="0" collapsed="false">
      <c r="A52" s="16" t="s">
        <v>197</v>
      </c>
      <c r="B52" s="17" t="s">
        <v>198</v>
      </c>
      <c r="C52" s="16" t="s">
        <v>72</v>
      </c>
      <c r="D52" s="18" t="n">
        <v>200</v>
      </c>
      <c r="E52" s="18" t="n">
        <v>10</v>
      </c>
      <c r="F52" s="18" t="n">
        <f aca="false">D52*E52</f>
        <v>2000</v>
      </c>
      <c r="G52" s="19" t="s">
        <v>143</v>
      </c>
    </row>
    <row r="53" customFormat="false" ht="29.25" hidden="false" customHeight="true" outlineLevel="0" collapsed="false">
      <c r="A53" s="16" t="s">
        <v>199</v>
      </c>
      <c r="B53" s="17" t="s">
        <v>200</v>
      </c>
      <c r="C53" s="16" t="s">
        <v>201</v>
      </c>
      <c r="D53" s="18" t="n">
        <v>1</v>
      </c>
      <c r="E53" s="18" t="n">
        <v>1500</v>
      </c>
      <c r="F53" s="18" t="n">
        <f aca="false">D53*E53</f>
        <v>1500</v>
      </c>
      <c r="G53" s="19" t="s">
        <v>143</v>
      </c>
    </row>
    <row r="54" customFormat="false" ht="29.25" hidden="false" customHeight="true" outlineLevel="0" collapsed="false">
      <c r="A54" s="16" t="s">
        <v>202</v>
      </c>
      <c r="B54" s="17" t="s">
        <v>203</v>
      </c>
      <c r="C54" s="16" t="s">
        <v>204</v>
      </c>
      <c r="D54" s="18" t="n">
        <v>1</v>
      </c>
      <c r="E54" s="18" t="n">
        <v>1500</v>
      </c>
      <c r="F54" s="18" t="n">
        <f aca="false">D54*E54</f>
        <v>1500</v>
      </c>
      <c r="G54" s="19" t="s">
        <v>143</v>
      </c>
    </row>
    <row r="55" customFormat="false" ht="29.25" hidden="false" customHeight="true" outlineLevel="0" collapsed="false">
      <c r="A55" s="16" t="s">
        <v>205</v>
      </c>
      <c r="B55" s="17" t="s">
        <v>206</v>
      </c>
      <c r="C55" s="16" t="s">
        <v>163</v>
      </c>
      <c r="D55" s="18" t="n">
        <v>3</v>
      </c>
      <c r="E55" s="18" t="n">
        <v>500</v>
      </c>
      <c r="F55" s="18" t="n">
        <f aca="false">D55*E55</f>
        <v>1500</v>
      </c>
      <c r="G55" s="19" t="s">
        <v>143</v>
      </c>
    </row>
    <row r="56" customFormat="false" ht="29.25" hidden="false" customHeight="true" outlineLevel="0" collapsed="false">
      <c r="A56" s="16" t="s">
        <v>207</v>
      </c>
      <c r="B56" s="17" t="s">
        <v>208</v>
      </c>
      <c r="C56" s="16" t="s">
        <v>209</v>
      </c>
      <c r="D56" s="18" t="n">
        <v>30</v>
      </c>
      <c r="E56" s="18" t="n">
        <v>10</v>
      </c>
      <c r="F56" s="18" t="n">
        <f aca="false">D56*E56</f>
        <v>300</v>
      </c>
      <c r="G56" s="19" t="s">
        <v>143</v>
      </c>
    </row>
    <row r="57" customFormat="false" ht="29.25" hidden="false" customHeight="true" outlineLevel="0" collapsed="false">
      <c r="A57" s="16" t="s">
        <v>210</v>
      </c>
      <c r="B57" s="17" t="s">
        <v>211</v>
      </c>
      <c r="C57" s="16" t="s">
        <v>142</v>
      </c>
      <c r="D57" s="18" t="n">
        <v>6</v>
      </c>
      <c r="E57" s="18" t="n">
        <v>150</v>
      </c>
      <c r="F57" s="18" t="n">
        <f aca="false">D57*E57</f>
        <v>900</v>
      </c>
      <c r="G57" s="19" t="s">
        <v>143</v>
      </c>
    </row>
    <row r="58" customFormat="false" ht="29.25" hidden="false" customHeight="true" outlineLevel="0" collapsed="false">
      <c r="A58" s="16" t="s">
        <v>212</v>
      </c>
      <c r="B58" s="17" t="s">
        <v>213</v>
      </c>
      <c r="C58" s="16" t="s">
        <v>72</v>
      </c>
      <c r="D58" s="18" t="n">
        <v>8</v>
      </c>
      <c r="E58" s="18" t="n">
        <v>400</v>
      </c>
      <c r="F58" s="18" t="n">
        <f aca="false">D58*E58</f>
        <v>3200</v>
      </c>
      <c r="G58" s="19" t="s">
        <v>143</v>
      </c>
    </row>
    <row r="59" customFormat="false" ht="29.25" hidden="false" customHeight="true" outlineLevel="0" collapsed="false">
      <c r="A59" s="16" t="s">
        <v>214</v>
      </c>
      <c r="B59" s="17" t="s">
        <v>215</v>
      </c>
      <c r="C59" s="16" t="s">
        <v>163</v>
      </c>
      <c r="D59" s="18" t="n">
        <v>4</v>
      </c>
      <c r="E59" s="18" t="n">
        <v>500</v>
      </c>
      <c r="F59" s="18" t="n">
        <f aca="false">D59*E59</f>
        <v>2000</v>
      </c>
      <c r="G59" s="19" t="s">
        <v>143</v>
      </c>
    </row>
    <row r="60" customFormat="false" ht="29.25" hidden="false" customHeight="true" outlineLevel="0" collapsed="false">
      <c r="A60" s="16" t="s">
        <v>216</v>
      </c>
      <c r="B60" s="17" t="s">
        <v>217</v>
      </c>
      <c r="C60" s="16" t="s">
        <v>163</v>
      </c>
      <c r="D60" s="18" t="n">
        <v>3</v>
      </c>
      <c r="E60" s="18" t="n">
        <v>800</v>
      </c>
      <c r="F60" s="18" t="n">
        <f aca="false">D60*E60</f>
        <v>2400</v>
      </c>
      <c r="G60" s="19" t="s">
        <v>143</v>
      </c>
    </row>
    <row r="61" customFormat="false" ht="29.25" hidden="false" customHeight="true" outlineLevel="0" collapsed="false">
      <c r="A61" s="16" t="s">
        <v>218</v>
      </c>
      <c r="B61" s="17" t="s">
        <v>219</v>
      </c>
      <c r="C61" s="16" t="s">
        <v>72</v>
      </c>
      <c r="D61" s="18" t="n">
        <v>4</v>
      </c>
      <c r="E61" s="18" t="n">
        <v>400</v>
      </c>
      <c r="F61" s="18" t="n">
        <f aca="false">D61*E61</f>
        <v>1600</v>
      </c>
      <c r="G61" s="19" t="s">
        <v>143</v>
      </c>
    </row>
    <row r="62" customFormat="false" ht="29.25" hidden="false" customHeight="true" outlineLevel="0" collapsed="false">
      <c r="A62" s="16" t="s">
        <v>220</v>
      </c>
      <c r="B62" s="17" t="s">
        <v>221</v>
      </c>
      <c r="C62" s="16" t="s">
        <v>146</v>
      </c>
      <c r="D62" s="18" t="n">
        <v>1</v>
      </c>
      <c r="E62" s="18" t="n">
        <v>1000</v>
      </c>
      <c r="F62" s="18" t="n">
        <f aca="false">D62*E62</f>
        <v>1000</v>
      </c>
      <c r="G62" s="19" t="s">
        <v>143</v>
      </c>
    </row>
    <row r="63" customFormat="false" ht="14.25" hidden="false" customHeight="false" outlineLevel="0" collapsed="false">
      <c r="B63" s="36" t="s">
        <v>222</v>
      </c>
      <c r="F63" s="37" t="n">
        <f aca="false">SUM(F49:F62)</f>
        <v>61700</v>
      </c>
    </row>
    <row r="65" customFormat="false" ht="21" hidden="false" customHeight="true" outlineLevel="0" collapsed="false">
      <c r="A65" s="15" t="s">
        <v>223</v>
      </c>
      <c r="B65" s="15"/>
      <c r="C65" s="15"/>
      <c r="D65" s="15"/>
      <c r="E65" s="15"/>
      <c r="F65" s="15"/>
      <c r="G65" s="15"/>
    </row>
    <row r="66" customFormat="false" ht="45" hidden="false" customHeight="true" outlineLevel="0" collapsed="false">
      <c r="A66" s="11" t="s">
        <v>224</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225</v>
      </c>
      <c r="B68" s="17" t="s">
        <v>226</v>
      </c>
      <c r="C68" s="16" t="s">
        <v>227</v>
      </c>
      <c r="D68" s="18" t="n">
        <v>14</v>
      </c>
      <c r="E68" s="18" t="n">
        <v>450</v>
      </c>
      <c r="F68" s="18" t="n">
        <f aca="false">D68*E68</f>
        <v>6300</v>
      </c>
      <c r="G68" s="19" t="s">
        <v>228</v>
      </c>
    </row>
    <row r="69" customFormat="false" ht="19.5" hidden="false" customHeight="true" outlineLevel="0" collapsed="false">
      <c r="A69" s="34"/>
      <c r="B69" s="23" t="s">
        <v>229</v>
      </c>
      <c r="C69" s="34"/>
      <c r="D69" s="34"/>
      <c r="E69" s="34"/>
      <c r="F69" s="35" t="n">
        <f aca="false">SUM(F68:F68)</f>
        <v>6300</v>
      </c>
      <c r="G69" s="34"/>
    </row>
    <row r="71" customFormat="false" ht="21" hidden="false" customHeight="true" outlineLevel="0" collapsed="false">
      <c r="A71" s="15" t="s">
        <v>230</v>
      </c>
      <c r="B71" s="15"/>
      <c r="C71" s="15"/>
      <c r="D71" s="15"/>
      <c r="E71" s="15"/>
      <c r="F71" s="15"/>
      <c r="G71" s="15"/>
    </row>
    <row r="72" customFormat="false" ht="96" hidden="false" customHeight="true" outlineLevel="0" collapsed="false">
      <c r="A72" s="11" t="s">
        <v>231</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105.75" hidden="false" customHeight="true" outlineLevel="0" collapsed="false">
      <c r="A74" s="16" t="s">
        <v>232</v>
      </c>
      <c r="B74" s="17" t="s">
        <v>233</v>
      </c>
      <c r="C74" s="16" t="s">
        <v>163</v>
      </c>
      <c r="D74" s="18" t="n">
        <f aca="false">Programme!$G$125</f>
        <v>34</v>
      </c>
      <c r="E74" s="18" t="n">
        <v>1200</v>
      </c>
      <c r="F74" s="18" t="n">
        <f aca="false">D74*E74</f>
        <v>40800</v>
      </c>
      <c r="G74" s="19" t="s">
        <v>234</v>
      </c>
    </row>
    <row r="75" customFormat="false" ht="67.5" hidden="false" customHeight="true" outlineLevel="0" collapsed="false">
      <c r="A75" s="16" t="s">
        <v>235</v>
      </c>
      <c r="B75" s="17" t="s">
        <v>236</v>
      </c>
      <c r="C75" s="16" t="s">
        <v>163</v>
      </c>
      <c r="D75" s="18" t="n">
        <f aca="false">Programme!$G$127</f>
        <v>50</v>
      </c>
      <c r="E75" s="18" t="n">
        <v>900</v>
      </c>
      <c r="F75" s="18" t="n">
        <f aca="false">D75*E75</f>
        <v>45000</v>
      </c>
      <c r="G75" s="19" t="s">
        <v>237</v>
      </c>
    </row>
    <row r="76" customFormat="false" ht="67.5" hidden="false" customHeight="true" outlineLevel="0" collapsed="false">
      <c r="A76" s="16" t="s">
        <v>238</v>
      </c>
      <c r="B76" s="17" t="s">
        <v>239</v>
      </c>
      <c r="C76" s="16" t="s">
        <v>240</v>
      </c>
      <c r="D76" s="18" t="n">
        <v>1024</v>
      </c>
      <c r="E76" s="18" t="n">
        <v>55</v>
      </c>
      <c r="F76" s="18" t="n">
        <f aca="false">D76*E76</f>
        <v>56320</v>
      </c>
      <c r="G76" s="19" t="s">
        <v>241</v>
      </c>
    </row>
    <row r="77" customFormat="false" ht="54.75" hidden="false" customHeight="true" outlineLevel="0" collapsed="false">
      <c r="A77" s="16" t="s">
        <v>242</v>
      </c>
      <c r="B77" s="17" t="s">
        <v>243</v>
      </c>
      <c r="C77" s="16" t="s">
        <v>244</v>
      </c>
      <c r="D77" s="18" t="n">
        <f aca="false">Programme!$G$128</f>
        <v>4</v>
      </c>
      <c r="E77" s="18" t="n">
        <v>1800</v>
      </c>
      <c r="F77" s="18" t="n">
        <f aca="false">D77*E77</f>
        <v>7200</v>
      </c>
      <c r="G77" s="19" t="s">
        <v>245</v>
      </c>
    </row>
    <row r="78" customFormat="false" ht="29.25" hidden="false" customHeight="true" outlineLevel="0" collapsed="false">
      <c r="A78" s="16" t="s">
        <v>246</v>
      </c>
      <c r="B78" s="17" t="s">
        <v>247</v>
      </c>
      <c r="C78" s="16" t="s">
        <v>72</v>
      </c>
      <c r="D78" s="18" t="n">
        <v>4</v>
      </c>
      <c r="E78" s="18" t="n">
        <v>400</v>
      </c>
      <c r="F78" s="18" t="n">
        <f aca="false">D78*E78</f>
        <v>1600</v>
      </c>
      <c r="G78" s="19" t="s">
        <v>143</v>
      </c>
    </row>
    <row r="79" customFormat="false" ht="29.25" hidden="false" customHeight="true" outlineLevel="0" collapsed="false">
      <c r="A79" s="16" t="s">
        <v>248</v>
      </c>
      <c r="B79" s="17" t="s">
        <v>249</v>
      </c>
      <c r="C79" s="16" t="s">
        <v>250</v>
      </c>
      <c r="D79" s="18" t="n">
        <f aca="false">Programme!$G$129</f>
        <v>4</v>
      </c>
      <c r="E79" s="18" t="n">
        <v>350</v>
      </c>
      <c r="F79" s="18" t="n">
        <f aca="false">D79*E79</f>
        <v>1400</v>
      </c>
      <c r="G79" s="19" t="s">
        <v>251</v>
      </c>
    </row>
    <row r="80" customFormat="false" ht="67.5" hidden="false" customHeight="true" outlineLevel="0" collapsed="false">
      <c r="A80" s="16" t="s">
        <v>252</v>
      </c>
      <c r="B80" s="17" t="s">
        <v>253</v>
      </c>
      <c r="C80" s="16" t="s">
        <v>96</v>
      </c>
      <c r="D80" s="18" t="n">
        <f aca="false">Programme!$G$130</f>
        <v>3.8</v>
      </c>
      <c r="E80" s="18" t="n">
        <v>11000</v>
      </c>
      <c r="F80" s="18" t="n">
        <f aca="false">D80*E80</f>
        <v>41800</v>
      </c>
      <c r="G80" s="19" t="s">
        <v>254</v>
      </c>
    </row>
    <row r="81" customFormat="false" ht="54.75" hidden="false" customHeight="true" outlineLevel="0" collapsed="false">
      <c r="A81" s="16" t="s">
        <v>255</v>
      </c>
      <c r="B81" s="17" t="s">
        <v>256</v>
      </c>
      <c r="C81" s="16" t="s">
        <v>96</v>
      </c>
      <c r="D81" s="18" t="n">
        <f aca="false">Programme!$G$131</f>
        <v>4.1</v>
      </c>
      <c r="E81" s="18" t="n">
        <v>6000</v>
      </c>
      <c r="F81" s="18" t="n">
        <f aca="false">D81*E81</f>
        <v>24600</v>
      </c>
      <c r="G81" s="19" t="s">
        <v>257</v>
      </c>
    </row>
    <row r="82" customFormat="false" ht="42" hidden="false" customHeight="true" outlineLevel="0" collapsed="false">
      <c r="A82" s="16" t="s">
        <v>258</v>
      </c>
      <c r="B82" s="17" t="s">
        <v>259</v>
      </c>
      <c r="C82" s="16" t="s">
        <v>96</v>
      </c>
      <c r="D82" s="18" t="n">
        <f aca="false">Programme!$G$132</f>
        <v>4.1</v>
      </c>
      <c r="E82" s="18" t="n">
        <v>3000</v>
      </c>
      <c r="F82" s="18" t="n">
        <f aca="false">D82*E82</f>
        <v>12300</v>
      </c>
      <c r="G82" s="19" t="s">
        <v>260</v>
      </c>
    </row>
    <row r="83" customFormat="false" ht="118.5" hidden="false" customHeight="true" outlineLevel="0" collapsed="false">
      <c r="A83" s="16" t="s">
        <v>261</v>
      </c>
      <c r="B83" s="17" t="s">
        <v>262</v>
      </c>
      <c r="C83" s="16" t="s">
        <v>263</v>
      </c>
      <c r="D83" s="18" t="n">
        <f aca="false">Programme!$G$133</f>
        <v>17.3</v>
      </c>
      <c r="E83" s="18" t="n">
        <v>3000</v>
      </c>
      <c r="F83" s="18" t="n">
        <f aca="false">D83*E83</f>
        <v>51900</v>
      </c>
      <c r="G83" s="19" t="s">
        <v>264</v>
      </c>
    </row>
    <row r="84" customFormat="false" ht="42" hidden="false" customHeight="true" outlineLevel="0" collapsed="false">
      <c r="A84" s="16" t="s">
        <v>265</v>
      </c>
      <c r="B84" s="17" t="s">
        <v>266</v>
      </c>
      <c r="C84" s="16" t="s">
        <v>96</v>
      </c>
      <c r="D84" s="18" t="n">
        <f aca="false">Programme!$G$134</f>
        <v>2.7</v>
      </c>
      <c r="E84" s="18" t="n">
        <v>2500</v>
      </c>
      <c r="F84" s="18" t="n">
        <f aca="false">D84*E84</f>
        <v>6750</v>
      </c>
      <c r="G84" s="19" t="s">
        <v>267</v>
      </c>
    </row>
    <row r="85" customFormat="false" ht="80.25" hidden="false" customHeight="true" outlineLevel="0" collapsed="false">
      <c r="A85" s="16" t="s">
        <v>268</v>
      </c>
      <c r="B85" s="17" t="s">
        <v>269</v>
      </c>
      <c r="C85" s="16" t="s">
        <v>204</v>
      </c>
      <c r="D85" s="18" t="n">
        <v>0</v>
      </c>
      <c r="E85" s="18" t="n">
        <v>1500</v>
      </c>
      <c r="F85" s="18" t="n">
        <f aca="false">D85*E85</f>
        <v>0</v>
      </c>
      <c r="G85" s="19" t="s">
        <v>270</v>
      </c>
    </row>
    <row r="86" customFormat="false" ht="54.75" hidden="false" customHeight="true" outlineLevel="0" collapsed="false">
      <c r="A86" s="16" t="s">
        <v>271</v>
      </c>
      <c r="B86" s="17" t="s">
        <v>272</v>
      </c>
      <c r="C86" s="16" t="s">
        <v>204</v>
      </c>
      <c r="D86" s="18" t="n">
        <v>0</v>
      </c>
      <c r="E86" s="18" t="n">
        <v>2250</v>
      </c>
      <c r="F86" s="18" t="n">
        <f aca="false">D86*E86</f>
        <v>0</v>
      </c>
      <c r="G86" s="19" t="s">
        <v>273</v>
      </c>
    </row>
    <row r="87" customFormat="false" ht="42" hidden="false" customHeight="true" outlineLevel="0" collapsed="false">
      <c r="A87" s="16" t="s">
        <v>274</v>
      </c>
      <c r="B87" s="17" t="s">
        <v>275</v>
      </c>
      <c r="C87" s="16" t="s">
        <v>250</v>
      </c>
      <c r="D87" s="18" t="n">
        <f aca="false">Programme!$G$135</f>
        <v>5.4</v>
      </c>
      <c r="E87" s="18" t="n">
        <v>1200</v>
      </c>
      <c r="F87" s="18" t="n">
        <f aca="false">D87*E87</f>
        <v>6480</v>
      </c>
      <c r="G87" s="19" t="s">
        <v>276</v>
      </c>
    </row>
    <row r="88" customFormat="false" ht="29.25" hidden="false" customHeight="true" outlineLevel="0" collapsed="false">
      <c r="A88" s="16" t="s">
        <v>277</v>
      </c>
      <c r="B88" s="17" t="s">
        <v>278</v>
      </c>
      <c r="C88" s="16" t="s">
        <v>201</v>
      </c>
      <c r="D88" s="18" t="n">
        <v>2</v>
      </c>
      <c r="E88" s="18" t="n">
        <v>1400</v>
      </c>
      <c r="F88" s="18" t="n">
        <f aca="false">D88*E88</f>
        <v>2800</v>
      </c>
      <c r="G88" s="19" t="s">
        <v>143</v>
      </c>
    </row>
    <row r="89" customFormat="false" ht="19.5" hidden="false" customHeight="true" outlineLevel="0" collapsed="false">
      <c r="A89" s="34"/>
      <c r="B89" s="23" t="s">
        <v>279</v>
      </c>
      <c r="C89" s="34"/>
      <c r="D89" s="34"/>
      <c r="E89" s="34"/>
      <c r="F89" s="35" t="n">
        <f aca="false">SUM(F74:F88)</f>
        <v>298950</v>
      </c>
      <c r="G89" s="34"/>
    </row>
    <row r="91" customFormat="false" ht="21" hidden="false" customHeight="true" outlineLevel="0" collapsed="false">
      <c r="A91" s="15" t="s">
        <v>280</v>
      </c>
      <c r="B91" s="15"/>
      <c r="C91" s="15"/>
      <c r="D91" s="15"/>
      <c r="E91" s="15"/>
      <c r="F91" s="15"/>
      <c r="G91" s="15"/>
    </row>
    <row r="92" customFormat="false" ht="45" hidden="false" customHeight="true" outlineLevel="0" collapsed="false">
      <c r="A92" s="11" t="s">
        <v>281</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282</v>
      </c>
      <c r="B94" s="17" t="s">
        <v>283</v>
      </c>
      <c r="C94" s="16" t="s">
        <v>72</v>
      </c>
      <c r="D94" s="18" t="n">
        <v>1</v>
      </c>
      <c r="E94" s="18" t="n">
        <v>2763500</v>
      </c>
      <c r="F94" s="18" t="n">
        <f aca="false">D94*E94</f>
        <v>2763500</v>
      </c>
      <c r="G94" s="19" t="s">
        <v>284</v>
      </c>
    </row>
    <row r="95" customFormat="false" ht="19.5" hidden="false" customHeight="true" outlineLevel="0" collapsed="false">
      <c r="A95" s="34"/>
      <c r="B95" s="23" t="s">
        <v>285</v>
      </c>
      <c r="C95" s="34"/>
      <c r="D95" s="34"/>
      <c r="E95" s="34"/>
      <c r="F95" s="35" t="n">
        <f aca="false">SUM(F94:F94)</f>
        <v>2763500</v>
      </c>
      <c r="G95" s="34"/>
    </row>
    <row r="97" customFormat="false" ht="21" hidden="false" customHeight="true" outlineLevel="0" collapsed="false">
      <c r="A97" s="15" t="s">
        <v>286</v>
      </c>
      <c r="B97" s="15"/>
      <c r="C97" s="15"/>
      <c r="D97" s="15"/>
      <c r="E97" s="15"/>
      <c r="F97" s="15"/>
      <c r="G97" s="15"/>
    </row>
    <row r="98" customFormat="false" ht="96" hidden="false" customHeight="true" outlineLevel="0" collapsed="false">
      <c r="A98" s="11" t="s">
        <v>287</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288</v>
      </c>
      <c r="B100" s="17" t="s">
        <v>289</v>
      </c>
      <c r="C100" s="16" t="s">
        <v>209</v>
      </c>
      <c r="D100" s="18" t="n">
        <f aca="false">Programme!$G$136</f>
        <v>3774</v>
      </c>
      <c r="E100" s="18" t="n">
        <v>6</v>
      </c>
      <c r="F100" s="18" t="n">
        <f aca="false">D100*E100</f>
        <v>22644</v>
      </c>
      <c r="G100" s="19" t="s">
        <v>290</v>
      </c>
    </row>
    <row r="101" customFormat="false" ht="67.5" hidden="false" customHeight="true" outlineLevel="0" collapsed="false">
      <c r="A101" s="16" t="s">
        <v>291</v>
      </c>
      <c r="B101" s="17" t="s">
        <v>292</v>
      </c>
      <c r="C101" s="16" t="s">
        <v>163</v>
      </c>
      <c r="D101" s="18" t="n">
        <f aca="false">Programme!$G$137</f>
        <v>7</v>
      </c>
      <c r="E101" s="18" t="n">
        <v>500</v>
      </c>
      <c r="F101" s="18" t="n">
        <f aca="false">D101*E101</f>
        <v>3500</v>
      </c>
      <c r="G101" s="19" t="s">
        <v>293</v>
      </c>
    </row>
    <row r="102" customFormat="false" ht="29.25" hidden="false" customHeight="true" outlineLevel="0" collapsed="false">
      <c r="A102" s="16" t="s">
        <v>294</v>
      </c>
      <c r="B102" s="17" t="s">
        <v>295</v>
      </c>
      <c r="C102" s="16" t="s">
        <v>296</v>
      </c>
      <c r="D102" s="18" t="n">
        <f aca="false">Programme!$G$138</f>
        <v>1</v>
      </c>
      <c r="E102" s="18" t="n">
        <v>1000</v>
      </c>
      <c r="F102" s="18" t="n">
        <f aca="false">D102*E102</f>
        <v>1000</v>
      </c>
      <c r="G102" s="19" t="s">
        <v>143</v>
      </c>
    </row>
    <row r="103" customFormat="false" ht="42" hidden="false" customHeight="true" outlineLevel="0" collapsed="false">
      <c r="A103" s="16" t="s">
        <v>297</v>
      </c>
      <c r="B103" s="17" t="s">
        <v>298</v>
      </c>
      <c r="C103" s="16" t="s">
        <v>142</v>
      </c>
      <c r="D103" s="18" t="n">
        <f aca="false">Programme!$G$139</f>
        <v>6</v>
      </c>
      <c r="E103" s="18" t="n">
        <v>150</v>
      </c>
      <c r="F103" s="18" t="n">
        <f aca="false">D103*E103</f>
        <v>900</v>
      </c>
      <c r="G103" s="19" t="s">
        <v>299</v>
      </c>
    </row>
    <row r="104" customFormat="false" ht="42" hidden="false" customHeight="true" outlineLevel="0" collapsed="false">
      <c r="A104" s="16" t="s">
        <v>300</v>
      </c>
      <c r="B104" s="17" t="s">
        <v>301</v>
      </c>
      <c r="C104" s="16" t="s">
        <v>209</v>
      </c>
      <c r="D104" s="18" t="n">
        <f aca="false">Programme!$G$140</f>
        <v>377</v>
      </c>
      <c r="E104" s="18" t="n">
        <v>6</v>
      </c>
      <c r="F104" s="18" t="n">
        <f aca="false">D104*E104</f>
        <v>2262</v>
      </c>
      <c r="G104" s="19" t="s">
        <v>302</v>
      </c>
    </row>
    <row r="105" customFormat="false" ht="29.25" hidden="false" customHeight="true" outlineLevel="0" collapsed="false">
      <c r="A105" s="16" t="s">
        <v>303</v>
      </c>
      <c r="B105" s="17" t="s">
        <v>304</v>
      </c>
      <c r="C105" s="16" t="s">
        <v>305</v>
      </c>
      <c r="D105" s="18" t="n">
        <v>800</v>
      </c>
      <c r="E105" s="18" t="n">
        <v>6</v>
      </c>
      <c r="F105" s="18" t="n">
        <f aca="false">D105*E105</f>
        <v>4800</v>
      </c>
      <c r="G105" s="19" t="s">
        <v>143</v>
      </c>
    </row>
    <row r="106" customFormat="false" ht="29.25" hidden="false" customHeight="true" outlineLevel="0" collapsed="false">
      <c r="A106" s="16" t="s">
        <v>306</v>
      </c>
      <c r="B106" s="17" t="s">
        <v>307</v>
      </c>
      <c r="C106" s="16" t="s">
        <v>296</v>
      </c>
      <c r="D106" s="18" t="n">
        <v>2</v>
      </c>
      <c r="E106" s="18" t="n">
        <v>750</v>
      </c>
      <c r="F106" s="18" t="n">
        <f aca="false">D106*E106</f>
        <v>1500</v>
      </c>
      <c r="G106" s="19" t="s">
        <v>143</v>
      </c>
    </row>
    <row r="107" customFormat="false" ht="29.25" hidden="false" customHeight="true" outlineLevel="0" collapsed="false">
      <c r="A107" s="16" t="s">
        <v>308</v>
      </c>
      <c r="B107" s="17" t="s">
        <v>309</v>
      </c>
      <c r="C107" s="16" t="s">
        <v>142</v>
      </c>
      <c r="D107" s="18" t="n">
        <v>20</v>
      </c>
      <c r="E107" s="18" t="n">
        <v>150</v>
      </c>
      <c r="F107" s="18" t="n">
        <f aca="false">D107*E107</f>
        <v>3000</v>
      </c>
      <c r="G107" s="19" t="s">
        <v>143</v>
      </c>
    </row>
    <row r="108" customFormat="false" ht="29.25" hidden="false" customHeight="true" outlineLevel="0" collapsed="false">
      <c r="A108" s="16" t="s">
        <v>310</v>
      </c>
      <c r="B108" s="17" t="s">
        <v>311</v>
      </c>
      <c r="C108" s="16" t="s">
        <v>305</v>
      </c>
      <c r="D108" s="18" t="n">
        <v>400</v>
      </c>
      <c r="E108" s="18" t="n">
        <v>5</v>
      </c>
      <c r="F108" s="18" t="n">
        <f aca="false">D108*E108</f>
        <v>2000</v>
      </c>
      <c r="G108" s="19" t="s">
        <v>143</v>
      </c>
    </row>
    <row r="109" customFormat="false" ht="29.25" hidden="false" customHeight="true" outlineLevel="0" collapsed="false">
      <c r="A109" s="16" t="s">
        <v>312</v>
      </c>
      <c r="B109" s="17" t="s">
        <v>313</v>
      </c>
      <c r="C109" s="16" t="s">
        <v>204</v>
      </c>
      <c r="D109" s="18" t="n">
        <v>2</v>
      </c>
      <c r="E109" s="18" t="n">
        <v>1850</v>
      </c>
      <c r="F109" s="18" t="n">
        <f aca="false">D109*E109</f>
        <v>3700</v>
      </c>
      <c r="G109" s="19" t="s">
        <v>143</v>
      </c>
    </row>
    <row r="110" customFormat="false" ht="42" hidden="false" customHeight="true" outlineLevel="0" collapsed="false">
      <c r="A110" s="16" t="s">
        <v>314</v>
      </c>
      <c r="B110" s="17" t="s">
        <v>315</v>
      </c>
      <c r="C110" s="16" t="s">
        <v>316</v>
      </c>
      <c r="D110" s="18" t="n">
        <v>6</v>
      </c>
      <c r="E110" s="18" t="n">
        <v>1200</v>
      </c>
      <c r="F110" s="18" t="n">
        <f aca="false">D110*E110</f>
        <v>7200</v>
      </c>
      <c r="G110" s="19" t="s">
        <v>317</v>
      </c>
    </row>
    <row r="111" customFormat="false" ht="54.75" hidden="false" customHeight="true" outlineLevel="0" collapsed="false">
      <c r="A111" s="16" t="s">
        <v>318</v>
      </c>
      <c r="B111" s="17" t="s">
        <v>319</v>
      </c>
      <c r="C111" s="16" t="s">
        <v>320</v>
      </c>
      <c r="D111" s="18" t="n">
        <v>0</v>
      </c>
      <c r="E111" s="18" t="n">
        <v>2400</v>
      </c>
      <c r="F111" s="18" t="n">
        <f aca="false">D111*E111</f>
        <v>0</v>
      </c>
      <c r="G111" s="19" t="s">
        <v>321</v>
      </c>
    </row>
    <row r="112" customFormat="false" ht="80.25" hidden="false" customHeight="true" outlineLevel="0" collapsed="false">
      <c r="A112" s="16" t="s">
        <v>322</v>
      </c>
      <c r="B112" s="17" t="s">
        <v>323</v>
      </c>
      <c r="C112" s="16" t="s">
        <v>163</v>
      </c>
      <c r="D112" s="18" t="n">
        <f aca="false">Programme!$G$141</f>
        <v>8</v>
      </c>
      <c r="E112" s="18" t="n">
        <v>2000</v>
      </c>
      <c r="F112" s="18" t="n">
        <f aca="false">D112*E112</f>
        <v>16000</v>
      </c>
      <c r="G112" s="19" t="s">
        <v>324</v>
      </c>
    </row>
    <row r="113" customFormat="false" ht="54.75" hidden="false" customHeight="true" outlineLevel="0" collapsed="false">
      <c r="A113" s="16" t="s">
        <v>325</v>
      </c>
      <c r="B113" s="17" t="s">
        <v>326</v>
      </c>
      <c r="C113" s="16" t="s">
        <v>142</v>
      </c>
      <c r="D113" s="18" t="n">
        <f aca="false">Programme!$G$142</f>
        <v>12</v>
      </c>
      <c r="E113" s="18" t="n">
        <v>400</v>
      </c>
      <c r="F113" s="18" t="n">
        <f aca="false">D113*E113</f>
        <v>4800</v>
      </c>
      <c r="G113" s="19" t="s">
        <v>327</v>
      </c>
    </row>
    <row r="114" customFormat="false" ht="29.25" hidden="false" customHeight="true" outlineLevel="0" collapsed="false">
      <c r="A114" s="16" t="s">
        <v>328</v>
      </c>
      <c r="B114" s="17" t="s">
        <v>329</v>
      </c>
      <c r="C114" s="16" t="s">
        <v>163</v>
      </c>
      <c r="D114" s="18" t="n">
        <v>5</v>
      </c>
      <c r="E114" s="18" t="n">
        <v>400</v>
      </c>
      <c r="F114" s="18" t="n">
        <f aca="false">D114*E114</f>
        <v>2000</v>
      </c>
      <c r="G114" s="19" t="s">
        <v>143</v>
      </c>
    </row>
    <row r="115" customFormat="false" ht="54.75" hidden="false" customHeight="true" outlineLevel="0" collapsed="false">
      <c r="A115" s="16" t="s">
        <v>330</v>
      </c>
      <c r="B115" s="17" t="s">
        <v>331</v>
      </c>
      <c r="C115" s="16" t="s">
        <v>163</v>
      </c>
      <c r="D115" s="18" t="n">
        <f aca="false">Programme!$G$143</f>
        <v>5</v>
      </c>
      <c r="E115" s="18" t="n">
        <v>1000</v>
      </c>
      <c r="F115" s="18" t="n">
        <f aca="false">D115*E115</f>
        <v>5000</v>
      </c>
      <c r="G115" s="19" t="s">
        <v>332</v>
      </c>
    </row>
    <row r="116" customFormat="false" ht="29.25" hidden="false" customHeight="true" outlineLevel="0" collapsed="false">
      <c r="A116" s="16" t="s">
        <v>333</v>
      </c>
      <c r="B116" s="17" t="s">
        <v>334</v>
      </c>
      <c r="C116" s="16" t="s">
        <v>163</v>
      </c>
      <c r="D116" s="18" t="n">
        <v>4</v>
      </c>
      <c r="E116" s="18" t="n">
        <v>1000</v>
      </c>
      <c r="F116" s="18" t="n">
        <f aca="false">D116*E116</f>
        <v>4000</v>
      </c>
      <c r="G116" s="19" t="s">
        <v>143</v>
      </c>
    </row>
    <row r="117" customFormat="false" ht="29.25" hidden="false" customHeight="true" outlineLevel="0" collapsed="false">
      <c r="A117" s="16" t="s">
        <v>335</v>
      </c>
      <c r="B117" s="17" t="s">
        <v>336</v>
      </c>
      <c r="C117" s="16" t="s">
        <v>72</v>
      </c>
      <c r="D117" s="18" t="n">
        <v>6</v>
      </c>
      <c r="E117" s="18" t="n">
        <v>750</v>
      </c>
      <c r="F117" s="18" t="n">
        <f aca="false">D117*E117</f>
        <v>4500</v>
      </c>
      <c r="G117" s="19" t="s">
        <v>143</v>
      </c>
    </row>
    <row r="118" customFormat="false" ht="29.25" hidden="false" customHeight="true" outlineLevel="0" collapsed="false">
      <c r="A118" s="16" t="s">
        <v>337</v>
      </c>
      <c r="B118" s="17" t="s">
        <v>338</v>
      </c>
      <c r="C118" s="16" t="s">
        <v>296</v>
      </c>
      <c r="D118" s="18" t="n">
        <v>2</v>
      </c>
      <c r="E118" s="18" t="n">
        <v>750</v>
      </c>
      <c r="F118" s="18" t="n">
        <f aca="false">D118*E118</f>
        <v>1500</v>
      </c>
      <c r="G118" s="19" t="s">
        <v>143</v>
      </c>
    </row>
    <row r="119" customFormat="false" ht="67.5" hidden="false" customHeight="true" outlineLevel="0" collapsed="false">
      <c r="A119" s="16" t="s">
        <v>339</v>
      </c>
      <c r="B119" s="17" t="s">
        <v>340</v>
      </c>
      <c r="C119" s="16" t="s">
        <v>96</v>
      </c>
      <c r="D119" s="18" t="n">
        <v>1</v>
      </c>
      <c r="E119" s="18" t="n">
        <v>6000</v>
      </c>
      <c r="F119" s="18" t="n">
        <f aca="false">D119*E119</f>
        <v>6000</v>
      </c>
      <c r="G119" s="19" t="s">
        <v>341</v>
      </c>
    </row>
    <row r="120" customFormat="false" ht="29.25" hidden="false" customHeight="true" outlineLevel="0" collapsed="false">
      <c r="A120" s="16" t="s">
        <v>342</v>
      </c>
      <c r="B120" s="17" t="s">
        <v>343</v>
      </c>
      <c r="C120" s="16" t="s">
        <v>96</v>
      </c>
      <c r="D120" s="18" t="n">
        <v>0.5</v>
      </c>
      <c r="E120" s="18" t="n">
        <v>8000</v>
      </c>
      <c r="F120" s="18" t="n">
        <f aca="false">D120*E120</f>
        <v>4000</v>
      </c>
      <c r="G120" s="19" t="s">
        <v>143</v>
      </c>
    </row>
    <row r="121" customFormat="false" ht="67.5" hidden="false" customHeight="true" outlineLevel="0" collapsed="false">
      <c r="A121" s="16" t="s">
        <v>344</v>
      </c>
      <c r="B121" s="17" t="s">
        <v>345</v>
      </c>
      <c r="C121" s="16" t="s">
        <v>163</v>
      </c>
      <c r="D121" s="18" t="n">
        <f aca="false">Programme!$G$144</f>
        <v>4</v>
      </c>
      <c r="E121" s="18" t="n">
        <v>500</v>
      </c>
      <c r="F121" s="18" t="n">
        <f aca="false">D121*E121</f>
        <v>2000</v>
      </c>
      <c r="G121" s="19" t="s">
        <v>346</v>
      </c>
    </row>
    <row r="122" customFormat="false" ht="132" hidden="false" customHeight="true" outlineLevel="0" collapsed="false">
      <c r="A122" s="16" t="s">
        <v>347</v>
      </c>
      <c r="B122" s="17" t="s">
        <v>348</v>
      </c>
      <c r="C122" s="16" t="s">
        <v>146</v>
      </c>
      <c r="D122" s="18" t="n">
        <v>0</v>
      </c>
      <c r="E122" s="18" t="n">
        <v>0</v>
      </c>
      <c r="F122" s="18" t="n">
        <f aca="false">D122*E122</f>
        <v>0</v>
      </c>
      <c r="G122" s="19" t="s">
        <v>349</v>
      </c>
    </row>
    <row r="123" customFormat="false" ht="19.5" hidden="false" customHeight="true" outlineLevel="0" collapsed="false">
      <c r="A123" s="34"/>
      <c r="B123" s="23" t="s">
        <v>350</v>
      </c>
      <c r="C123" s="34"/>
      <c r="D123" s="34"/>
      <c r="E123" s="34"/>
      <c r="F123" s="35" t="n">
        <f aca="false">SUM(F100:F122)</f>
        <v>102306</v>
      </c>
      <c r="G123" s="34"/>
    </row>
    <row r="124" customFormat="false" ht="14.25" hidden="false" customHeight="false" outlineLevel="0" collapsed="false">
      <c r="A124" s="38"/>
      <c r="B124" s="39" t="s">
        <v>351</v>
      </c>
      <c r="C124" s="38"/>
      <c r="D124" s="38"/>
      <c r="E124" s="38"/>
      <c r="F124" s="40" t="n">
        <f aca="false">F123/2</f>
        <v>51153</v>
      </c>
      <c r="G124" s="38"/>
    </row>
    <row r="126" customFormat="false" ht="21" hidden="false" customHeight="true" outlineLevel="0" collapsed="false">
      <c r="A126" s="15" t="s">
        <v>352</v>
      </c>
      <c r="B126" s="15"/>
      <c r="C126" s="15"/>
      <c r="D126" s="15"/>
      <c r="E126" s="15"/>
      <c r="F126" s="15"/>
      <c r="G126" s="15"/>
    </row>
    <row r="127" customFormat="false" ht="96" hidden="false" customHeight="true" outlineLevel="0" collapsed="false">
      <c r="A127" s="11" t="s">
        <v>353</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354</v>
      </c>
      <c r="B129" s="17" t="s">
        <v>355</v>
      </c>
      <c r="C129" s="16" t="s">
        <v>356</v>
      </c>
      <c r="D129" s="18" t="n">
        <v>200</v>
      </c>
      <c r="E129" s="18" t="n">
        <v>400</v>
      </c>
      <c r="F129" s="18" t="n">
        <f aca="false">D129*E129</f>
        <v>80000</v>
      </c>
      <c r="G129" s="19" t="s">
        <v>357</v>
      </c>
    </row>
    <row r="130" customFormat="false" ht="105.75" hidden="false" customHeight="true" outlineLevel="0" collapsed="false">
      <c r="A130" s="16" t="s">
        <v>358</v>
      </c>
      <c r="B130" s="17" t="s">
        <v>359</v>
      </c>
      <c r="C130" s="16" t="s">
        <v>356</v>
      </c>
      <c r="D130" s="18" t="n">
        <v>60</v>
      </c>
      <c r="E130" s="18" t="n">
        <v>120</v>
      </c>
      <c r="F130" s="18" t="n">
        <f aca="false">D130*E130</f>
        <v>7200</v>
      </c>
      <c r="G130" s="19" t="s">
        <v>360</v>
      </c>
    </row>
    <row r="131" customFormat="false" ht="80.25" hidden="false" customHeight="true" outlineLevel="0" collapsed="false">
      <c r="A131" s="16" t="s">
        <v>361</v>
      </c>
      <c r="B131" s="17" t="s">
        <v>362</v>
      </c>
      <c r="C131" s="16" t="s">
        <v>72</v>
      </c>
      <c r="D131" s="18" t="n">
        <v>10</v>
      </c>
      <c r="E131" s="18" t="n">
        <v>5500</v>
      </c>
      <c r="F131" s="18" t="n">
        <f aca="false">D131*E131</f>
        <v>55000</v>
      </c>
      <c r="G131" s="19" t="s">
        <v>363</v>
      </c>
    </row>
    <row r="132" customFormat="false" ht="29.25" hidden="false" customHeight="true" outlineLevel="0" collapsed="false">
      <c r="A132" s="16" t="s">
        <v>364</v>
      </c>
      <c r="B132" s="17" t="s">
        <v>365</v>
      </c>
      <c r="C132" s="16" t="s">
        <v>72</v>
      </c>
      <c r="D132" s="18" t="n">
        <v>4</v>
      </c>
      <c r="E132" s="18" t="n">
        <v>2500</v>
      </c>
      <c r="F132" s="18" t="n">
        <f aca="false">D132*E132</f>
        <v>10000</v>
      </c>
      <c r="G132" s="19" t="s">
        <v>143</v>
      </c>
    </row>
    <row r="133" customFormat="false" ht="29.25" hidden="false" customHeight="true" outlineLevel="0" collapsed="false">
      <c r="A133" s="16" t="s">
        <v>366</v>
      </c>
      <c r="B133" s="17" t="s">
        <v>367</v>
      </c>
      <c r="C133" s="16" t="s">
        <v>72</v>
      </c>
      <c r="D133" s="18" t="n">
        <v>8</v>
      </c>
      <c r="E133" s="18" t="n">
        <v>375</v>
      </c>
      <c r="F133" s="18" t="n">
        <f aca="false">D133*E133</f>
        <v>3000</v>
      </c>
      <c r="G133" s="19" t="s">
        <v>143</v>
      </c>
    </row>
    <row r="134" customFormat="false" ht="29.25" hidden="false" customHeight="true" outlineLevel="0" collapsed="false">
      <c r="A134" s="16" t="s">
        <v>368</v>
      </c>
      <c r="B134" s="17" t="s">
        <v>369</v>
      </c>
      <c r="C134" s="16" t="s">
        <v>370</v>
      </c>
      <c r="D134" s="18" t="n">
        <v>2</v>
      </c>
      <c r="E134" s="18" t="n">
        <v>3500</v>
      </c>
      <c r="F134" s="18" t="n">
        <f aca="false">D134*E134</f>
        <v>7000</v>
      </c>
      <c r="G134" s="19" t="s">
        <v>143</v>
      </c>
    </row>
    <row r="135" customFormat="false" ht="29.25" hidden="false" customHeight="true" outlineLevel="0" collapsed="false">
      <c r="A135" s="16" t="s">
        <v>371</v>
      </c>
      <c r="B135" s="17" t="s">
        <v>372</v>
      </c>
      <c r="C135" s="16" t="s">
        <v>72</v>
      </c>
      <c r="D135" s="18" t="n">
        <v>40</v>
      </c>
      <c r="E135" s="18" t="n">
        <v>250</v>
      </c>
      <c r="F135" s="18" t="n">
        <f aca="false">D135*E135</f>
        <v>10000</v>
      </c>
      <c r="G135" s="19" t="s">
        <v>143</v>
      </c>
    </row>
    <row r="136" customFormat="false" ht="29.25" hidden="false" customHeight="true" outlineLevel="0" collapsed="false">
      <c r="A136" s="16" t="s">
        <v>373</v>
      </c>
      <c r="B136" s="17" t="s">
        <v>374</v>
      </c>
      <c r="C136" s="16" t="s">
        <v>72</v>
      </c>
      <c r="D136" s="18" t="n">
        <v>8</v>
      </c>
      <c r="E136" s="18" t="n">
        <v>625</v>
      </c>
      <c r="F136" s="18" t="n">
        <f aca="false">D136*E136</f>
        <v>5000</v>
      </c>
      <c r="G136" s="19" t="s">
        <v>143</v>
      </c>
    </row>
    <row r="137" customFormat="false" ht="39" hidden="false" customHeight="true" outlineLevel="0" collapsed="false">
      <c r="A137" s="16" t="s">
        <v>375</v>
      </c>
      <c r="B137" s="17" t="s">
        <v>376</v>
      </c>
      <c r="C137" s="16" t="s">
        <v>72</v>
      </c>
      <c r="D137" s="18" t="n">
        <v>2</v>
      </c>
      <c r="E137" s="18" t="n">
        <v>3500</v>
      </c>
      <c r="F137" s="18" t="n">
        <f aca="false">D137*E137</f>
        <v>7000</v>
      </c>
      <c r="G137" s="19" t="s">
        <v>143</v>
      </c>
    </row>
    <row r="138" customFormat="false" ht="67.5" hidden="false" customHeight="true" outlineLevel="0" collapsed="false">
      <c r="A138" s="16" t="s">
        <v>377</v>
      </c>
      <c r="B138" s="17" t="s">
        <v>378</v>
      </c>
      <c r="C138" s="16" t="s">
        <v>72</v>
      </c>
      <c r="D138" s="18" t="n">
        <v>2</v>
      </c>
      <c r="E138" s="18" t="n">
        <v>4500</v>
      </c>
      <c r="F138" s="18" t="n">
        <f aca="false">D138*E138</f>
        <v>9000</v>
      </c>
      <c r="G138" s="19" t="s">
        <v>379</v>
      </c>
    </row>
    <row r="139" customFormat="false" ht="42" hidden="false" customHeight="true" outlineLevel="0" collapsed="false">
      <c r="A139" s="16" t="s">
        <v>380</v>
      </c>
      <c r="B139" s="17" t="s">
        <v>381</v>
      </c>
      <c r="C139" s="16" t="s">
        <v>356</v>
      </c>
      <c r="D139" s="18" t="n">
        <v>160</v>
      </c>
      <c r="E139" s="18" t="n">
        <v>25</v>
      </c>
      <c r="F139" s="18" t="n">
        <f aca="false">D139*E139</f>
        <v>4000</v>
      </c>
      <c r="G139" s="19" t="s">
        <v>382</v>
      </c>
    </row>
    <row r="140" customFormat="false" ht="29.25" hidden="false" customHeight="true" outlineLevel="0" collapsed="false">
      <c r="A140" s="16" t="s">
        <v>383</v>
      </c>
      <c r="B140" s="17" t="s">
        <v>384</v>
      </c>
      <c r="C140" s="16" t="s">
        <v>201</v>
      </c>
      <c r="D140" s="18" t="n">
        <v>2</v>
      </c>
      <c r="E140" s="18" t="n">
        <v>2500</v>
      </c>
      <c r="F140" s="18" t="n">
        <f aca="false">D140*E140</f>
        <v>5000</v>
      </c>
      <c r="G140" s="19" t="s">
        <v>143</v>
      </c>
    </row>
    <row r="141" customFormat="false" ht="29.25" hidden="false" customHeight="true" outlineLevel="0" collapsed="false">
      <c r="A141" s="16" t="s">
        <v>385</v>
      </c>
      <c r="B141" s="17" t="s">
        <v>386</v>
      </c>
      <c r="C141" s="16" t="s">
        <v>72</v>
      </c>
      <c r="D141" s="18" t="n">
        <v>2</v>
      </c>
      <c r="E141" s="18" t="n">
        <v>1500</v>
      </c>
      <c r="F141" s="18" t="n">
        <f aca="false">D141*E141</f>
        <v>3000</v>
      </c>
      <c r="G141" s="19" t="s">
        <v>143</v>
      </c>
    </row>
    <row r="142" customFormat="false" ht="54.75" hidden="false" customHeight="true" outlineLevel="0" collapsed="false">
      <c r="A142" s="16" t="s">
        <v>387</v>
      </c>
      <c r="B142" s="17" t="s">
        <v>388</v>
      </c>
      <c r="C142" s="16" t="s">
        <v>72</v>
      </c>
      <c r="D142" s="18" t="n">
        <v>2</v>
      </c>
      <c r="E142" s="18" t="n">
        <v>6000</v>
      </c>
      <c r="F142" s="18" t="n">
        <f aca="false">D142*E142</f>
        <v>12000</v>
      </c>
      <c r="G142" s="19" t="s">
        <v>389</v>
      </c>
    </row>
    <row r="143" customFormat="false" ht="29.25" hidden="false" customHeight="true" outlineLevel="0" collapsed="false">
      <c r="A143" s="16" t="s">
        <v>390</v>
      </c>
      <c r="B143" s="17" t="s">
        <v>391</v>
      </c>
      <c r="C143" s="16" t="s">
        <v>72</v>
      </c>
      <c r="D143" s="18" t="n">
        <v>2</v>
      </c>
      <c r="E143" s="18" t="n">
        <v>4000</v>
      </c>
      <c r="F143" s="18" t="n">
        <f aca="false">D143*E143</f>
        <v>8000</v>
      </c>
      <c r="G143" s="19" t="s">
        <v>143</v>
      </c>
    </row>
    <row r="144" customFormat="false" ht="29.25" hidden="false" customHeight="true" outlineLevel="0" collapsed="false">
      <c r="A144" s="16" t="s">
        <v>392</v>
      </c>
      <c r="B144" s="17" t="s">
        <v>393</v>
      </c>
      <c r="C144" s="16" t="s">
        <v>296</v>
      </c>
      <c r="D144" s="18" t="n">
        <v>2</v>
      </c>
      <c r="E144" s="18" t="n">
        <v>1500</v>
      </c>
      <c r="F144" s="18" t="n">
        <f aca="false">D144*E144</f>
        <v>3000</v>
      </c>
      <c r="G144" s="19" t="s">
        <v>143</v>
      </c>
    </row>
    <row r="145" customFormat="false" ht="29.25" hidden="false" customHeight="true" outlineLevel="0" collapsed="false">
      <c r="A145" s="16" t="s">
        <v>394</v>
      </c>
      <c r="B145" s="17" t="s">
        <v>395</v>
      </c>
      <c r="C145" s="16" t="s">
        <v>209</v>
      </c>
      <c r="D145" s="18" t="n">
        <v>300</v>
      </c>
      <c r="E145" s="18" t="n">
        <v>6</v>
      </c>
      <c r="F145" s="18" t="n">
        <f aca="false">D145*E145</f>
        <v>1800</v>
      </c>
      <c r="G145" s="19" t="s">
        <v>143</v>
      </c>
    </row>
    <row r="146" customFormat="false" ht="29.25" hidden="false" customHeight="true" outlineLevel="0" collapsed="false">
      <c r="A146" s="16" t="s">
        <v>396</v>
      </c>
      <c r="B146" s="17" t="s">
        <v>397</v>
      </c>
      <c r="C146" s="16" t="s">
        <v>142</v>
      </c>
      <c r="D146" s="18" t="n">
        <v>24</v>
      </c>
      <c r="E146" s="18" t="n">
        <v>150</v>
      </c>
      <c r="F146" s="18" t="n">
        <f aca="false">D146*E146</f>
        <v>3600</v>
      </c>
      <c r="G146" s="19" t="s">
        <v>143</v>
      </c>
    </row>
    <row r="147" customFormat="false" ht="29.25" hidden="false" customHeight="true" outlineLevel="0" collapsed="false">
      <c r="A147" s="16" t="s">
        <v>398</v>
      </c>
      <c r="B147" s="17" t="s">
        <v>399</v>
      </c>
      <c r="C147" s="16" t="s">
        <v>400</v>
      </c>
      <c r="D147" s="18" t="n">
        <v>2</v>
      </c>
      <c r="E147" s="18" t="n">
        <v>1800</v>
      </c>
      <c r="F147" s="18" t="n">
        <f aca="false">D147*E147</f>
        <v>3600</v>
      </c>
      <c r="G147" s="19" t="s">
        <v>143</v>
      </c>
    </row>
    <row r="148" customFormat="false" ht="29.25" hidden="false" customHeight="true" outlineLevel="0" collapsed="false">
      <c r="A148" s="16" t="s">
        <v>401</v>
      </c>
      <c r="B148" s="17" t="s">
        <v>402</v>
      </c>
      <c r="C148" s="16" t="s">
        <v>356</v>
      </c>
      <c r="D148" s="18" t="n">
        <v>260</v>
      </c>
      <c r="E148" s="18" t="n">
        <v>20</v>
      </c>
      <c r="F148" s="18" t="n">
        <f aca="false">D148*E148</f>
        <v>5200</v>
      </c>
      <c r="G148" s="19" t="s">
        <v>143</v>
      </c>
    </row>
    <row r="149" customFormat="false" ht="54" hidden="false" customHeight="true" outlineLevel="0" collapsed="false">
      <c r="A149" s="16" t="s">
        <v>403</v>
      </c>
      <c r="B149" s="17" t="s">
        <v>404</v>
      </c>
      <c r="C149" s="16" t="s">
        <v>72</v>
      </c>
      <c r="D149" s="18" t="n">
        <v>70</v>
      </c>
      <c r="E149" s="18" t="n">
        <v>40</v>
      </c>
      <c r="F149" s="18" t="n">
        <f aca="false">D149*E149</f>
        <v>2800</v>
      </c>
      <c r="G149" s="19" t="s">
        <v>405</v>
      </c>
    </row>
    <row r="150" customFormat="false" ht="19.5" hidden="false" customHeight="true" outlineLevel="0" collapsed="false">
      <c r="A150" s="34"/>
      <c r="B150" s="23" t="s">
        <v>406</v>
      </c>
      <c r="C150" s="34"/>
      <c r="D150" s="34"/>
      <c r="E150" s="34"/>
      <c r="F150" s="35" t="n">
        <f aca="false">SUM(F129:F149)</f>
        <v>245200</v>
      </c>
      <c r="G150" s="34"/>
    </row>
    <row r="151" customFormat="false" ht="18" hidden="false" customHeight="true" outlineLevel="0" collapsed="false">
      <c r="B151" s="36" t="s">
        <v>407</v>
      </c>
    </row>
    <row r="152" customFormat="false" ht="105.75" hidden="false" customHeight="true" outlineLevel="0" collapsed="false">
      <c r="A152" s="16" t="s">
        <v>408</v>
      </c>
      <c r="B152" s="17" t="s">
        <v>409</v>
      </c>
      <c r="C152" s="16" t="s">
        <v>356</v>
      </c>
      <c r="D152" s="18" t="n">
        <f aca="false">D129</f>
        <v>200</v>
      </c>
      <c r="E152" s="18" t="n">
        <v>280</v>
      </c>
      <c r="F152" s="18" t="n">
        <f aca="false">D152*E152</f>
        <v>56000</v>
      </c>
      <c r="G152" s="19" t="s">
        <v>410</v>
      </c>
    </row>
    <row r="153" customFormat="false" ht="42" hidden="false" customHeight="true" outlineLevel="0" collapsed="false">
      <c r="A153" s="16" t="s">
        <v>411</v>
      </c>
      <c r="B153" s="17" t="s">
        <v>412</v>
      </c>
      <c r="C153" s="16" t="s">
        <v>356</v>
      </c>
      <c r="D153" s="18" t="n">
        <f aca="false">D130</f>
        <v>60</v>
      </c>
      <c r="E153" s="18" t="n">
        <f aca="false">E130</f>
        <v>120</v>
      </c>
      <c r="F153" s="18" t="n">
        <f aca="false">D153*E153</f>
        <v>7200</v>
      </c>
      <c r="G153" s="19" t="s">
        <v>413</v>
      </c>
    </row>
    <row r="154" customFormat="false" ht="54.75" hidden="false" customHeight="true" outlineLevel="0" collapsed="false">
      <c r="A154" s="16" t="s">
        <v>414</v>
      </c>
      <c r="B154" s="17" t="s">
        <v>415</v>
      </c>
      <c r="C154" s="16" t="s">
        <v>72</v>
      </c>
      <c r="D154" s="18" t="n">
        <v>1</v>
      </c>
      <c r="E154" s="18" t="n">
        <v>6500</v>
      </c>
      <c r="F154" s="18" t="n">
        <f aca="false">D154*E154</f>
        <v>6500</v>
      </c>
      <c r="G154" s="19" t="s">
        <v>416</v>
      </c>
    </row>
    <row r="155" customFormat="false" ht="54.75" hidden="false" customHeight="true" outlineLevel="0" collapsed="false">
      <c r="A155" s="16" t="s">
        <v>417</v>
      </c>
      <c r="B155" s="17" t="s">
        <v>418</v>
      </c>
      <c r="C155" s="16" t="s">
        <v>72</v>
      </c>
      <c r="D155" s="18" t="n">
        <v>1</v>
      </c>
      <c r="E155" s="18" t="n">
        <v>14000</v>
      </c>
      <c r="F155" s="18" t="n">
        <f aca="false">D155*E155</f>
        <v>14000</v>
      </c>
      <c r="G155" s="19" t="s">
        <v>419</v>
      </c>
    </row>
    <row r="156" customFormat="false" ht="42" hidden="false" customHeight="true" outlineLevel="0" collapsed="false">
      <c r="A156" s="16" t="s">
        <v>420</v>
      </c>
      <c r="B156" s="17" t="s">
        <v>421</v>
      </c>
      <c r="C156" s="16" t="s">
        <v>72</v>
      </c>
      <c r="D156" s="18" t="n">
        <f aca="false">D131-2</f>
        <v>8</v>
      </c>
      <c r="E156" s="18" t="n">
        <f aca="false">E131</f>
        <v>5500</v>
      </c>
      <c r="F156" s="18" t="n">
        <f aca="false">D156*E156</f>
        <v>44000</v>
      </c>
      <c r="G156" s="19" t="s">
        <v>422</v>
      </c>
    </row>
    <row r="157" customFormat="false" ht="14.25" hidden="false" customHeight="false" outlineLevel="0" collapsed="false">
      <c r="B157" s="36" t="s">
        <v>423</v>
      </c>
      <c r="F157" s="37" t="n">
        <f aca="false">SUM(F152:F156)</f>
        <v>127700</v>
      </c>
    </row>
    <row r="158" customFormat="false" ht="14.25" hidden="false" customHeight="false" outlineLevel="0" collapsed="false">
      <c r="B158" s="36" t="s">
        <v>424</v>
      </c>
      <c r="F158" s="37" t="n">
        <f aca="false">F129+F130+F131</f>
        <v>142200</v>
      </c>
    </row>
    <row r="159" customFormat="false" ht="30" hidden="false" customHeight="true" outlineLevel="0" collapsed="false">
      <c r="B159" s="36" t="s">
        <v>425</v>
      </c>
      <c r="F159" s="37" t="n">
        <f aca="false">F158-F157</f>
        <v>14500</v>
      </c>
    </row>
    <row r="161" customFormat="false" ht="21" hidden="false" customHeight="true" outlineLevel="0" collapsed="false">
      <c r="A161" s="15" t="s">
        <v>426</v>
      </c>
      <c r="B161" s="15"/>
      <c r="C161" s="15"/>
      <c r="D161" s="15"/>
      <c r="E161" s="15"/>
      <c r="F161" s="15"/>
      <c r="G161" s="15"/>
    </row>
    <row r="162" customFormat="false" ht="37.5" hidden="false" customHeight="true" outlineLevel="0" collapsed="false">
      <c r="A162" s="41" t="s">
        <v>427</v>
      </c>
      <c r="B162" s="41"/>
      <c r="C162" s="41"/>
      <c r="D162" s="41"/>
      <c r="E162" s="41"/>
      <c r="F162" s="41"/>
      <c r="G162" s="41"/>
    </row>
    <row r="163" customFormat="false" ht="49.5" hidden="false" customHeight="true" outlineLevel="0" collapsed="false">
      <c r="A163" s="41" t="s">
        <v>428</v>
      </c>
      <c r="B163" s="41"/>
      <c r="C163" s="41"/>
      <c r="D163" s="41"/>
      <c r="E163" s="41"/>
      <c r="F163" s="41"/>
      <c r="G163" s="41"/>
    </row>
    <row r="164" customFormat="false" ht="72.75" hidden="false" customHeight="true" outlineLevel="0" collapsed="false">
      <c r="A164" s="41" t="s">
        <v>429</v>
      </c>
      <c r="B164" s="41"/>
      <c r="C164" s="41"/>
      <c r="D164" s="41"/>
      <c r="E164" s="41"/>
      <c r="F164" s="41"/>
      <c r="G164" s="41"/>
    </row>
    <row r="165" customFormat="false" ht="38.25" hidden="false" customHeight="true" outlineLevel="0" collapsed="false">
      <c r="A165" s="41" t="s">
        <v>430</v>
      </c>
      <c r="B165" s="41"/>
      <c r="C165" s="41"/>
      <c r="D165" s="41"/>
      <c r="E165" s="41"/>
      <c r="F165" s="41"/>
      <c r="G165" s="41"/>
    </row>
    <row r="166" customFormat="false" ht="36.75" hidden="false" customHeight="true" outlineLevel="0" collapsed="false">
      <c r="A166" s="41" t="s">
        <v>431</v>
      </c>
      <c r="B166" s="41"/>
      <c r="C166" s="41"/>
      <c r="D166" s="41"/>
      <c r="E166" s="41"/>
      <c r="F166" s="41"/>
      <c r="G166" s="41"/>
    </row>
    <row r="167" customFormat="false" ht="37.5" hidden="false" customHeight="true" outlineLevel="0" collapsed="false">
      <c r="A167" s="41" t="s">
        <v>432</v>
      </c>
      <c r="B167" s="41"/>
      <c r="C167" s="41"/>
      <c r="D167" s="41"/>
      <c r="E167" s="41"/>
      <c r="F167" s="41"/>
      <c r="G167" s="41"/>
    </row>
    <row r="168" customFormat="false" ht="21" hidden="false" customHeight="true" outlineLevel="0" collapsed="false">
      <c r="A168" s="41" t="s">
        <v>433</v>
      </c>
      <c r="B168" s="41"/>
      <c r="C168" s="41"/>
      <c r="D168" s="41"/>
      <c r="E168" s="41"/>
      <c r="F168" s="41"/>
      <c r="G168" s="41"/>
    </row>
    <row r="169" customFormat="false" ht="21" hidden="false" customHeight="true" outlineLevel="0" collapsed="false">
      <c r="A169" s="41" t="s">
        <v>434</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435</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436</v>
      </c>
      <c r="B4" s="11"/>
      <c r="C4" s="11"/>
      <c r="D4" s="11"/>
      <c r="E4" s="11"/>
      <c r="F4" s="11"/>
      <c r="G4" s="11"/>
      <c r="H4" s="11"/>
    </row>
    <row r="6" customFormat="false" ht="21" hidden="false" customHeight="true" outlineLevel="0" collapsed="false">
      <c r="A6" s="15" t="s">
        <v>437</v>
      </c>
      <c r="B6" s="15"/>
      <c r="C6" s="15"/>
      <c r="D6" s="15"/>
      <c r="E6" s="15"/>
      <c r="F6" s="15"/>
      <c r="G6" s="15"/>
      <c r="H6" s="15"/>
    </row>
    <row r="7" customFormat="false" ht="31.5" hidden="false" customHeight="true" outlineLevel="0" collapsed="false">
      <c r="A7" s="13" t="s">
        <v>35</v>
      </c>
      <c r="B7" s="42" t="s">
        <v>36</v>
      </c>
      <c r="C7" s="42"/>
      <c r="D7" s="42"/>
      <c r="E7" s="13" t="s">
        <v>438</v>
      </c>
      <c r="F7" s="43" t="s">
        <v>439</v>
      </c>
      <c r="G7" s="13" t="s">
        <v>440</v>
      </c>
      <c r="H7" s="13" t="s">
        <v>441</v>
      </c>
    </row>
    <row r="8" customFormat="false" ht="42" hidden="false" customHeight="true" outlineLevel="0" collapsed="false">
      <c r="A8" s="16" t="s">
        <v>442</v>
      </c>
      <c r="B8" s="44" t="s">
        <v>443</v>
      </c>
      <c r="C8" s="44"/>
      <c r="D8" s="44"/>
      <c r="E8" s="18" t="n">
        <f aca="false">Assessment!$F$8</f>
        <v>680000</v>
      </c>
      <c r="F8" s="20" t="n">
        <f aca="false">Assessment!$K$8</f>
        <v>319680.56</v>
      </c>
      <c r="G8" s="18" t="n">
        <f aca="false">E8-F8</f>
        <v>360319.44</v>
      </c>
      <c r="H8" s="19" t="s">
        <v>444</v>
      </c>
    </row>
    <row r="9" customFormat="false" ht="42" hidden="false" customHeight="true" outlineLevel="0" collapsed="false">
      <c r="A9" s="16" t="s">
        <v>445</v>
      </c>
      <c r="B9" s="44" t="s">
        <v>446</v>
      </c>
      <c r="C9" s="44"/>
      <c r="D9" s="44"/>
      <c r="E9" s="18" t="n">
        <f aca="false">Assessment!$F$14</f>
        <v>504192.02</v>
      </c>
      <c r="F9" s="20" t="n">
        <f aca="false">Assessment!$K$14</f>
        <v>298950</v>
      </c>
      <c r="G9" s="18" t="n">
        <f aca="false">E9-F9</f>
        <v>205242.02</v>
      </c>
      <c r="H9" s="19" t="s">
        <v>447</v>
      </c>
    </row>
    <row r="10" customFormat="false" ht="42" hidden="false" customHeight="true" outlineLevel="0" collapsed="false">
      <c r="A10" s="16" t="s">
        <v>448</v>
      </c>
      <c r="B10" s="44" t="s">
        <v>449</v>
      </c>
      <c r="C10" s="44"/>
      <c r="D10" s="44"/>
      <c r="E10" s="18" t="n">
        <f aca="false">Assessment!$F$17</f>
        <v>426400</v>
      </c>
      <c r="F10" s="20" t="n">
        <f aca="false">Assessment!$K$17</f>
        <v>102306</v>
      </c>
      <c r="G10" s="18" t="n">
        <f aca="false">E10-F10</f>
        <v>324094</v>
      </c>
      <c r="H10" s="19" t="s">
        <v>450</v>
      </c>
    </row>
    <row r="11" customFormat="false" ht="42" hidden="false" customHeight="true" outlineLevel="0" collapsed="false">
      <c r="A11" s="16" t="s">
        <v>451</v>
      </c>
      <c r="B11" s="44" t="s">
        <v>452</v>
      </c>
      <c r="C11" s="44"/>
      <c r="D11" s="44"/>
      <c r="E11" s="18" t="n">
        <f aca="false">Assessment!$F$18</f>
        <v>420000</v>
      </c>
      <c r="F11" s="20" t="n">
        <f aca="false">Assessment!$K$18</f>
        <v>245200</v>
      </c>
      <c r="G11" s="18" t="n">
        <f aca="false">E11-F11</f>
        <v>174800</v>
      </c>
      <c r="H11" s="19" t="s">
        <v>453</v>
      </c>
    </row>
    <row r="12" customFormat="false" ht="24" hidden="false" customHeight="true" outlineLevel="0" collapsed="false">
      <c r="A12" s="23"/>
      <c r="B12" s="23" t="s">
        <v>454</v>
      </c>
      <c r="C12" s="23"/>
      <c r="D12" s="23"/>
      <c r="E12" s="24" t="n">
        <f aca="false">SUM(E8:E11)</f>
        <v>2030592.02</v>
      </c>
      <c r="F12" s="25" t="n">
        <f aca="false">SUM(F8:F11)</f>
        <v>966136.56</v>
      </c>
      <c r="G12" s="24" t="n">
        <f aca="false">E12-F12</f>
        <v>1064455.46</v>
      </c>
      <c r="H12" s="45" t="s">
        <v>455</v>
      </c>
    </row>
    <row r="13" customFormat="false" ht="18.75" hidden="false" customHeight="true" outlineLevel="0" collapsed="false">
      <c r="A13" s="46" t="s">
        <v>456</v>
      </c>
      <c r="B13" s="46"/>
      <c r="C13" s="46"/>
      <c r="D13" s="46"/>
      <c r="E13" s="46"/>
      <c r="F13" s="46"/>
      <c r="G13" s="46"/>
      <c r="H13" s="46"/>
    </row>
    <row r="15" customFormat="false" ht="21" hidden="false" customHeight="true" outlineLevel="0" collapsed="false">
      <c r="A15" s="15" t="s">
        <v>457</v>
      </c>
      <c r="B15" s="15"/>
      <c r="C15" s="15"/>
      <c r="D15" s="15"/>
      <c r="E15" s="15"/>
      <c r="F15" s="15"/>
      <c r="G15" s="15"/>
      <c r="H15" s="15"/>
    </row>
    <row r="16" customFormat="false" ht="31.5" hidden="false" customHeight="true" outlineLevel="0" collapsed="false">
      <c r="A16" s="46" t="s">
        <v>458</v>
      </c>
      <c r="B16" s="46"/>
      <c r="C16" s="46"/>
      <c r="D16" s="46"/>
      <c r="E16" s="46"/>
      <c r="F16" s="46"/>
      <c r="G16" s="46"/>
      <c r="H16" s="46"/>
    </row>
    <row r="17" customFormat="false" ht="18.75" hidden="false" customHeight="true" outlineLevel="0" collapsed="false">
      <c r="A17" s="46" t="s">
        <v>459</v>
      </c>
      <c r="B17" s="46"/>
      <c r="C17" s="46"/>
      <c r="D17" s="46"/>
      <c r="E17" s="46"/>
      <c r="F17" s="46"/>
      <c r="G17" s="46"/>
      <c r="H17" s="46"/>
    </row>
    <row r="18" customFormat="false" ht="18.75" hidden="false" customHeight="true" outlineLevel="0" collapsed="false">
      <c r="A18" s="46" t="s">
        <v>460</v>
      </c>
      <c r="B18" s="46"/>
      <c r="C18" s="46"/>
      <c r="D18" s="46"/>
      <c r="E18" s="46"/>
      <c r="F18" s="46"/>
      <c r="G18" s="46"/>
      <c r="H18" s="46"/>
    </row>
    <row r="19" customFormat="false" ht="18.75" hidden="false" customHeight="true" outlineLevel="0" collapsed="false">
      <c r="A19" s="46" t="s">
        <v>461</v>
      </c>
      <c r="B19" s="46"/>
      <c r="C19" s="46"/>
      <c r="D19" s="46"/>
      <c r="E19" s="46"/>
      <c r="F19" s="46"/>
      <c r="G19" s="46"/>
      <c r="H19" s="46"/>
    </row>
    <row r="20" customFormat="false" ht="31.5" hidden="false" customHeight="true" outlineLevel="0" collapsed="false">
      <c r="A20" s="46" t="s">
        <v>462</v>
      </c>
      <c r="B20" s="46"/>
      <c r="C20" s="46"/>
      <c r="D20" s="46"/>
      <c r="E20" s="46"/>
      <c r="F20" s="46"/>
      <c r="G20" s="46"/>
      <c r="H20" s="46"/>
    </row>
    <row r="22" customFormat="false" ht="21" hidden="false" customHeight="true" outlineLevel="0" collapsed="false">
      <c r="A22" s="15" t="s">
        <v>463</v>
      </c>
      <c r="B22" s="15"/>
      <c r="C22" s="15"/>
      <c r="D22" s="15"/>
      <c r="E22" s="15"/>
      <c r="F22" s="15"/>
      <c r="G22" s="15"/>
      <c r="H22" s="15"/>
    </row>
    <row r="23" customFormat="false" ht="31.5" hidden="false" customHeight="true" outlineLevel="0" collapsed="false">
      <c r="A23" s="11" t="s">
        <v>464</v>
      </c>
      <c r="B23" s="11"/>
      <c r="C23" s="11"/>
      <c r="D23" s="11"/>
      <c r="E23" s="11"/>
      <c r="F23" s="11"/>
      <c r="G23" s="11"/>
      <c r="H23" s="11"/>
    </row>
    <row r="24" customFormat="false" ht="31.5" hidden="false" customHeight="true" outlineLevel="0" collapsed="false">
      <c r="A24" s="13" t="s">
        <v>92</v>
      </c>
      <c r="B24" s="13" t="s">
        <v>465</v>
      </c>
      <c r="C24" s="13" t="s">
        <v>466</v>
      </c>
      <c r="D24" s="13" t="s">
        <v>467</v>
      </c>
      <c r="E24" s="13" t="s">
        <v>468</v>
      </c>
      <c r="F24" s="43" t="s">
        <v>439</v>
      </c>
      <c r="G24" s="13" t="s">
        <v>440</v>
      </c>
      <c r="H24" s="13" t="s">
        <v>469</v>
      </c>
    </row>
    <row r="25" customFormat="false" ht="103.5" hidden="false" customHeight="true" outlineLevel="0" collapsed="false">
      <c r="A25" s="16" t="s">
        <v>94</v>
      </c>
      <c r="B25" s="17" t="s">
        <v>470</v>
      </c>
      <c r="C25" s="19" t="s">
        <v>471</v>
      </c>
      <c r="D25" s="47" t="n">
        <v>0.240964</v>
      </c>
      <c r="E25" s="18" t="n">
        <v>163855.52</v>
      </c>
      <c r="F25" s="20" t="n">
        <f aca="false">'Build-Up'!$F$22</f>
        <v>6250</v>
      </c>
      <c r="G25" s="18" t="n">
        <f aca="false">E25-F25</f>
        <v>157605.52</v>
      </c>
      <c r="H25" s="19" t="s">
        <v>472</v>
      </c>
    </row>
    <row r="26" customFormat="false" ht="51.75" hidden="false" customHeight="true" outlineLevel="0" collapsed="false">
      <c r="A26" s="16" t="s">
        <v>98</v>
      </c>
      <c r="B26" s="17" t="s">
        <v>473</v>
      </c>
      <c r="C26" s="19" t="s">
        <v>474</v>
      </c>
      <c r="D26" s="47" t="n">
        <v>0.072289</v>
      </c>
      <c r="E26" s="18" t="n">
        <v>49156.52</v>
      </c>
      <c r="F26" s="20" t="n">
        <f aca="false">'Build-Up'!$F$14+'Build-Up'!$F$15+'Build-Up'!$F$16</f>
        <v>23370</v>
      </c>
      <c r="G26" s="18" t="n">
        <f aca="false">E26-F26</f>
        <v>25786.52</v>
      </c>
      <c r="H26" s="19" t="s">
        <v>475</v>
      </c>
    </row>
    <row r="27" customFormat="false" ht="51.75" hidden="false" customHeight="true" outlineLevel="0" collapsed="false">
      <c r="A27" s="16" t="s">
        <v>101</v>
      </c>
      <c r="B27" s="17" t="s">
        <v>476</v>
      </c>
      <c r="C27" s="19" t="s">
        <v>477</v>
      </c>
      <c r="D27" s="47" t="n">
        <v>0.096386</v>
      </c>
      <c r="E27" s="18" t="n">
        <v>65542.48</v>
      </c>
      <c r="F27" s="20" t="n">
        <f aca="false">'Build-Up'!$F$28+'Build-Up'!$F$29</f>
        <v>27755.56</v>
      </c>
      <c r="G27" s="18" t="n">
        <f aca="false">E27-F27</f>
        <v>37786.92</v>
      </c>
      <c r="H27" s="19" t="s">
        <v>478</v>
      </c>
    </row>
    <row r="28" customFormat="false" ht="64.5" hidden="false" customHeight="true" outlineLevel="0" collapsed="false">
      <c r="A28" s="16" t="s">
        <v>104</v>
      </c>
      <c r="B28" s="17" t="s">
        <v>479</v>
      </c>
      <c r="C28" s="19" t="s">
        <v>480</v>
      </c>
      <c r="D28" s="47" t="n">
        <v>0.144578</v>
      </c>
      <c r="E28" s="18" t="n">
        <v>98313.04</v>
      </c>
      <c r="F28" s="20" t="n">
        <f aca="false">'Build-Up'!$F$20</f>
        <v>16400</v>
      </c>
      <c r="G28" s="18" t="n">
        <f aca="false">E28-F28</f>
        <v>81913.04</v>
      </c>
      <c r="H28" s="19" t="s">
        <v>481</v>
      </c>
    </row>
    <row r="29" customFormat="false" ht="78" hidden="false" customHeight="true" outlineLevel="0" collapsed="false">
      <c r="A29" s="16" t="s">
        <v>107</v>
      </c>
      <c r="B29" s="17" t="s">
        <v>482</v>
      </c>
      <c r="C29" s="19" t="s">
        <v>483</v>
      </c>
      <c r="D29" s="47" t="n">
        <v>0.096386</v>
      </c>
      <c r="E29" s="18" t="n">
        <v>65542.48</v>
      </c>
      <c r="F29" s="20" t="n">
        <f aca="false">'Build-Up'!$F$17+'Build-Up'!$F$18</f>
        <v>14035</v>
      </c>
      <c r="G29" s="18" t="n">
        <f aca="false">E29-F29</f>
        <v>51507.48</v>
      </c>
      <c r="H29" s="19" t="s">
        <v>484</v>
      </c>
    </row>
    <row r="30" customFormat="false" ht="78" hidden="false" customHeight="true" outlineLevel="0" collapsed="false">
      <c r="A30" s="16" t="s">
        <v>110</v>
      </c>
      <c r="B30" s="17" t="s">
        <v>485</v>
      </c>
      <c r="C30" s="19" t="s">
        <v>486</v>
      </c>
      <c r="D30" s="47" t="n">
        <v>0.084337</v>
      </c>
      <c r="E30" s="18" t="n">
        <v>57349.16</v>
      </c>
      <c r="F30" s="20" t="n">
        <f aca="false">'Build-Up'!$F$10+'Build-Up'!$F$25+'Build-Up'!$F$26+'Build-Up'!$F$27</f>
        <v>62800</v>
      </c>
      <c r="G30" s="18" t="n">
        <f aca="false">E30-F30</f>
        <v>-5450.84</v>
      </c>
      <c r="H30" s="19" t="s">
        <v>487</v>
      </c>
    </row>
    <row r="31" customFormat="false" ht="90.75" hidden="false" customHeight="true" outlineLevel="0" collapsed="false">
      <c r="A31" s="16" t="s">
        <v>113</v>
      </c>
      <c r="B31" s="17" t="s">
        <v>488</v>
      </c>
      <c r="C31" s="19" t="s">
        <v>489</v>
      </c>
      <c r="D31" s="47" t="n">
        <v>0.120482</v>
      </c>
      <c r="E31" s="18" t="n">
        <v>81927.76</v>
      </c>
      <c r="F31" s="20" t="n">
        <f aca="false">'Build-Up'!$F$30+'Build-Up'!$F$31</f>
        <v>3650</v>
      </c>
      <c r="G31" s="18" t="n">
        <f aca="false">E31-F31</f>
        <v>78277.76</v>
      </c>
      <c r="H31" s="19" t="s">
        <v>490</v>
      </c>
    </row>
    <row r="32" customFormat="false" ht="42" hidden="false" customHeight="true" outlineLevel="0" collapsed="false">
      <c r="A32" s="16" t="s">
        <v>115</v>
      </c>
      <c r="B32" s="17" t="s">
        <v>491</v>
      </c>
      <c r="C32" s="19" t="s">
        <v>492</v>
      </c>
      <c r="D32" s="47" t="n">
        <v>0.144578</v>
      </c>
      <c r="E32" s="18" t="n">
        <v>98313.04</v>
      </c>
      <c r="F32" s="20" t="n">
        <f aca="false">'Build-Up'!$F$23+'Build-Up'!$F$24</f>
        <v>8050</v>
      </c>
      <c r="G32" s="18" t="n">
        <f aca="false">E32-F32</f>
        <v>90263.04</v>
      </c>
      <c r="H32" s="19" t="s">
        <v>493</v>
      </c>
    </row>
    <row r="33" customFormat="false" ht="78" hidden="false" customHeight="true" outlineLevel="0" collapsed="false">
      <c r="A33" s="16"/>
      <c r="B33" s="17" t="s">
        <v>494</v>
      </c>
      <c r="C33" s="19"/>
      <c r="D33" s="47"/>
      <c r="E33" s="18" t="n">
        <v>0</v>
      </c>
      <c r="F33" s="20" t="n">
        <f aca="false">'Build-Up'!$F$9+'Build-Up'!$F$11+'Build-Up'!$F$12+'Build-Up'!$F$13+'Build-Up'!$F$19+'Build-Up'!$F$21</f>
        <v>157370</v>
      </c>
      <c r="G33" s="18" t="n">
        <f aca="false">E33-F33</f>
        <v>-157370</v>
      </c>
      <c r="H33" s="19" t="s">
        <v>495</v>
      </c>
    </row>
    <row r="34" customFormat="false" ht="27" hidden="false" customHeight="true" outlineLevel="0" collapsed="false">
      <c r="A34" s="23"/>
      <c r="B34" s="23" t="s">
        <v>496</v>
      </c>
      <c r="C34" s="23"/>
      <c r="D34" s="23"/>
      <c r="E34" s="24" t="n">
        <f aca="false">SUM(E25:E33)</f>
        <v>680000</v>
      </c>
      <c r="F34" s="25" t="n">
        <f aca="false">SUM(F25:F33)</f>
        <v>319680.56</v>
      </c>
      <c r="G34" s="24" t="n">
        <f aca="false">E34-F34</f>
        <v>360319.44</v>
      </c>
      <c r="H34" s="48" t="s">
        <v>497</v>
      </c>
    </row>
    <row r="35" customFormat="false" ht="45" hidden="false" customHeight="true" outlineLevel="0" collapsed="false">
      <c r="A35" s="46" t="s">
        <v>498</v>
      </c>
      <c r="B35" s="46"/>
      <c r="C35" s="46"/>
      <c r="D35" s="46"/>
      <c r="E35" s="46"/>
      <c r="F35" s="46"/>
      <c r="G35" s="46"/>
      <c r="H35" s="46"/>
    </row>
    <row r="37" customFormat="false" ht="21" hidden="false" customHeight="true" outlineLevel="0" collapsed="false">
      <c r="A37" s="15" t="s">
        <v>499</v>
      </c>
      <c r="B37" s="15"/>
      <c r="C37" s="15"/>
      <c r="D37" s="15"/>
      <c r="E37" s="15"/>
      <c r="F37" s="15"/>
      <c r="G37" s="15"/>
      <c r="H37" s="15"/>
    </row>
    <row r="38" customFormat="false" ht="18.75" hidden="false" customHeight="true" outlineLevel="0" collapsed="false">
      <c r="A38" s="11" t="s">
        <v>500</v>
      </c>
      <c r="B38" s="11"/>
      <c r="C38" s="11"/>
      <c r="D38" s="11"/>
      <c r="E38" s="11"/>
      <c r="F38" s="11"/>
      <c r="G38" s="11"/>
      <c r="H38" s="11"/>
    </row>
    <row r="39" customFormat="false" ht="31.5" hidden="false" customHeight="true" outlineLevel="0" collapsed="false">
      <c r="A39" s="13" t="s">
        <v>92</v>
      </c>
      <c r="B39" s="13" t="s">
        <v>465</v>
      </c>
      <c r="C39" s="13" t="s">
        <v>466</v>
      </c>
      <c r="D39" s="13" t="s">
        <v>467</v>
      </c>
      <c r="E39" s="13" t="s">
        <v>468</v>
      </c>
      <c r="F39" s="43" t="s">
        <v>439</v>
      </c>
      <c r="G39" s="13" t="s">
        <v>440</v>
      </c>
      <c r="H39" s="13" t="s">
        <v>469</v>
      </c>
    </row>
    <row r="40" customFormat="false" ht="51.75" hidden="false" customHeight="true" outlineLevel="0" collapsed="false">
      <c r="A40" s="16" t="s">
        <v>232</v>
      </c>
      <c r="B40" s="17" t="s">
        <v>501</v>
      </c>
      <c r="C40" s="19" t="s">
        <v>502</v>
      </c>
      <c r="D40" s="47" t="n">
        <v>0.15</v>
      </c>
      <c r="E40" s="18" t="n">
        <v>75628.803</v>
      </c>
      <c r="F40" s="20" t="n">
        <f aca="false">'Build-Up'!$F$76+'Build-Up'!$F$77+'Build-Up'!$F$78+'Build-Up'!$F$79</f>
        <v>66520</v>
      </c>
      <c r="G40" s="18" t="n">
        <f aca="false">E40-F40</f>
        <v>9108.803</v>
      </c>
      <c r="H40" s="19" t="s">
        <v>503</v>
      </c>
    </row>
    <row r="41" customFormat="false" ht="80.25" hidden="false" customHeight="true" outlineLevel="0" collapsed="false">
      <c r="A41" s="16" t="s">
        <v>235</v>
      </c>
      <c r="B41" s="17" t="s">
        <v>504</v>
      </c>
      <c r="C41" s="19" t="s">
        <v>505</v>
      </c>
      <c r="D41" s="47" t="n">
        <v>0.25</v>
      </c>
      <c r="E41" s="18" t="n">
        <v>126048.005</v>
      </c>
      <c r="F41" s="20" t="n">
        <f aca="false">'Build-Up'!$F$75</f>
        <v>45000</v>
      </c>
      <c r="G41" s="18" t="n">
        <f aca="false">E41-F41</f>
        <v>81048.005</v>
      </c>
      <c r="H41" s="19" t="s">
        <v>506</v>
      </c>
    </row>
    <row r="42" customFormat="false" ht="42" hidden="false" customHeight="true" outlineLevel="0" collapsed="false">
      <c r="A42" s="16" t="s">
        <v>238</v>
      </c>
      <c r="B42" s="17" t="s">
        <v>507</v>
      </c>
      <c r="C42" s="19" t="s">
        <v>508</v>
      </c>
      <c r="D42" s="47" t="n">
        <v>0.12</v>
      </c>
      <c r="E42" s="18" t="n">
        <v>60503.0424</v>
      </c>
      <c r="F42" s="20" t="n">
        <f aca="false">'Build-Up'!$F$74</f>
        <v>40800</v>
      </c>
      <c r="G42" s="18" t="n">
        <f aca="false">E42-F42</f>
        <v>19703.0424</v>
      </c>
      <c r="H42" s="19" t="s">
        <v>509</v>
      </c>
    </row>
    <row r="43" customFormat="false" ht="129.75" hidden="false" customHeight="true" outlineLevel="0" collapsed="false">
      <c r="A43" s="16" t="s">
        <v>242</v>
      </c>
      <c r="B43" s="17" t="s">
        <v>510</v>
      </c>
      <c r="C43" s="19" t="s">
        <v>511</v>
      </c>
      <c r="D43" s="47" t="n">
        <v>0.1</v>
      </c>
      <c r="E43" s="18" t="n">
        <v>50419.202</v>
      </c>
      <c r="F43" s="20" t="n">
        <f aca="false">'Build-Up'!$F$80+'Build-Up'!$F$81+'Build-Up'!$F$88</f>
        <v>69200</v>
      </c>
      <c r="G43" s="18" t="n">
        <f aca="false">E43-F43</f>
        <v>-18780.798</v>
      </c>
      <c r="H43" s="19" t="s">
        <v>512</v>
      </c>
    </row>
    <row r="44" customFormat="false" ht="39" hidden="false" customHeight="true" outlineLevel="0" collapsed="false">
      <c r="A44" s="16" t="s">
        <v>246</v>
      </c>
      <c r="B44" s="17" t="s">
        <v>513</v>
      </c>
      <c r="C44" s="19" t="s">
        <v>514</v>
      </c>
      <c r="D44" s="47" t="n">
        <v>0.1</v>
      </c>
      <c r="E44" s="18" t="n">
        <v>50419.202</v>
      </c>
      <c r="F44" s="20" t="n">
        <f aca="false">'Build-Up'!$F$82</f>
        <v>12300</v>
      </c>
      <c r="G44" s="18" t="n">
        <f aca="false">E44-F44</f>
        <v>38119.202</v>
      </c>
      <c r="H44" s="19" t="s">
        <v>515</v>
      </c>
    </row>
    <row r="45" customFormat="false" ht="42" hidden="false" customHeight="true" outlineLevel="0" collapsed="false">
      <c r="A45" s="16" t="s">
        <v>248</v>
      </c>
      <c r="B45" s="17" t="s">
        <v>516</v>
      </c>
      <c r="C45" s="19" t="s">
        <v>517</v>
      </c>
      <c r="D45" s="47" t="n">
        <v>0.08</v>
      </c>
      <c r="E45" s="18" t="n">
        <v>40335.3616</v>
      </c>
      <c r="F45" s="20" t="n">
        <f aca="false">'Build-Up'!$F$84+'Build-Up'!$F$85+'Build-Up'!$F$86</f>
        <v>6750</v>
      </c>
      <c r="G45" s="18" t="n">
        <f aca="false">E45-F45</f>
        <v>33585.3616</v>
      </c>
      <c r="H45" s="19" t="s">
        <v>518</v>
      </c>
    </row>
    <row r="46" customFormat="false" ht="42" hidden="false" customHeight="true" outlineLevel="0" collapsed="false">
      <c r="A46" s="16" t="s">
        <v>252</v>
      </c>
      <c r="B46" s="17" t="s">
        <v>519</v>
      </c>
      <c r="C46" s="19" t="s">
        <v>520</v>
      </c>
      <c r="D46" s="47" t="n">
        <v>0.12</v>
      </c>
      <c r="E46" s="18" t="n">
        <v>60503.0424</v>
      </c>
      <c r="F46" s="20" t="n">
        <f aca="false">'Build-Up'!$F$87</f>
        <v>6480</v>
      </c>
      <c r="G46" s="18" t="n">
        <f aca="false">E46-F46</f>
        <v>54023.0424</v>
      </c>
      <c r="H46" s="19" t="s">
        <v>521</v>
      </c>
    </row>
    <row r="47" customFormat="false" ht="30" hidden="false" customHeight="true" outlineLevel="0" collapsed="false">
      <c r="A47" s="16" t="s">
        <v>255</v>
      </c>
      <c r="B47" s="17" t="s">
        <v>522</v>
      </c>
      <c r="C47" s="19" t="s">
        <v>523</v>
      </c>
      <c r="D47" s="47" t="n">
        <v>0.08</v>
      </c>
      <c r="E47" s="18" t="n">
        <v>40335.3616</v>
      </c>
      <c r="F47" s="20" t="n">
        <v>0</v>
      </c>
      <c r="G47" s="18" t="n">
        <f aca="false">E47-F47</f>
        <v>40335.3616</v>
      </c>
      <c r="H47" s="19" t="s">
        <v>524</v>
      </c>
    </row>
    <row r="48" customFormat="false" ht="42" hidden="false" customHeight="true" outlineLevel="0" collapsed="false">
      <c r="A48" s="16"/>
      <c r="B48" s="17" t="s">
        <v>525</v>
      </c>
      <c r="C48" s="19"/>
      <c r="D48" s="47"/>
      <c r="E48" s="18" t="n">
        <v>0</v>
      </c>
      <c r="F48" s="20" t="n">
        <f aca="false">'Build-Up'!$F$83</f>
        <v>51900</v>
      </c>
      <c r="G48" s="18" t="n">
        <f aca="false">E48-F48</f>
        <v>-51900</v>
      </c>
      <c r="H48" s="19" t="s">
        <v>526</v>
      </c>
    </row>
    <row r="49" customFormat="false" ht="27" hidden="false" customHeight="true" outlineLevel="0" collapsed="false">
      <c r="A49" s="23"/>
      <c r="B49" s="23" t="s">
        <v>496</v>
      </c>
      <c r="C49" s="23"/>
      <c r="D49" s="23"/>
      <c r="E49" s="24" t="n">
        <f aca="false">SUM(E40:E48)</f>
        <v>504192.02</v>
      </c>
      <c r="F49" s="25" t="n">
        <f aca="false">SUM(F40:F48)</f>
        <v>298950</v>
      </c>
      <c r="G49" s="24" t="n">
        <f aca="false">E49-F49</f>
        <v>205242.02</v>
      </c>
      <c r="H49" s="48" t="s">
        <v>527</v>
      </c>
    </row>
    <row r="51" customFormat="false" ht="21" hidden="false" customHeight="true" outlineLevel="0" collapsed="false">
      <c r="A51" s="15" t="s">
        <v>528</v>
      </c>
      <c r="B51" s="15"/>
      <c r="C51" s="15"/>
      <c r="D51" s="15"/>
      <c r="E51" s="15"/>
      <c r="F51" s="15"/>
      <c r="G51" s="15"/>
      <c r="H51" s="15"/>
    </row>
    <row r="52" customFormat="false" ht="31.5" hidden="false" customHeight="true" outlineLevel="0" collapsed="false">
      <c r="A52" s="11" t="s">
        <v>529</v>
      </c>
      <c r="B52" s="11"/>
      <c r="C52" s="11"/>
      <c r="D52" s="11"/>
      <c r="E52" s="11"/>
      <c r="F52" s="11"/>
      <c r="G52" s="11"/>
      <c r="H52" s="11"/>
    </row>
    <row r="53" customFormat="false" ht="31.5" hidden="false" customHeight="true" outlineLevel="0" collapsed="false">
      <c r="A53" s="13" t="s">
        <v>92</v>
      </c>
      <c r="B53" s="13" t="s">
        <v>465</v>
      </c>
      <c r="C53" s="13" t="s">
        <v>466</v>
      </c>
      <c r="D53" s="13" t="s">
        <v>467</v>
      </c>
      <c r="E53" s="13" t="s">
        <v>468</v>
      </c>
      <c r="F53" s="43" t="s">
        <v>439</v>
      </c>
      <c r="G53" s="13" t="s">
        <v>440</v>
      </c>
      <c r="H53" s="13" t="s">
        <v>469</v>
      </c>
    </row>
    <row r="54" customFormat="false" ht="78" hidden="false" customHeight="true" outlineLevel="0" collapsed="false">
      <c r="A54" s="16" t="s">
        <v>288</v>
      </c>
      <c r="B54" s="17" t="s">
        <v>530</v>
      </c>
      <c r="C54" s="19" t="s">
        <v>531</v>
      </c>
      <c r="D54" s="47" t="n">
        <v>0.3</v>
      </c>
      <c r="E54" s="18" t="n">
        <v>127920</v>
      </c>
      <c r="F54" s="20" t="n">
        <f aca="false">'Build-Up'!$F$100+'Build-Up'!$F$101+'Build-Up'!$F$102+'Build-Up'!$F$103+'Build-Up'!$F$104+'Build-Up'!$F$105+'Build-Up'!$F$106+'Build-Up'!$F$107+'Build-Up'!$F$108+'Build-Up'!$F$109+'Build-Up'!$F$110+'Build-Up'!$F$111+'Build-Up'!$F$121</f>
        <v>54506</v>
      </c>
      <c r="G54" s="18" t="n">
        <f aca="false">E54-F54</f>
        <v>73414</v>
      </c>
      <c r="H54" s="19" t="s">
        <v>532</v>
      </c>
    </row>
    <row r="55" customFormat="false" ht="54.75" hidden="false" customHeight="true" outlineLevel="0" collapsed="false">
      <c r="A55" s="16" t="s">
        <v>291</v>
      </c>
      <c r="B55" s="17" t="s">
        <v>533</v>
      </c>
      <c r="C55" s="19" t="s">
        <v>534</v>
      </c>
      <c r="D55" s="47" t="n">
        <v>0.2</v>
      </c>
      <c r="E55" s="18" t="n">
        <v>85280</v>
      </c>
      <c r="F55" s="20" t="n">
        <f aca="false">'Build-Up'!$F$114+'Build-Up'!$F$116+'Build-Up'!$F$117+'Build-Up'!$F$118</f>
        <v>12000</v>
      </c>
      <c r="G55" s="18" t="n">
        <f aca="false">E55-F55</f>
        <v>73280</v>
      </c>
      <c r="H55" s="19" t="s">
        <v>535</v>
      </c>
    </row>
    <row r="56" customFormat="false" ht="42" hidden="false" customHeight="true" outlineLevel="0" collapsed="false">
      <c r="A56" s="16" t="s">
        <v>294</v>
      </c>
      <c r="B56" s="17" t="s">
        <v>536</v>
      </c>
      <c r="C56" s="19" t="s">
        <v>537</v>
      </c>
      <c r="D56" s="47" t="n">
        <v>0.15</v>
      </c>
      <c r="E56" s="18" t="n">
        <v>63960</v>
      </c>
      <c r="F56" s="20" t="n">
        <f aca="false">'Build-Up'!$F$113+'Build-Up'!$F$115</f>
        <v>9800</v>
      </c>
      <c r="G56" s="18" t="n">
        <f aca="false">E56-F56</f>
        <v>54160</v>
      </c>
      <c r="H56" s="19" t="s">
        <v>538</v>
      </c>
    </row>
    <row r="57" customFormat="false" ht="64.5" hidden="false" customHeight="true" outlineLevel="0" collapsed="false">
      <c r="A57" s="16" t="s">
        <v>297</v>
      </c>
      <c r="B57" s="17" t="s">
        <v>539</v>
      </c>
      <c r="C57" s="19" t="s">
        <v>537</v>
      </c>
      <c r="D57" s="47" t="n">
        <v>0.2</v>
      </c>
      <c r="E57" s="18" t="n">
        <v>85280</v>
      </c>
      <c r="F57" s="20" t="n">
        <f aca="false">'Build-Up'!$F$112</f>
        <v>16000</v>
      </c>
      <c r="G57" s="18" t="n">
        <f aca="false">E57-F57</f>
        <v>69280</v>
      </c>
      <c r="H57" s="19" t="s">
        <v>540</v>
      </c>
    </row>
    <row r="58" customFormat="false" ht="50.25" hidden="false" customHeight="true" outlineLevel="0" collapsed="false">
      <c r="A58" s="16" t="s">
        <v>300</v>
      </c>
      <c r="B58" s="17" t="s">
        <v>541</v>
      </c>
      <c r="C58" s="19" t="s">
        <v>542</v>
      </c>
      <c r="D58" s="47" t="n">
        <v>0.15</v>
      </c>
      <c r="E58" s="18" t="n">
        <v>63960</v>
      </c>
      <c r="F58" s="20" t="n">
        <f aca="false">'Build-Up'!$F$119+'Build-Up'!$F$120</f>
        <v>10000</v>
      </c>
      <c r="G58" s="18" t="n">
        <f aca="false">E58-F58</f>
        <v>53960</v>
      </c>
      <c r="H58" s="19" t="s">
        <v>543</v>
      </c>
    </row>
    <row r="59" customFormat="false" ht="27" hidden="false" customHeight="true" outlineLevel="0" collapsed="false">
      <c r="A59" s="23"/>
      <c r="B59" s="23" t="s">
        <v>496</v>
      </c>
      <c r="C59" s="23"/>
      <c r="D59" s="23"/>
      <c r="E59" s="24" t="n">
        <f aca="false">SUM(E54:E58)</f>
        <v>426400</v>
      </c>
      <c r="F59" s="25" t="n">
        <f aca="false">SUM(F54:F58)</f>
        <v>102306</v>
      </c>
      <c r="G59" s="24" t="n">
        <f aca="false">E59-F59</f>
        <v>324094</v>
      </c>
      <c r="H59" s="48" t="s">
        <v>544</v>
      </c>
    </row>
    <row r="61" customFormat="false" ht="21" hidden="false" customHeight="true" outlineLevel="0" collapsed="false">
      <c r="A61" s="15" t="s">
        <v>545</v>
      </c>
      <c r="B61" s="15"/>
      <c r="C61" s="15"/>
      <c r="D61" s="15"/>
      <c r="E61" s="15"/>
      <c r="F61" s="15"/>
      <c r="G61" s="15"/>
      <c r="H61" s="15"/>
    </row>
    <row r="62" customFormat="false" ht="45" hidden="false" customHeight="true" outlineLevel="0" collapsed="false">
      <c r="A62" s="11" t="s">
        <v>546</v>
      </c>
      <c r="B62" s="11"/>
      <c r="C62" s="11"/>
      <c r="D62" s="11"/>
      <c r="E62" s="11"/>
      <c r="F62" s="11"/>
      <c r="G62" s="11"/>
      <c r="H62" s="11"/>
    </row>
    <row r="63" customFormat="false" ht="31.5" hidden="false" customHeight="true" outlineLevel="0" collapsed="false">
      <c r="A63" s="13" t="s">
        <v>92</v>
      </c>
      <c r="B63" s="13" t="s">
        <v>465</v>
      </c>
      <c r="C63" s="13" t="s">
        <v>466</v>
      </c>
      <c r="D63" s="13" t="s">
        <v>467</v>
      </c>
      <c r="E63" s="13" t="s">
        <v>468</v>
      </c>
      <c r="F63" s="43" t="s">
        <v>439</v>
      </c>
      <c r="G63" s="13" t="s">
        <v>440</v>
      </c>
      <c r="H63" s="13" t="s">
        <v>469</v>
      </c>
    </row>
    <row r="64" customFormat="false" ht="64.5" hidden="false" customHeight="true" outlineLevel="0" collapsed="false">
      <c r="A64" s="16" t="s">
        <v>354</v>
      </c>
      <c r="B64" s="17" t="s">
        <v>547</v>
      </c>
      <c r="C64" s="19" t="s">
        <v>548</v>
      </c>
      <c r="D64" s="47" t="n">
        <v>0.3</v>
      </c>
      <c r="E64" s="18" t="n">
        <v>126000</v>
      </c>
      <c r="F64" s="20" t="n">
        <f aca="false">'Build-Up'!$F$129+'Build-Up'!$F$130+'Build-Up'!$F$132+'Build-Up'!$F$133+'Build-Up'!$F$134</f>
        <v>107200</v>
      </c>
      <c r="G64" s="18" t="n">
        <f aca="false">E64-F64</f>
        <v>18800</v>
      </c>
      <c r="H64" s="19" t="s">
        <v>549</v>
      </c>
    </row>
    <row r="65" customFormat="false" ht="39" hidden="false" customHeight="true" outlineLevel="0" collapsed="false">
      <c r="A65" s="16" t="s">
        <v>358</v>
      </c>
      <c r="B65" s="17" t="s">
        <v>550</v>
      </c>
      <c r="C65" s="19" t="s">
        <v>551</v>
      </c>
      <c r="D65" s="47" t="n">
        <v>0.18</v>
      </c>
      <c r="E65" s="18" t="n">
        <v>75600</v>
      </c>
      <c r="F65" s="20" t="n">
        <f aca="false">'Build-Up'!$F$131</f>
        <v>55000</v>
      </c>
      <c r="G65" s="18" t="n">
        <f aca="false">E65-F65</f>
        <v>20600</v>
      </c>
      <c r="H65" s="19" t="s">
        <v>552</v>
      </c>
    </row>
    <row r="66" customFormat="false" ht="39" hidden="false" customHeight="true" outlineLevel="0" collapsed="false">
      <c r="A66" s="16" t="s">
        <v>361</v>
      </c>
      <c r="B66" s="17" t="s">
        <v>553</v>
      </c>
      <c r="C66" s="19" t="s">
        <v>551</v>
      </c>
      <c r="D66" s="47" t="n">
        <v>0.12</v>
      </c>
      <c r="E66" s="18" t="n">
        <v>50400</v>
      </c>
      <c r="F66" s="20" t="n">
        <f aca="false">'Build-Up'!$F$135+'Build-Up'!$F$136</f>
        <v>15000</v>
      </c>
      <c r="G66" s="18" t="n">
        <f aca="false">E66-F66</f>
        <v>35400</v>
      </c>
      <c r="H66" s="19" t="s">
        <v>554</v>
      </c>
    </row>
    <row r="67" customFormat="false" ht="64.5" hidden="false" customHeight="true" outlineLevel="0" collapsed="false">
      <c r="A67" s="16" t="s">
        <v>364</v>
      </c>
      <c r="B67" s="17" t="s">
        <v>555</v>
      </c>
      <c r="C67" s="19" t="s">
        <v>556</v>
      </c>
      <c r="D67" s="47" t="n">
        <v>0.2</v>
      </c>
      <c r="E67" s="18" t="n">
        <v>84000</v>
      </c>
      <c r="F67" s="20" t="n">
        <f aca="false">'Build-Up'!$F$142+'Build-Up'!$F$143</f>
        <v>20000</v>
      </c>
      <c r="G67" s="18" t="n">
        <f aca="false">E67-F67</f>
        <v>64000</v>
      </c>
      <c r="H67" s="19" t="s">
        <v>557</v>
      </c>
    </row>
    <row r="68" customFormat="false" ht="51.75" hidden="false" customHeight="true" outlineLevel="0" collapsed="false">
      <c r="A68" s="16" t="s">
        <v>366</v>
      </c>
      <c r="B68" s="17" t="s">
        <v>558</v>
      </c>
      <c r="C68" s="19" t="s">
        <v>559</v>
      </c>
      <c r="D68" s="47" t="n">
        <v>0.15</v>
      </c>
      <c r="E68" s="18" t="n">
        <v>63000</v>
      </c>
      <c r="F68" s="20" t="n">
        <f aca="false">'Build-Up'!$F$137+'Build-Up'!$F$138+'Build-Up'!$F$139+'Build-Up'!$F$140+'Build-Up'!$F$141+'Build-Up'!$F$144+'Build-Up'!$F$145+'Build-Up'!$F$146+'Build-Up'!$F$147</f>
        <v>40000</v>
      </c>
      <c r="G68" s="18" t="n">
        <f aca="false">E68-F68</f>
        <v>23000</v>
      </c>
      <c r="H68" s="19" t="s">
        <v>560</v>
      </c>
    </row>
    <row r="69" customFormat="false" ht="42" hidden="false" customHeight="true" outlineLevel="0" collapsed="false">
      <c r="A69" s="16" t="s">
        <v>368</v>
      </c>
      <c r="B69" s="17" t="s">
        <v>561</v>
      </c>
      <c r="C69" s="19" t="s">
        <v>551</v>
      </c>
      <c r="D69" s="47" t="n">
        <v>0.05</v>
      </c>
      <c r="E69" s="18" t="n">
        <v>21000</v>
      </c>
      <c r="F69" s="20" t="n">
        <f aca="false">'Build-Up'!$F$148+'Build-Up'!$F$149</f>
        <v>8000</v>
      </c>
      <c r="G69" s="18" t="n">
        <f aca="false">E69-F69</f>
        <v>13000</v>
      </c>
      <c r="H69" s="19" t="s">
        <v>562</v>
      </c>
    </row>
    <row r="70" customFormat="false" ht="27" hidden="false" customHeight="true" outlineLevel="0" collapsed="false">
      <c r="A70" s="23"/>
      <c r="B70" s="23" t="s">
        <v>496</v>
      </c>
      <c r="C70" s="23"/>
      <c r="D70" s="23"/>
      <c r="E70" s="24" t="n">
        <f aca="false">SUM(E64:E69)</f>
        <v>420000</v>
      </c>
      <c r="F70" s="25" t="n">
        <f aca="false">SUM(F64:F69)</f>
        <v>245200</v>
      </c>
      <c r="G70" s="24" t="n">
        <f aca="false">E70-F70</f>
        <v>174800</v>
      </c>
      <c r="H70" s="48" t="s">
        <v>563</v>
      </c>
    </row>
    <row r="72" customFormat="false" ht="21" hidden="false" customHeight="true" outlineLevel="0" collapsed="false">
      <c r="A72" s="15" t="s">
        <v>564</v>
      </c>
      <c r="B72" s="15"/>
      <c r="C72" s="15"/>
      <c r="D72" s="15"/>
      <c r="E72" s="15"/>
      <c r="F72" s="15"/>
      <c r="G72" s="15"/>
      <c r="H72" s="15"/>
    </row>
    <row r="73" customFormat="false" ht="45" hidden="false" customHeight="true" outlineLevel="0" collapsed="false">
      <c r="A73" s="11" t="s">
        <v>565</v>
      </c>
      <c r="B73" s="11"/>
      <c r="C73" s="11"/>
      <c r="D73" s="11"/>
      <c r="E73" s="11"/>
      <c r="F73" s="11"/>
      <c r="G73" s="11"/>
      <c r="H73" s="11"/>
    </row>
    <row r="74" customFormat="false" ht="31.5" hidden="false" customHeight="true" outlineLevel="0" collapsed="false">
      <c r="A74" s="13" t="s">
        <v>566</v>
      </c>
      <c r="B74" s="13" t="s">
        <v>567</v>
      </c>
      <c r="C74" s="13" t="s">
        <v>568</v>
      </c>
      <c r="D74" s="13"/>
      <c r="E74" s="13"/>
      <c r="F74" s="13"/>
      <c r="G74" s="13"/>
      <c r="H74" s="13" t="s">
        <v>569</v>
      </c>
    </row>
    <row r="75" customFormat="false" ht="30" hidden="false" customHeight="true" outlineLevel="0" collapsed="false">
      <c r="A75" s="16" t="s">
        <v>442</v>
      </c>
      <c r="B75" s="17" t="s">
        <v>570</v>
      </c>
      <c r="C75" s="49" t="s">
        <v>571</v>
      </c>
      <c r="D75" s="49"/>
      <c r="E75" s="49"/>
      <c r="F75" s="49"/>
      <c r="G75" s="49"/>
      <c r="H75" s="16" t="s">
        <v>572</v>
      </c>
    </row>
    <row r="76" customFormat="false" ht="30" hidden="false" customHeight="true" outlineLevel="0" collapsed="false">
      <c r="A76" s="16" t="s">
        <v>573</v>
      </c>
      <c r="B76" s="17" t="s">
        <v>574</v>
      </c>
      <c r="C76" s="49" t="s">
        <v>575</v>
      </c>
      <c r="D76" s="49"/>
      <c r="E76" s="49"/>
      <c r="F76" s="49"/>
      <c r="G76" s="49"/>
      <c r="H76" s="16" t="s">
        <v>576</v>
      </c>
    </row>
    <row r="77" customFormat="false" ht="30" hidden="false" customHeight="true" outlineLevel="0" collapsed="false">
      <c r="A77" s="16" t="s">
        <v>577</v>
      </c>
      <c r="B77" s="17" t="s">
        <v>578</v>
      </c>
      <c r="C77" s="49" t="s">
        <v>575</v>
      </c>
      <c r="D77" s="49"/>
      <c r="E77" s="49"/>
      <c r="F77" s="49"/>
      <c r="G77" s="49"/>
      <c r="H77" s="16" t="s">
        <v>576</v>
      </c>
    </row>
    <row r="78" customFormat="false" ht="39.75" hidden="false" customHeight="true" outlineLevel="0" collapsed="false">
      <c r="A78" s="16" t="s">
        <v>579</v>
      </c>
      <c r="B78" s="17" t="s">
        <v>580</v>
      </c>
      <c r="C78" s="49" t="s">
        <v>575</v>
      </c>
      <c r="D78" s="49"/>
      <c r="E78" s="49"/>
      <c r="F78" s="49"/>
      <c r="G78" s="49"/>
      <c r="H78" s="16" t="s">
        <v>581</v>
      </c>
    </row>
    <row r="79" customFormat="false" ht="30" hidden="false" customHeight="true" outlineLevel="0" collapsed="false">
      <c r="A79" s="16" t="s">
        <v>445</v>
      </c>
      <c r="B79" s="17" t="s">
        <v>582</v>
      </c>
      <c r="C79" s="50" t="s">
        <v>583</v>
      </c>
      <c r="D79" s="51"/>
      <c r="E79" s="51"/>
      <c r="F79" s="51"/>
      <c r="G79" s="52"/>
      <c r="H79" s="16" t="s">
        <v>572</v>
      </c>
    </row>
    <row r="80" customFormat="false" ht="30" hidden="false" customHeight="true" outlineLevel="0" collapsed="false">
      <c r="A80" s="16" t="s">
        <v>584</v>
      </c>
      <c r="B80" s="17" t="s">
        <v>585</v>
      </c>
      <c r="C80" s="50" t="s">
        <v>583</v>
      </c>
      <c r="D80" s="51"/>
      <c r="E80" s="51"/>
      <c r="F80" s="51"/>
      <c r="G80" s="52"/>
      <c r="H80" s="16" t="s">
        <v>586</v>
      </c>
    </row>
    <row r="81" customFormat="false" ht="30" hidden="false" customHeight="true" outlineLevel="0" collapsed="false">
      <c r="A81" s="16" t="s">
        <v>448</v>
      </c>
      <c r="B81" s="17" t="s">
        <v>587</v>
      </c>
      <c r="C81" s="50" t="s">
        <v>583</v>
      </c>
      <c r="D81" s="51"/>
      <c r="E81" s="51"/>
      <c r="F81" s="51"/>
      <c r="G81" s="52"/>
      <c r="H81" s="16" t="s">
        <v>586</v>
      </c>
    </row>
    <row r="82" customFormat="false" ht="30" hidden="false" customHeight="true" outlineLevel="0" collapsed="false">
      <c r="A82" s="16" t="s">
        <v>451</v>
      </c>
      <c r="B82" s="17" t="s">
        <v>588</v>
      </c>
      <c r="C82" s="50" t="s">
        <v>583</v>
      </c>
      <c r="D82" s="51"/>
      <c r="E82" s="51"/>
      <c r="F82" s="51"/>
      <c r="G82" s="52"/>
      <c r="H82" s="16" t="s">
        <v>572</v>
      </c>
    </row>
    <row r="83" customFormat="false" ht="30" hidden="false" customHeight="true" outlineLevel="0" collapsed="false">
      <c r="A83" s="16" t="s">
        <v>589</v>
      </c>
      <c r="B83" s="17" t="s">
        <v>590</v>
      </c>
      <c r="C83" s="50" t="s">
        <v>583</v>
      </c>
      <c r="D83" s="51"/>
      <c r="E83" s="51"/>
      <c r="F83" s="51"/>
      <c r="G83" s="52"/>
      <c r="H83" s="16" t="s">
        <v>591</v>
      </c>
    </row>
    <row r="84" customFormat="false" ht="54.75" hidden="false" customHeight="true" outlineLevel="0" collapsed="false">
      <c r="A84" s="16" t="n">
        <v>10</v>
      </c>
      <c r="B84" s="17" t="s">
        <v>592</v>
      </c>
      <c r="C84" s="49" t="s">
        <v>583</v>
      </c>
      <c r="D84" s="49"/>
      <c r="E84" s="49"/>
      <c r="F84" s="49"/>
      <c r="G84" s="49"/>
      <c r="H84" s="16" t="s">
        <v>593</v>
      </c>
    </row>
    <row r="85" customFormat="false" ht="54.75" hidden="false" customHeight="true" outlineLevel="0" collapsed="false">
      <c r="A85" s="16" t="n">
        <v>11</v>
      </c>
      <c r="B85" s="17" t="s">
        <v>594</v>
      </c>
      <c r="C85" s="49" t="s">
        <v>583</v>
      </c>
      <c r="D85" s="49"/>
      <c r="E85" s="49"/>
      <c r="F85" s="49"/>
      <c r="G85" s="49"/>
      <c r="H85" s="16" t="s">
        <v>593</v>
      </c>
    </row>
    <row r="86" customFormat="false" ht="67.5" hidden="false" customHeight="true" outlineLevel="0" collapsed="false">
      <c r="A86" s="16" t="n">
        <v>12</v>
      </c>
      <c r="B86" s="17" t="s">
        <v>595</v>
      </c>
      <c r="C86" s="49" t="s">
        <v>583</v>
      </c>
      <c r="D86" s="49"/>
      <c r="E86" s="49"/>
      <c r="F86" s="49"/>
      <c r="G86" s="49"/>
      <c r="H86" s="16" t="s">
        <v>593</v>
      </c>
    </row>
    <row r="87" customFormat="false" ht="67.5" hidden="false" customHeight="true" outlineLevel="0" collapsed="false">
      <c r="A87" s="16" t="n">
        <v>13</v>
      </c>
      <c r="B87" s="17" t="s">
        <v>596</v>
      </c>
      <c r="C87" s="49" t="s">
        <v>583</v>
      </c>
      <c r="D87" s="49"/>
      <c r="E87" s="49"/>
      <c r="F87" s="49"/>
      <c r="G87" s="49"/>
      <c r="H87" s="16" t="s">
        <v>593</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6,956,708.39 excluding VAT against the Contractor's proposal of SAR 8,110,296.62 excluding VAT.</v>
      </c>
      <c r="B89" s="53"/>
      <c r="C89" s="53"/>
      <c r="D89" s="53"/>
      <c r="E89" s="53"/>
      <c r="F89" s="53"/>
      <c r="G89" s="53"/>
      <c r="H89" s="53"/>
    </row>
    <row r="91" customFormat="false" ht="21" hidden="false" customHeight="true" outlineLevel="0" collapsed="false">
      <c r="A91" s="15" t="s">
        <v>597</v>
      </c>
      <c r="B91" s="15"/>
      <c r="C91" s="15"/>
      <c r="D91" s="15"/>
      <c r="E91" s="15"/>
      <c r="F91" s="15"/>
      <c r="G91" s="15"/>
      <c r="H91" s="15"/>
    </row>
    <row r="92" customFormat="false" ht="43.5" hidden="false" customHeight="true" outlineLevel="0" collapsed="false">
      <c r="A92" s="11" t="s">
        <v>598</v>
      </c>
      <c r="B92" s="11"/>
      <c r="C92" s="11"/>
      <c r="D92" s="11"/>
      <c r="E92" s="11"/>
      <c r="F92" s="11"/>
      <c r="G92" s="11"/>
      <c r="H92" s="11"/>
    </row>
    <row r="93" customFormat="false" ht="43.5" hidden="false" customHeight="true" outlineLevel="0" collapsed="false">
      <c r="A93" s="13" t="s">
        <v>35</v>
      </c>
      <c r="B93" s="13" t="s">
        <v>599</v>
      </c>
      <c r="C93" s="13" t="s">
        <v>600</v>
      </c>
      <c r="D93" s="13"/>
      <c r="E93" s="13" t="s">
        <v>438</v>
      </c>
      <c r="F93" s="43" t="s">
        <v>601</v>
      </c>
      <c r="G93" s="13" t="s">
        <v>602</v>
      </c>
      <c r="H93" s="13" t="s">
        <v>603</v>
      </c>
    </row>
    <row r="94" customFormat="false" ht="67.5" hidden="false" customHeight="true" outlineLevel="0" collapsed="false">
      <c r="A94" s="16" t="s">
        <v>442</v>
      </c>
      <c r="B94" s="17" t="s">
        <v>604</v>
      </c>
      <c r="C94" s="49" t="s">
        <v>605</v>
      </c>
      <c r="D94" s="49"/>
      <c r="E94" s="18" t="n">
        <f aca="false">Assessment!$F$8</f>
        <v>680000</v>
      </c>
      <c r="F94" s="20" t="n">
        <v>714000</v>
      </c>
      <c r="G94" s="18" t="n">
        <f aca="false">ROUND(F94/1.05,2)</f>
        <v>680000</v>
      </c>
      <c r="H94" s="19" t="s">
        <v>606</v>
      </c>
    </row>
    <row r="95" customFormat="false" ht="30" hidden="false" customHeight="true" outlineLevel="0" collapsed="false">
      <c r="A95" s="16" t="s">
        <v>573</v>
      </c>
      <c r="B95" s="17" t="s">
        <v>607</v>
      </c>
      <c r="C95" s="49" t="s">
        <v>608</v>
      </c>
      <c r="D95" s="49"/>
      <c r="E95" s="18" t="n">
        <f aca="false">Assessment!$F$10</f>
        <v>85000</v>
      </c>
      <c r="F95" s="20" t="n">
        <v>89250</v>
      </c>
      <c r="G95" s="18" t="n">
        <f aca="false">ROUND(F95/1.05,2)</f>
        <v>85000</v>
      </c>
      <c r="H95" s="19" t="s">
        <v>609</v>
      </c>
    </row>
    <row r="96" customFormat="false" ht="30" hidden="false" customHeight="true" outlineLevel="0" collapsed="false">
      <c r="A96" s="16" t="s">
        <v>610</v>
      </c>
      <c r="B96" s="17" t="s">
        <v>611</v>
      </c>
      <c r="C96" s="49" t="s">
        <v>612</v>
      </c>
      <c r="D96" s="49"/>
      <c r="E96" s="18" t="n">
        <f aca="false">Assessment!$F$12+Assessment!$F$13</f>
        <v>81500</v>
      </c>
      <c r="F96" s="20" t="n">
        <v>85575</v>
      </c>
      <c r="G96" s="18" t="n">
        <f aca="false">ROUND(F96/1.05,2)</f>
        <v>81500</v>
      </c>
      <c r="H96" s="19" t="s">
        <v>613</v>
      </c>
    </row>
    <row r="97" customFormat="false" ht="80.25" hidden="false" customHeight="true" outlineLevel="0" collapsed="false">
      <c r="A97" s="16" t="s">
        <v>614</v>
      </c>
      <c r="B97" s="17" t="s">
        <v>615</v>
      </c>
      <c r="C97" s="49" t="s">
        <v>616</v>
      </c>
      <c r="D97" s="49"/>
      <c r="E97" s="18" t="n">
        <f aca="false">Assessment!$F$14+Assessment!$F$16+Assessment!$F$17+Assessment!$F$18</f>
        <v>6877592.02</v>
      </c>
      <c r="F97" s="20" t="n">
        <v>7221471.62</v>
      </c>
      <c r="G97" s="18" t="n">
        <f aca="false">ROUND(F97/1.05,2)</f>
        <v>6877592.02</v>
      </c>
      <c r="H97" s="19" t="s">
        <v>617</v>
      </c>
    </row>
    <row r="98" customFormat="false" ht="80.25" hidden="false" customHeight="true" outlineLevel="0" collapsed="false">
      <c r="A98" s="16" t="s">
        <v>448</v>
      </c>
      <c r="B98" s="17" t="s">
        <v>618</v>
      </c>
      <c r="C98" s="49" t="s">
        <v>619</v>
      </c>
      <c r="D98" s="49"/>
      <c r="E98" s="18" t="n">
        <f aca="false">Assessment!$F$17</f>
        <v>426400</v>
      </c>
      <c r="F98" s="20" t="n">
        <v>200305.97</v>
      </c>
      <c r="G98" s="18" t="n">
        <f aca="false">ROUND(F98/1.05,2)</f>
        <v>190767.59</v>
      </c>
      <c r="H98" s="19" t="s">
        <v>620</v>
      </c>
    </row>
    <row r="99" customFormat="false" ht="27" hidden="false" customHeight="true" outlineLevel="0" collapsed="false">
      <c r="A99" s="23"/>
      <c r="B99" s="23" t="s">
        <v>621</v>
      </c>
      <c r="C99" s="23"/>
      <c r="D99" s="23"/>
      <c r="E99" s="24"/>
      <c r="F99" s="25" t="n">
        <f aca="false">SUM(F94:F97)</f>
        <v>8110296.62</v>
      </c>
      <c r="G99" s="24" t="n">
        <f aca="false">ROUND(F99/1.05,2)</f>
        <v>7724092.02</v>
      </c>
      <c r="H99" s="48" t="s">
        <v>622</v>
      </c>
    </row>
    <row r="101" customFormat="false" ht="57" hidden="false" customHeight="true" outlineLevel="0" collapsed="false">
      <c r="A101" s="11" t="s">
        <v>623</v>
      </c>
      <c r="B101" s="11"/>
      <c r="C101" s="11"/>
      <c r="D101" s="11"/>
      <c r="E101" s="11"/>
      <c r="F101" s="11"/>
      <c r="G101" s="11"/>
      <c r="H101" s="11"/>
    </row>
    <row r="102" customFormat="false" ht="21" hidden="false" customHeight="true" outlineLevel="0" collapsed="false">
      <c r="A102" s="13"/>
      <c r="B102" s="13" t="s">
        <v>624</v>
      </c>
      <c r="C102" s="13" t="s">
        <v>625</v>
      </c>
      <c r="D102" s="13"/>
      <c r="E102" s="13" t="s">
        <v>626</v>
      </c>
      <c r="F102" s="43"/>
      <c r="G102" s="13"/>
      <c r="H102" s="13" t="s">
        <v>603</v>
      </c>
    </row>
    <row r="103" customFormat="false" ht="18" hidden="false" customHeight="true" outlineLevel="0" collapsed="false">
      <c r="A103" s="16"/>
      <c r="B103" s="17" t="s">
        <v>627</v>
      </c>
      <c r="C103" s="18" t="n">
        <v>12035.96</v>
      </c>
      <c r="D103" s="18"/>
      <c r="E103" s="18" t="n">
        <f aca="false">SUM($C$103:C103)</f>
        <v>12035.96</v>
      </c>
      <c r="F103" s="20"/>
      <c r="G103" s="18"/>
      <c r="H103" s="19" t="s">
        <v>628</v>
      </c>
    </row>
    <row r="104" customFormat="false" ht="29.25" hidden="false" customHeight="true" outlineLevel="0" collapsed="false">
      <c r="A104" s="16"/>
      <c r="B104" s="17" t="s">
        <v>629</v>
      </c>
      <c r="C104" s="18" t="n">
        <v>1470052.21</v>
      </c>
      <c r="D104" s="18"/>
      <c r="E104" s="18" t="n">
        <f aca="false">SUM($C$103:C104)</f>
        <v>1482088.17</v>
      </c>
      <c r="F104" s="20"/>
      <c r="G104" s="18"/>
      <c r="H104" s="19" t="s">
        <v>630</v>
      </c>
    </row>
    <row r="105" customFormat="false" ht="18" hidden="false" customHeight="true" outlineLevel="0" collapsed="false">
      <c r="A105" s="16"/>
      <c r="B105" s="17" t="s">
        <v>631</v>
      </c>
      <c r="C105" s="18" t="n">
        <v>1005870.64</v>
      </c>
      <c r="D105" s="18"/>
      <c r="E105" s="18" t="n">
        <f aca="false">SUM($C$103:C105)</f>
        <v>2487958.81</v>
      </c>
      <c r="F105" s="20"/>
      <c r="G105" s="18"/>
      <c r="H105" s="19" t="s">
        <v>632</v>
      </c>
    </row>
    <row r="106" customFormat="false" ht="18" hidden="false" customHeight="true" outlineLevel="0" collapsed="false">
      <c r="A106" s="16"/>
      <c r="B106" s="17" t="s">
        <v>633</v>
      </c>
      <c r="C106" s="18" t="n">
        <v>2701160.67</v>
      </c>
      <c r="D106" s="18"/>
      <c r="E106" s="18" t="n">
        <f aca="false">SUM($C$103:C106)</f>
        <v>5189119.48</v>
      </c>
      <c r="F106" s="20"/>
      <c r="G106" s="18"/>
      <c r="H106" s="19" t="s">
        <v>634</v>
      </c>
    </row>
    <row r="107" customFormat="false" ht="18" hidden="false" customHeight="true" outlineLevel="0" collapsed="false">
      <c r="A107" s="16"/>
      <c r="B107" s="17" t="s">
        <v>635</v>
      </c>
      <c r="C107" s="18" t="n">
        <v>2417025.29</v>
      </c>
      <c r="D107" s="18"/>
      <c r="E107" s="18" t="n">
        <f aca="false">SUM($C$103:C107)</f>
        <v>7606144.77</v>
      </c>
      <c r="F107" s="20"/>
      <c r="G107" s="18"/>
      <c r="H107" s="19" t="s">
        <v>636</v>
      </c>
    </row>
    <row r="108" customFormat="false" ht="18" hidden="false" customHeight="true" outlineLevel="0" collapsed="false">
      <c r="A108" s="16"/>
      <c r="B108" s="17" t="s">
        <v>637</v>
      </c>
      <c r="C108" s="18" t="n">
        <v>504151.86</v>
      </c>
      <c r="D108" s="18"/>
      <c r="E108" s="18" t="n">
        <f aca="false">SUM($C$103:C108)</f>
        <v>8110296.63</v>
      </c>
      <c r="F108" s="20"/>
      <c r="G108" s="18"/>
      <c r="H108" s="19" t="s">
        <v>638</v>
      </c>
    </row>
    <row r="109" customFormat="false" ht="21.75" hidden="false" customHeight="true" outlineLevel="0" collapsed="false">
      <c r="A109" s="23"/>
      <c r="B109" s="23" t="s">
        <v>639</v>
      </c>
      <c r="C109" s="24" t="n">
        <f aca="false">SUM(C103:C108)</f>
        <v>8110296.63</v>
      </c>
      <c r="D109" s="24"/>
      <c r="E109" s="24"/>
      <c r="F109" s="25"/>
      <c r="G109" s="24"/>
      <c r="H109" s="48" t="s">
        <v>640</v>
      </c>
    </row>
    <row r="111" customFormat="false" ht="69.75" hidden="false" customHeight="true" outlineLevel="0" collapsed="false">
      <c r="A111" s="11" t="s">
        <v>641</v>
      </c>
      <c r="B111" s="11"/>
      <c r="C111" s="11"/>
      <c r="D111" s="11"/>
      <c r="E111" s="11"/>
      <c r="F111" s="11"/>
      <c r="G111" s="11"/>
      <c r="H111" s="11"/>
    </row>
    <row r="112" customFormat="false" ht="21" hidden="false" customHeight="true" outlineLevel="0" collapsed="false">
      <c r="A112" s="13"/>
      <c r="B112" s="13" t="s">
        <v>642</v>
      </c>
      <c r="C112" s="13" t="s">
        <v>639</v>
      </c>
      <c r="D112" s="13" t="s">
        <v>643</v>
      </c>
      <c r="E112" s="13" t="s">
        <v>644</v>
      </c>
      <c r="F112" s="43"/>
      <c r="G112" s="13"/>
      <c r="H112" s="13" t="s">
        <v>603</v>
      </c>
    </row>
    <row r="113" customFormat="false" ht="16.5" hidden="false" customHeight="true" outlineLevel="0" collapsed="false">
      <c r="A113" s="16"/>
      <c r="B113" s="17" t="s">
        <v>645</v>
      </c>
      <c r="C113" s="54" t="n">
        <v>8</v>
      </c>
      <c r="D113" s="54" t="n">
        <v>5</v>
      </c>
      <c r="E113" s="54" t="n">
        <v>3</v>
      </c>
      <c r="F113" s="20"/>
      <c r="G113" s="18"/>
      <c r="H113" s="19" t="s">
        <v>646</v>
      </c>
    </row>
    <row r="114" customFormat="false" ht="16.5" hidden="false" customHeight="true" outlineLevel="0" collapsed="false">
      <c r="A114" s="16"/>
      <c r="B114" s="17" t="s">
        <v>647</v>
      </c>
      <c r="C114" s="54" t="n">
        <v>14</v>
      </c>
      <c r="D114" s="54" t="n">
        <v>9</v>
      </c>
      <c r="E114" s="54" t="n">
        <v>5</v>
      </c>
      <c r="F114" s="20"/>
      <c r="G114" s="18"/>
      <c r="H114" s="19"/>
    </row>
    <row r="115" customFormat="false" ht="16.5" hidden="false" customHeight="true" outlineLevel="0" collapsed="false">
      <c r="A115" s="16"/>
      <c r="B115" s="17" t="s">
        <v>648</v>
      </c>
      <c r="C115" s="54" t="n">
        <v>13</v>
      </c>
      <c r="D115" s="54" t="n">
        <v>8</v>
      </c>
      <c r="E115" s="54" t="n">
        <v>5</v>
      </c>
      <c r="F115" s="20"/>
      <c r="G115" s="18"/>
      <c r="H115" s="19"/>
    </row>
    <row r="116" customFormat="false" ht="16.5" hidden="false" customHeight="true" outlineLevel="0" collapsed="false">
      <c r="A116" s="16"/>
      <c r="B116" s="17" t="s">
        <v>649</v>
      </c>
      <c r="C116" s="54" t="n">
        <v>12</v>
      </c>
      <c r="D116" s="54" t="n">
        <v>8</v>
      </c>
      <c r="E116" s="54" t="n">
        <v>4</v>
      </c>
      <c r="F116" s="20"/>
      <c r="G116" s="18"/>
      <c r="H116" s="19"/>
    </row>
    <row r="117" customFormat="false" ht="16.5" hidden="false" customHeight="true" outlineLevel="0" collapsed="false">
      <c r="A117" s="16"/>
      <c r="B117" s="17" t="s">
        <v>650</v>
      </c>
      <c r="C117" s="54" t="n">
        <v>11</v>
      </c>
      <c r="D117" s="54" t="n">
        <v>7</v>
      </c>
      <c r="E117" s="54" t="n">
        <v>4</v>
      </c>
      <c r="F117" s="20"/>
      <c r="G117" s="18"/>
      <c r="H117" s="19"/>
    </row>
    <row r="118" customFormat="false" ht="16.5" hidden="false" customHeight="true" outlineLevel="0" collapsed="false">
      <c r="A118" s="16"/>
      <c r="B118" s="17" t="s">
        <v>651</v>
      </c>
      <c r="C118" s="54" t="n">
        <v>10</v>
      </c>
      <c r="D118" s="54" t="n">
        <v>6</v>
      </c>
      <c r="E118" s="54" t="n">
        <v>4</v>
      </c>
      <c r="F118" s="20"/>
      <c r="G118" s="18"/>
      <c r="H118" s="19" t="s">
        <v>652</v>
      </c>
    </row>
    <row r="119" customFormat="false" ht="16.5" hidden="false" customHeight="true" outlineLevel="0" collapsed="false">
      <c r="A119" s="16"/>
      <c r="B119" s="17" t="s">
        <v>653</v>
      </c>
      <c r="C119" s="54" t="n">
        <v>10</v>
      </c>
      <c r="D119" s="54" t="n">
        <v>6</v>
      </c>
      <c r="E119" s="54" t="n">
        <v>4</v>
      </c>
      <c r="F119" s="20"/>
      <c r="G119" s="18"/>
      <c r="H119" s="19"/>
    </row>
    <row r="120" customFormat="false" ht="16.5" hidden="false" customHeight="true" outlineLevel="0" collapsed="false">
      <c r="A120" s="16"/>
      <c r="B120" s="17" t="s">
        <v>654</v>
      </c>
      <c r="C120" s="54" t="n">
        <v>8</v>
      </c>
      <c r="D120" s="54" t="n">
        <v>4</v>
      </c>
      <c r="E120" s="54" t="n">
        <v>4</v>
      </c>
      <c r="F120" s="20"/>
      <c r="G120" s="18"/>
      <c r="H120" s="19"/>
    </row>
    <row r="121" customFormat="false" ht="16.5" hidden="false" customHeight="true" outlineLevel="0" collapsed="false">
      <c r="A121" s="16"/>
      <c r="B121" s="17" t="s">
        <v>655</v>
      </c>
      <c r="C121" s="54" t="n">
        <v>14</v>
      </c>
      <c r="D121" s="54" t="n">
        <v>8</v>
      </c>
      <c r="E121" s="54" t="n">
        <v>6</v>
      </c>
      <c r="F121" s="20"/>
      <c r="G121" s="18"/>
      <c r="H121" s="19"/>
    </row>
    <row r="122" customFormat="false" ht="16.5" hidden="false" customHeight="true" outlineLevel="0" collapsed="false">
      <c r="A122" s="16"/>
      <c r="B122" s="17" t="s">
        <v>656</v>
      </c>
      <c r="C122" s="54" t="n">
        <v>35</v>
      </c>
      <c r="D122" s="54" t="n">
        <v>23</v>
      </c>
      <c r="E122" s="54" t="n">
        <v>12</v>
      </c>
      <c r="F122" s="20"/>
      <c r="G122" s="18"/>
      <c r="H122" s="19" t="s">
        <v>657</v>
      </c>
    </row>
    <row r="123" customFormat="false" ht="16.5" hidden="false" customHeight="true" outlineLevel="0" collapsed="false">
      <c r="A123" s="16"/>
      <c r="B123" s="17" t="s">
        <v>658</v>
      </c>
      <c r="C123" s="54" t="n">
        <v>26</v>
      </c>
      <c r="D123" s="54" t="n">
        <v>16</v>
      </c>
      <c r="E123" s="54" t="n">
        <v>10</v>
      </c>
      <c r="F123" s="20"/>
      <c r="G123" s="18"/>
      <c r="H123" s="19"/>
    </row>
    <row r="124" customFormat="false" ht="16.5" hidden="false" customHeight="true" outlineLevel="0" collapsed="false">
      <c r="A124" s="16"/>
      <c r="B124" s="17" t="s">
        <v>659</v>
      </c>
      <c r="C124" s="54" t="n">
        <v>19</v>
      </c>
      <c r="D124" s="54" t="n">
        <v>11</v>
      </c>
      <c r="E124" s="54" t="n">
        <v>8</v>
      </c>
      <c r="F124" s="20"/>
      <c r="G124" s="18"/>
      <c r="H124" s="19"/>
    </row>
    <row r="125" customFormat="false" ht="16.5" hidden="false" customHeight="true" outlineLevel="0" collapsed="false">
      <c r="A125" s="16"/>
      <c r="B125" s="17" t="s">
        <v>660</v>
      </c>
      <c r="C125" s="54" t="n">
        <v>16</v>
      </c>
      <c r="D125" s="54" t="n">
        <v>10</v>
      </c>
      <c r="E125" s="54" t="n">
        <v>6</v>
      </c>
      <c r="F125" s="20"/>
      <c r="G125" s="18"/>
      <c r="H125" s="19"/>
    </row>
    <row r="126" customFormat="false" ht="16.5" hidden="false" customHeight="true" outlineLevel="0" collapsed="false">
      <c r="A126" s="16"/>
      <c r="B126" s="17" t="s">
        <v>661</v>
      </c>
      <c r="C126" s="54" t="n">
        <v>13</v>
      </c>
      <c r="D126" s="54" t="n">
        <v>8</v>
      </c>
      <c r="E126" s="54" t="n">
        <v>5</v>
      </c>
      <c r="F126" s="20"/>
      <c r="G126" s="18"/>
      <c r="H126" s="19"/>
    </row>
    <row r="127" customFormat="false" ht="16.5" hidden="false" customHeight="true" outlineLevel="0" collapsed="false">
      <c r="A127" s="16"/>
      <c r="B127" s="17" t="s">
        <v>662</v>
      </c>
      <c r="C127" s="54" t="n">
        <v>7</v>
      </c>
      <c r="D127" s="54" t="n">
        <v>4</v>
      </c>
      <c r="E127" s="54" t="n">
        <v>3</v>
      </c>
      <c r="F127" s="20"/>
      <c r="G127" s="18"/>
      <c r="H127" s="19" t="s">
        <v>663</v>
      </c>
    </row>
    <row r="128" customFormat="false" ht="16.5" hidden="false" customHeight="true" outlineLevel="0" collapsed="false">
      <c r="A128" s="16"/>
      <c r="B128" s="17" t="s">
        <v>664</v>
      </c>
      <c r="C128" s="54" t="n">
        <v>5</v>
      </c>
      <c r="D128" s="54" t="n">
        <v>3</v>
      </c>
      <c r="E128" s="54" t="n">
        <v>2</v>
      </c>
      <c r="F128" s="20"/>
      <c r="G128" s="18"/>
      <c r="H128" s="19" t="s">
        <v>665</v>
      </c>
    </row>
    <row r="129" customFormat="false" ht="21.75" hidden="false" customHeight="true" outlineLevel="0" collapsed="false">
      <c r="A129" s="23"/>
      <c r="B129" s="23" t="s">
        <v>666</v>
      </c>
      <c r="C129" s="55" t="n">
        <f aca="false">SUM(C113:C128)</f>
        <v>221</v>
      </c>
      <c r="D129" s="55" t="n">
        <f aca="false">SUM(D113:D128)</f>
        <v>136</v>
      </c>
      <c r="E129" s="55" t="n">
        <f aca="false">SUM(E113:E128)</f>
        <v>85</v>
      </c>
      <c r="F129" s="25"/>
      <c r="G129" s="24"/>
      <c r="H129" s="48" t="s">
        <v>667</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668</v>
      </c>
    </row>
    <row r="2" customFormat="false" ht="17.25" hidden="false" customHeight="true" outlineLevel="0" collapsed="false">
      <c r="A2" s="9" t="s">
        <v>30</v>
      </c>
    </row>
    <row r="3" customFormat="false" ht="15" hidden="false" customHeight="false" outlineLevel="0" collapsed="false">
      <c r="A3" s="10" t="s">
        <v>31</v>
      </c>
    </row>
    <row r="4" customFormat="false" ht="69.75" hidden="false" customHeight="true" outlineLevel="0" collapsed="false">
      <c r="A4" s="11" t="s">
        <v>669</v>
      </c>
      <c r="B4" s="11"/>
      <c r="C4" s="11"/>
      <c r="D4" s="11"/>
      <c r="E4" s="11"/>
      <c r="F4" s="11"/>
      <c r="G4" s="11"/>
      <c r="H4" s="11"/>
      <c r="I4" s="11"/>
      <c r="J4" s="11"/>
    </row>
    <row r="6" customFormat="false" ht="21" hidden="false" customHeight="true" outlineLevel="0" collapsed="false">
      <c r="A6" s="15" t="s">
        <v>670</v>
      </c>
      <c r="B6" s="15"/>
      <c r="C6" s="15"/>
      <c r="D6" s="15"/>
      <c r="E6" s="15"/>
      <c r="F6" s="15"/>
      <c r="G6" s="15"/>
      <c r="H6" s="15"/>
      <c r="I6" s="15"/>
      <c r="J6" s="15"/>
    </row>
    <row r="7" customFormat="false" ht="69.75" hidden="false" customHeight="true" outlineLevel="0" collapsed="false">
      <c r="A7" s="11" t="s">
        <v>671</v>
      </c>
      <c r="B7" s="11"/>
      <c r="C7" s="11"/>
      <c r="D7" s="11"/>
      <c r="E7" s="11"/>
      <c r="F7" s="11"/>
      <c r="G7" s="11"/>
      <c r="H7" s="11"/>
      <c r="I7" s="11"/>
      <c r="J7" s="11"/>
    </row>
    <row r="8" customFormat="false" ht="43.5" hidden="false" customHeight="true" outlineLevel="0" collapsed="false">
      <c r="A8" s="11" t="s">
        <v>672</v>
      </c>
      <c r="B8" s="11"/>
      <c r="C8" s="11"/>
      <c r="D8" s="11"/>
      <c r="E8" s="11"/>
      <c r="F8" s="11"/>
      <c r="G8" s="11"/>
      <c r="H8" s="11"/>
      <c r="I8" s="11"/>
      <c r="J8" s="11"/>
    </row>
    <row r="9" customFormat="false" ht="82.5" hidden="false" customHeight="true" outlineLevel="0" collapsed="false">
      <c r="A9" s="11" t="s">
        <v>673</v>
      </c>
      <c r="B9" s="11"/>
      <c r="C9" s="11"/>
      <c r="D9" s="11"/>
      <c r="E9" s="11"/>
      <c r="F9" s="11"/>
      <c r="G9" s="11"/>
      <c r="H9" s="11"/>
      <c r="I9" s="11"/>
      <c r="J9" s="11"/>
    </row>
    <row r="11" customFormat="false" ht="21" hidden="false" customHeight="true" outlineLevel="0" collapsed="false">
      <c r="A11" s="15" t="s">
        <v>674</v>
      </c>
      <c r="B11" s="15"/>
      <c r="C11" s="15"/>
      <c r="D11" s="15"/>
      <c r="E11" s="15"/>
      <c r="F11" s="15"/>
      <c r="G11" s="15"/>
      <c r="H11" s="15"/>
      <c r="I11" s="15"/>
      <c r="J11" s="15"/>
    </row>
    <row r="12" customFormat="false" ht="31.5" hidden="false" customHeight="true" outlineLevel="0" collapsed="false">
      <c r="A12" s="13" t="s">
        <v>92</v>
      </c>
      <c r="B12" s="13" t="s">
        <v>675</v>
      </c>
      <c r="C12" s="13" t="s">
        <v>676</v>
      </c>
      <c r="D12" s="13"/>
      <c r="E12" s="13"/>
      <c r="F12" s="13"/>
      <c r="G12" s="13"/>
      <c r="H12" s="13"/>
      <c r="I12" s="13" t="s">
        <v>677</v>
      </c>
      <c r="J12" s="13"/>
    </row>
    <row r="13" customFormat="false" ht="42" hidden="false" customHeight="true" outlineLevel="0" collapsed="false">
      <c r="A13" s="16" t="s">
        <v>678</v>
      </c>
      <c r="B13" s="17" t="s">
        <v>679</v>
      </c>
      <c r="C13" s="49" t="s">
        <v>680</v>
      </c>
      <c r="D13" s="49"/>
      <c r="E13" s="49"/>
      <c r="F13" s="49"/>
      <c r="G13" s="49"/>
      <c r="H13" s="49"/>
      <c r="I13" s="19" t="s">
        <v>681</v>
      </c>
      <c r="J13" s="19"/>
    </row>
    <row r="14" customFormat="false" ht="30" hidden="false" customHeight="true" outlineLevel="0" collapsed="false">
      <c r="A14" s="16" t="s">
        <v>682</v>
      </c>
      <c r="B14" s="17" t="s">
        <v>683</v>
      </c>
      <c r="C14" s="56" t="n">
        <v>46288</v>
      </c>
      <c r="D14" s="56"/>
      <c r="E14" s="56"/>
      <c r="F14" s="56"/>
      <c r="G14" s="56"/>
      <c r="H14" s="56"/>
      <c r="I14" s="19" t="s">
        <v>684</v>
      </c>
      <c r="J14" s="19"/>
    </row>
    <row r="15" customFormat="false" ht="30" hidden="false" customHeight="true" outlineLevel="0" collapsed="false">
      <c r="A15" s="16" t="s">
        <v>685</v>
      </c>
      <c r="B15" s="17" t="s">
        <v>686</v>
      </c>
      <c r="C15" s="57" t="n">
        <v>30.4</v>
      </c>
      <c r="D15" s="57"/>
      <c r="E15" s="57"/>
      <c r="F15" s="57"/>
      <c r="G15" s="57"/>
      <c r="H15" s="57"/>
      <c r="I15" s="19" t="s">
        <v>687</v>
      </c>
      <c r="J15" s="19"/>
    </row>
    <row r="17" customFormat="false" ht="21" hidden="false" customHeight="true" outlineLevel="0" collapsed="false">
      <c r="A17" s="15" t="s">
        <v>688</v>
      </c>
      <c r="B17" s="15"/>
      <c r="C17" s="15"/>
      <c r="D17" s="15"/>
      <c r="E17" s="15"/>
      <c r="F17" s="15"/>
      <c r="G17" s="15"/>
      <c r="H17" s="15"/>
      <c r="I17" s="15"/>
      <c r="J17" s="15"/>
    </row>
    <row r="18" customFormat="false" ht="69.75" hidden="false" customHeight="true" outlineLevel="0" collapsed="false">
      <c r="A18" s="11" t="s">
        <v>689</v>
      </c>
      <c r="B18" s="11"/>
      <c r="C18" s="11"/>
      <c r="D18" s="11"/>
      <c r="E18" s="11"/>
      <c r="F18" s="11"/>
      <c r="G18" s="11"/>
      <c r="H18" s="11"/>
      <c r="I18" s="11"/>
      <c r="J18" s="11"/>
    </row>
    <row r="19" customFormat="false" ht="31.5" hidden="false" customHeight="true" outlineLevel="0" collapsed="false">
      <c r="A19" s="13" t="s">
        <v>92</v>
      </c>
      <c r="B19" s="13" t="s">
        <v>690</v>
      </c>
      <c r="C19" s="13" t="s">
        <v>691</v>
      </c>
      <c r="D19" s="13" t="s">
        <v>692</v>
      </c>
      <c r="E19" s="13" t="s">
        <v>693</v>
      </c>
      <c r="F19" s="13" t="s">
        <v>694</v>
      </c>
      <c r="G19" s="13" t="s">
        <v>695</v>
      </c>
      <c r="H19" s="13" t="s">
        <v>696</v>
      </c>
      <c r="I19" s="13" t="s">
        <v>697</v>
      </c>
      <c r="J19" s="13"/>
    </row>
    <row r="20" customFormat="false" ht="42" hidden="false" customHeight="true" outlineLevel="0" collapsed="false">
      <c r="A20" s="16" t="s">
        <v>698</v>
      </c>
      <c r="B20" s="17" t="s">
        <v>699</v>
      </c>
      <c r="C20" s="58" t="n">
        <f aca="false">$C$368</f>
        <v>46256</v>
      </c>
      <c r="D20" s="58" t="n">
        <f aca="false">$D$369</f>
        <v>46260</v>
      </c>
      <c r="E20" s="54" t="n">
        <f aca="false">D20-C20+1</f>
        <v>5</v>
      </c>
      <c r="F20" s="58" t="n">
        <f aca="false">C20</f>
        <v>46256</v>
      </c>
      <c r="G20" s="58" t="n">
        <f aca="false">D20</f>
        <v>46260</v>
      </c>
      <c r="H20" s="54" t="n">
        <f aca="false">E20</f>
        <v>5</v>
      </c>
      <c r="I20" s="19" t="s">
        <v>700</v>
      </c>
      <c r="J20" s="19"/>
    </row>
    <row r="21" customFormat="false" ht="54.75" hidden="false" customHeight="true" outlineLevel="0" collapsed="false">
      <c r="A21" s="16" t="s">
        <v>701</v>
      </c>
      <c r="B21" s="17" t="s">
        <v>702</v>
      </c>
      <c r="C21" s="58" t="n">
        <f aca="false">$C$371</f>
        <v>46261</v>
      </c>
      <c r="D21" s="58" t="n">
        <f aca="false">$D$374</f>
        <v>46277</v>
      </c>
      <c r="E21" s="54" t="n">
        <f aca="false">D21-C21+1</f>
        <v>17</v>
      </c>
      <c r="F21" s="58" t="n">
        <f aca="false">C21</f>
        <v>46261</v>
      </c>
      <c r="G21" s="58" t="n">
        <f aca="false">D21</f>
        <v>46277</v>
      </c>
      <c r="H21" s="54" t="n">
        <f aca="false">E21</f>
        <v>17</v>
      </c>
      <c r="I21" s="19" t="s">
        <v>703</v>
      </c>
      <c r="J21" s="19"/>
    </row>
    <row r="22" customFormat="false" ht="80.25" hidden="false" customHeight="true" outlineLevel="0" collapsed="false">
      <c r="A22" s="16" t="s">
        <v>704</v>
      </c>
      <c r="B22" s="17" t="s">
        <v>705</v>
      </c>
      <c r="C22" s="58" t="n">
        <f aca="false">$C$380</f>
        <v>46277</v>
      </c>
      <c r="D22" s="58" t="n">
        <f aca="false">$D$380</f>
        <v>46300</v>
      </c>
      <c r="E22" s="54" t="n">
        <f aca="false">NETWORKDAYS.INTL(C22,D22,"0000100",$C$14)</f>
        <v>20</v>
      </c>
      <c r="F22" s="58" t="n">
        <f aca="false">C22</f>
        <v>46277</v>
      </c>
      <c r="G22" s="58" t="n">
        <f aca="false">D22</f>
        <v>46300</v>
      </c>
      <c r="H22" s="54" t="n">
        <f aca="false">E22</f>
        <v>20</v>
      </c>
      <c r="I22" s="19" t="s">
        <v>706</v>
      </c>
      <c r="J22" s="19"/>
    </row>
    <row r="23" customFormat="false" ht="42" hidden="false" customHeight="true" outlineLevel="0" collapsed="false">
      <c r="A23" s="16" t="s">
        <v>707</v>
      </c>
      <c r="B23" s="17" t="s">
        <v>708</v>
      </c>
      <c r="C23" s="58" t="n">
        <f aca="false">$C$386</f>
        <v>46301</v>
      </c>
      <c r="D23" s="58" t="n">
        <f aca="false">$D$386</f>
        <v>46319</v>
      </c>
      <c r="E23" s="54" t="n">
        <f aca="false">NETWORKDAYS.INTL(C23,D23,"0000100",$C$14)</f>
        <v>16</v>
      </c>
      <c r="F23" s="58" t="n">
        <f aca="false">C23</f>
        <v>46301</v>
      </c>
      <c r="G23" s="58" t="n">
        <f aca="false">D23</f>
        <v>46319</v>
      </c>
      <c r="H23" s="54" t="n">
        <f aca="false">E23</f>
        <v>16</v>
      </c>
      <c r="I23" s="19" t="s">
        <v>709</v>
      </c>
      <c r="J23" s="19"/>
    </row>
    <row r="24" customFormat="false" ht="42" hidden="false" customHeight="true" outlineLevel="0" collapsed="false">
      <c r="A24" s="16" t="s">
        <v>710</v>
      </c>
      <c r="B24" s="17" t="s">
        <v>711</v>
      </c>
      <c r="C24" s="58" t="n">
        <f aca="false">$C$387</f>
        <v>46303</v>
      </c>
      <c r="D24" s="58" t="n">
        <f aca="false">$D$387</f>
        <v>46324</v>
      </c>
      <c r="E24" s="54" t="n">
        <f aca="false">NETWORKDAYS.INTL(C24,D24,"0000100",$C$14)</f>
        <v>19</v>
      </c>
      <c r="F24" s="58" t="n">
        <f aca="false">C24</f>
        <v>46303</v>
      </c>
      <c r="G24" s="58" t="n">
        <f aca="false">D24</f>
        <v>46324</v>
      </c>
      <c r="H24" s="54" t="n">
        <f aca="false">E24</f>
        <v>19</v>
      </c>
      <c r="I24" s="19" t="s">
        <v>712</v>
      </c>
      <c r="J24" s="19"/>
    </row>
    <row r="25" customFormat="false" ht="30" hidden="false" customHeight="true" outlineLevel="0" collapsed="false">
      <c r="A25" s="16" t="s">
        <v>713</v>
      </c>
      <c r="B25" s="17" t="s">
        <v>714</v>
      </c>
      <c r="C25" s="58" t="n">
        <f aca="false">$C$393</f>
        <v>46326</v>
      </c>
      <c r="D25" s="58" t="n">
        <f aca="false">$D$393</f>
        <v>46330</v>
      </c>
      <c r="E25" s="54" t="n">
        <f aca="false">NETWORKDAYS.INTL(C25,D25,"0000100",$C$14)</f>
        <v>5</v>
      </c>
      <c r="F25" s="58" t="n">
        <f aca="false">C25</f>
        <v>46326</v>
      </c>
      <c r="G25" s="58" t="n">
        <f aca="false">D25</f>
        <v>46330</v>
      </c>
      <c r="H25" s="54" t="n">
        <f aca="false">E25</f>
        <v>5</v>
      </c>
      <c r="I25" s="19" t="s">
        <v>715</v>
      </c>
      <c r="J25" s="19"/>
    </row>
    <row r="26" customFormat="false" ht="30" hidden="false" customHeight="true" outlineLevel="0" collapsed="false">
      <c r="A26" s="16" t="s">
        <v>716</v>
      </c>
      <c r="B26" s="17" t="s">
        <v>717</v>
      </c>
      <c r="C26" s="58" t="n">
        <f aca="false">$C$397</f>
        <v>46331</v>
      </c>
      <c r="D26" s="58" t="n">
        <f aca="false">$D$397</f>
        <v>46337</v>
      </c>
      <c r="E26" s="54" t="n">
        <f aca="false">NETWORKDAYS.INTL(C26,D26,"0000100",$C$14)</f>
        <v>6</v>
      </c>
      <c r="F26" s="58" t="n">
        <f aca="false">C26</f>
        <v>46331</v>
      </c>
      <c r="G26" s="58" t="n">
        <f aca="false">D26</f>
        <v>46337</v>
      </c>
      <c r="H26" s="54" t="n">
        <f aca="false">E26</f>
        <v>6</v>
      </c>
      <c r="I26" s="19" t="s">
        <v>718</v>
      </c>
      <c r="J26" s="19"/>
    </row>
    <row r="27" customFormat="false" ht="31.5" hidden="false" customHeight="true" outlineLevel="0" collapsed="false">
      <c r="A27" s="13" t="s">
        <v>92</v>
      </c>
      <c r="B27" s="13" t="s">
        <v>690</v>
      </c>
      <c r="C27" s="13" t="s">
        <v>691</v>
      </c>
      <c r="D27" s="13" t="s">
        <v>692</v>
      </c>
      <c r="E27" s="13" t="s">
        <v>693</v>
      </c>
      <c r="F27" s="13" t="s">
        <v>694</v>
      </c>
      <c r="G27" s="13" t="s">
        <v>695</v>
      </c>
      <c r="H27" s="13" t="s">
        <v>696</v>
      </c>
      <c r="I27" s="13" t="s">
        <v>697</v>
      </c>
      <c r="J27" s="13"/>
    </row>
    <row r="28" customFormat="false" ht="42" hidden="false" customHeight="true" outlineLevel="0" collapsed="false">
      <c r="A28" s="16" t="s">
        <v>719</v>
      </c>
      <c r="B28" s="17" t="s">
        <v>720</v>
      </c>
      <c r="C28" s="58" t="n">
        <f aca="false">$C$398</f>
        <v>46335</v>
      </c>
      <c r="D28" s="58" t="n">
        <f aca="false">$D$400</f>
        <v>46342</v>
      </c>
      <c r="E28" s="54" t="n">
        <f aca="false">NETWORKDAYS.INTL(C28,D28,"0000100",$C$14)</f>
        <v>7</v>
      </c>
      <c r="F28" s="58" t="n">
        <f aca="false">C28</f>
        <v>46335</v>
      </c>
      <c r="G28" s="58" t="n">
        <f aca="false">D28</f>
        <v>46342</v>
      </c>
      <c r="H28" s="54" t="n">
        <f aca="false">E28</f>
        <v>7</v>
      </c>
      <c r="I28" s="19" t="s">
        <v>721</v>
      </c>
      <c r="J28" s="19"/>
    </row>
    <row r="29" customFormat="false" ht="54.75" hidden="false" customHeight="true" outlineLevel="0" collapsed="false">
      <c r="A29" s="16" t="s">
        <v>722</v>
      </c>
      <c r="B29" s="17" t="s">
        <v>723</v>
      </c>
      <c r="C29" s="58" t="n">
        <f aca="false">$C$390</f>
        <v>46317</v>
      </c>
      <c r="D29" s="58" t="n">
        <f aca="false">$D$390</f>
        <v>46323</v>
      </c>
      <c r="E29" s="54" t="n">
        <f aca="false">NETWORKDAYS.INTL(C29,D29,"0000100",$C$14)</f>
        <v>6</v>
      </c>
      <c r="F29" s="58" t="n">
        <f aca="false">C29</f>
        <v>46317</v>
      </c>
      <c r="G29" s="58" t="n">
        <f aca="false">D29</f>
        <v>46323</v>
      </c>
      <c r="H29" s="54" t="n">
        <f aca="false">E29</f>
        <v>6</v>
      </c>
      <c r="I29" s="19" t="s">
        <v>724</v>
      </c>
      <c r="J29" s="19"/>
    </row>
    <row r="30" customFormat="false" ht="30" hidden="false" customHeight="true" outlineLevel="0" collapsed="false">
      <c r="A30" s="16" t="s">
        <v>725</v>
      </c>
      <c r="B30" s="17" t="s">
        <v>726</v>
      </c>
      <c r="C30" s="58" t="n">
        <f aca="false">$C$392</f>
        <v>46324</v>
      </c>
      <c r="D30" s="58" t="n">
        <f aca="false">$D$392</f>
        <v>46337</v>
      </c>
      <c r="E30" s="54" t="n">
        <f aca="false">NETWORKDAYS.INTL(C30,D30,"0000100",$C$14)</f>
        <v>12</v>
      </c>
      <c r="F30" s="58" t="n">
        <f aca="false">C30</f>
        <v>46324</v>
      </c>
      <c r="G30" s="58" t="n">
        <f aca="false">D30</f>
        <v>46337</v>
      </c>
      <c r="H30" s="54" t="n">
        <f aca="false">E30</f>
        <v>12</v>
      </c>
      <c r="I30" s="19" t="s">
        <v>727</v>
      </c>
      <c r="J30" s="19"/>
    </row>
    <row r="31" customFormat="false" ht="30" hidden="false" customHeight="true" outlineLevel="0" collapsed="false">
      <c r="A31" s="16" t="s">
        <v>728</v>
      </c>
      <c r="B31" s="17" t="s">
        <v>729</v>
      </c>
      <c r="C31" s="58" t="n">
        <f aca="false">$C$394</f>
        <v>46327</v>
      </c>
      <c r="D31" s="58" t="n">
        <f aca="false">$D$394</f>
        <v>46343</v>
      </c>
      <c r="E31" s="54" t="n">
        <f aca="false">NETWORKDAYS.INTL(C31,D31,"0000100",$C$14)</f>
        <v>15</v>
      </c>
      <c r="F31" s="58" t="n">
        <f aca="false">C31</f>
        <v>46327</v>
      </c>
      <c r="G31" s="58" t="n">
        <f aca="false">D31</f>
        <v>46343</v>
      </c>
      <c r="H31" s="54" t="n">
        <f aca="false">E31</f>
        <v>15</v>
      </c>
      <c r="I31" s="19" t="s">
        <v>730</v>
      </c>
      <c r="J31" s="19"/>
    </row>
    <row r="32" customFormat="false" ht="30" hidden="false" customHeight="true" outlineLevel="0" collapsed="false">
      <c r="A32" s="16" t="s">
        <v>731</v>
      </c>
      <c r="B32" s="17" t="s">
        <v>732</v>
      </c>
      <c r="C32" s="58" t="n">
        <f aca="false">$C$401</f>
        <v>46344</v>
      </c>
      <c r="D32" s="58" t="n">
        <f aca="false">$D$401</f>
        <v>46349</v>
      </c>
      <c r="E32" s="54" t="n">
        <f aca="false">NETWORKDAYS.INTL(C32,D32,"0000100",$C$14)</f>
        <v>5</v>
      </c>
      <c r="F32" s="58" t="n">
        <f aca="false">C32</f>
        <v>46344</v>
      </c>
      <c r="G32" s="58" t="n">
        <f aca="false">D32</f>
        <v>46349</v>
      </c>
      <c r="H32" s="54" t="n">
        <f aca="false">E32</f>
        <v>5</v>
      </c>
      <c r="I32" s="19" t="s">
        <v>733</v>
      </c>
      <c r="J32" s="19"/>
    </row>
    <row r="33" customFormat="false" ht="30" hidden="false" customHeight="true" outlineLevel="0" collapsed="false">
      <c r="A33" s="16" t="s">
        <v>734</v>
      </c>
      <c r="B33" s="17" t="s">
        <v>735</v>
      </c>
      <c r="C33" s="58" t="n">
        <f aca="false">$C$402</f>
        <v>46350</v>
      </c>
      <c r="D33" s="58" t="n">
        <f aca="false">$D$402</f>
        <v>46356</v>
      </c>
      <c r="E33" s="54" t="n">
        <f aca="false">NETWORKDAYS.INTL(C33,D33,"0000100",$C$14)</f>
        <v>6</v>
      </c>
      <c r="F33" s="58" t="n">
        <f aca="false">C33</f>
        <v>46350</v>
      </c>
      <c r="G33" s="58" t="n">
        <f aca="false">D33</f>
        <v>46356</v>
      </c>
      <c r="H33" s="54" t="n">
        <f aca="false">E33</f>
        <v>6</v>
      </c>
      <c r="I33" s="19" t="s">
        <v>736</v>
      </c>
      <c r="J33" s="19"/>
    </row>
    <row r="34" customFormat="false" ht="30" hidden="false" customHeight="true" outlineLevel="0" collapsed="false">
      <c r="A34" s="16" t="s">
        <v>737</v>
      </c>
      <c r="B34" s="17" t="s">
        <v>738</v>
      </c>
      <c r="C34" s="58" t="n">
        <f aca="false">$C$403</f>
        <v>46354</v>
      </c>
      <c r="D34" s="58" t="n">
        <f aca="false">$D$405</f>
        <v>46359</v>
      </c>
      <c r="E34" s="54" t="n">
        <f aca="false">NETWORKDAYS.INTL(C34,D34,"0000100",$C$14)</f>
        <v>6</v>
      </c>
      <c r="F34" s="58" t="n">
        <f aca="false">C34</f>
        <v>46354</v>
      </c>
      <c r="G34" s="58" t="n">
        <f aca="false">D34</f>
        <v>46359</v>
      </c>
      <c r="H34" s="54" t="n">
        <f aca="false">E34</f>
        <v>6</v>
      </c>
      <c r="I34" s="19" t="s">
        <v>739</v>
      </c>
      <c r="J34" s="19"/>
    </row>
    <row r="35" customFormat="false" ht="42" hidden="false" customHeight="true" outlineLevel="0" collapsed="false">
      <c r="A35" s="16" t="s">
        <v>740</v>
      </c>
      <c r="B35" s="17" t="s">
        <v>741</v>
      </c>
      <c r="C35" s="58" t="n">
        <f aca="false">$C$406</f>
        <v>46359</v>
      </c>
      <c r="D35" s="58" t="n">
        <f aca="false">$D$406</f>
        <v>46359</v>
      </c>
      <c r="E35" s="54" t="s">
        <v>742</v>
      </c>
      <c r="F35" s="58" t="n">
        <f aca="false">C35</f>
        <v>46359</v>
      </c>
      <c r="G35" s="58" t="n">
        <f aca="false">D35</f>
        <v>46359</v>
      </c>
      <c r="H35" s="54" t="s">
        <v>742</v>
      </c>
      <c r="I35" s="19" t="s">
        <v>743</v>
      </c>
      <c r="J35" s="19"/>
    </row>
    <row r="36" customFormat="false" ht="30" hidden="false" customHeight="true" outlineLevel="0" collapsed="false">
      <c r="A36" s="16" t="s">
        <v>744</v>
      </c>
      <c r="B36" s="17" t="s">
        <v>745</v>
      </c>
      <c r="C36" s="58" t="n">
        <f aca="false">$C$407</f>
        <v>46361</v>
      </c>
      <c r="D36" s="58" t="n">
        <f aca="false">$D$407</f>
        <v>46364</v>
      </c>
      <c r="E36" s="54" t="n">
        <f aca="false">NETWORKDAYS.INTL(C36,D36,"0000100",$C$14)</f>
        <v>4</v>
      </c>
      <c r="F36" s="58" t="n">
        <f aca="false">C36</f>
        <v>46361</v>
      </c>
      <c r="G36" s="58" t="n">
        <f aca="false">D36</f>
        <v>46364</v>
      </c>
      <c r="H36" s="54" t="n">
        <f aca="false">E36</f>
        <v>4</v>
      </c>
      <c r="I36" s="19" t="s">
        <v>746</v>
      </c>
      <c r="J36" s="19"/>
    </row>
    <row r="37" customFormat="false" ht="80.25" hidden="false" customHeight="true" outlineLevel="0" collapsed="false">
      <c r="A37" s="16" t="s">
        <v>747</v>
      </c>
      <c r="B37" s="17" t="s">
        <v>748</v>
      </c>
      <c r="C37" s="58" t="n">
        <f aca="false">$C$408</f>
        <v>46365</v>
      </c>
      <c r="D37" s="58" t="n">
        <f aca="false">$D$409</f>
        <v>46372</v>
      </c>
      <c r="E37" s="54" t="n">
        <f aca="false">NETWORKDAYS.INTL(C37,D37,"0000100",$C$14)</f>
        <v>7</v>
      </c>
      <c r="F37" s="58" t="s">
        <v>742</v>
      </c>
      <c r="G37" s="58" t="s">
        <v>742</v>
      </c>
      <c r="H37" s="54" t="s">
        <v>742</v>
      </c>
      <c r="I37" s="19" t="s">
        <v>749</v>
      </c>
      <c r="J37" s="19"/>
    </row>
    <row r="38" customFormat="false" ht="208.5" hidden="false" customHeight="true" outlineLevel="0" collapsed="false">
      <c r="A38" s="16" t="s">
        <v>750</v>
      </c>
      <c r="B38" s="17" t="s">
        <v>751</v>
      </c>
      <c r="C38" s="58" t="str">
        <f aca="false">G37</f>
        <v>-</v>
      </c>
      <c r="D38" s="58" t="str">
        <f aca="false">G37</f>
        <v>-</v>
      </c>
      <c r="E38" s="54" t="str">
        <f aca="false">G37</f>
        <v>-</v>
      </c>
      <c r="F38" s="58" t="n">
        <f aca="false">WORKDAY.INTL(D28,1,"0000100",$C$14)</f>
        <v>46343</v>
      </c>
      <c r="G38" s="58" t="n">
        <f aca="false">WORKDAY.INTL(F38,H38-1,"0000100",$C$14)</f>
        <v>46350</v>
      </c>
      <c r="H38" s="54" t="n">
        <f aca="false">$E$408</f>
        <v>7</v>
      </c>
      <c r="I38" s="19" t="s">
        <v>752</v>
      </c>
      <c r="J38" s="19"/>
    </row>
    <row r="39" customFormat="false" ht="105.75" hidden="false" customHeight="true" outlineLevel="0" collapsed="false">
      <c r="A39" s="16" t="s">
        <v>753</v>
      </c>
      <c r="B39" s="17" t="s">
        <v>754</v>
      </c>
      <c r="C39" s="58" t="str">
        <f aca="false">G37</f>
        <v>-</v>
      </c>
      <c r="D39" s="58" t="str">
        <f aca="false">G37</f>
        <v>-</v>
      </c>
      <c r="E39" s="54" t="str">
        <f aca="false">G37</f>
        <v>-</v>
      </c>
      <c r="F39" s="58" t="n">
        <f aca="false">WORKDAY.INTL(MAX(G38,G34),1,"0000100",$C$14)</f>
        <v>46361</v>
      </c>
      <c r="G39" s="58" t="n">
        <f aca="false">WORKDAY.INTL(F39,H39-1,"0000100",$C$14)</f>
        <v>46363</v>
      </c>
      <c r="H39" s="54" t="n">
        <v>3</v>
      </c>
      <c r="I39" s="19" t="s">
        <v>755</v>
      </c>
      <c r="J39" s="19"/>
    </row>
    <row r="40" customFormat="false" ht="80.25" hidden="false" customHeight="true" outlineLevel="0" collapsed="false">
      <c r="A40" s="16" t="s">
        <v>756</v>
      </c>
      <c r="B40" s="17" t="s">
        <v>757</v>
      </c>
      <c r="C40" s="58" t="str">
        <f aca="false">G37</f>
        <v>-</v>
      </c>
      <c r="D40" s="58" t="str">
        <f aca="false">G37</f>
        <v>-</v>
      </c>
      <c r="E40" s="54" t="str">
        <f aca="false">G37</f>
        <v>-</v>
      </c>
      <c r="F40" s="58" t="n">
        <f aca="false">WORKDAY.INTL(G39,1,"0000100",$C$14)</f>
        <v>46364</v>
      </c>
      <c r="G40" s="58" t="n">
        <f aca="false">WORKDAY.INTL(F40,H40-1,"0000100",$C$14)</f>
        <v>46368</v>
      </c>
      <c r="H40" s="54" t="n">
        <v>4</v>
      </c>
      <c r="I40" s="19" t="s">
        <v>758</v>
      </c>
      <c r="J40" s="19"/>
    </row>
    <row r="41" customFormat="false" ht="93" hidden="false" customHeight="true" outlineLevel="0" collapsed="false">
      <c r="A41" s="16" t="s">
        <v>759</v>
      </c>
      <c r="B41" s="17" t="s">
        <v>760</v>
      </c>
      <c r="C41" s="58" t="str">
        <f aca="false">G37</f>
        <v>-</v>
      </c>
      <c r="D41" s="58" t="str">
        <f aca="false">G37</f>
        <v>-</v>
      </c>
      <c r="E41" s="54" t="str">
        <f aca="false">G37</f>
        <v>-</v>
      </c>
      <c r="F41" s="58" t="n">
        <f aca="false">WORKDAY.INTL(G36,1,"0000100",$C$14)</f>
        <v>46365</v>
      </c>
      <c r="G41" s="58" t="n">
        <f aca="false">WORKDAY.INTL(F41,H41-1,"0000100",$C$14)</f>
        <v>46368</v>
      </c>
      <c r="H41" s="54" t="n">
        <v>3</v>
      </c>
      <c r="I41" s="19" t="s">
        <v>761</v>
      </c>
      <c r="J41" s="19"/>
    </row>
    <row r="42" customFormat="false" ht="80.25" hidden="false" customHeight="true" outlineLevel="0" collapsed="false">
      <c r="A42" s="16" t="s">
        <v>762</v>
      </c>
      <c r="B42" s="17" t="s">
        <v>763</v>
      </c>
      <c r="C42" s="58" t="str">
        <f aca="false">G37</f>
        <v>-</v>
      </c>
      <c r="D42" s="58" t="str">
        <f aca="false">G37</f>
        <v>-</v>
      </c>
      <c r="E42" s="54" t="str">
        <f aca="false">G37</f>
        <v>-</v>
      </c>
      <c r="F42" s="58" t="n">
        <f aca="false">WORKDAY.INTL(MAX(G36,G40,G41),1,"0000100",$C$14)</f>
        <v>46369</v>
      </c>
      <c r="G42" s="58" t="n">
        <f aca="false">WORKDAY.INTL(F42,H42-1,"0000100",$C$14)</f>
        <v>46371</v>
      </c>
      <c r="H42" s="54" t="n">
        <v>3</v>
      </c>
      <c r="I42" s="19" t="s">
        <v>764</v>
      </c>
      <c r="J42" s="19"/>
    </row>
    <row r="43" customFormat="false" ht="42" hidden="false" customHeight="true" outlineLevel="0" collapsed="false">
      <c r="A43" s="16" t="s">
        <v>765</v>
      </c>
      <c r="B43" s="17" t="s">
        <v>766</v>
      </c>
      <c r="C43" s="58" t="n">
        <f aca="false">$D$410</f>
        <v>46372</v>
      </c>
      <c r="D43" s="58" t="n">
        <f aca="false">C43</f>
        <v>46372</v>
      </c>
      <c r="E43" s="54" t="s">
        <v>742</v>
      </c>
      <c r="F43" s="58" t="n">
        <f aca="false">G42</f>
        <v>46371</v>
      </c>
      <c r="G43" s="58" t="n">
        <f aca="false">F43</f>
        <v>46371</v>
      </c>
      <c r="H43" s="54" t="s">
        <v>742</v>
      </c>
      <c r="I43" s="19" t="s">
        <v>767</v>
      </c>
      <c r="J43" s="19"/>
    </row>
    <row r="44" customFormat="false" ht="30" hidden="false" customHeight="true" outlineLevel="0" collapsed="false">
      <c r="A44" s="16" t="s">
        <v>768</v>
      </c>
      <c r="B44" s="17" t="s">
        <v>769</v>
      </c>
      <c r="C44" s="58" t="n">
        <f aca="false">$C$412</f>
        <v>46373</v>
      </c>
      <c r="D44" s="58" t="n">
        <f aca="false">$D$412</f>
        <v>46380</v>
      </c>
      <c r="E44" s="54" t="n">
        <f aca="false">NETWORKDAYS.INTL(C44,D44,"0000100",$C$14)</f>
        <v>7</v>
      </c>
      <c r="F44" s="58" t="n">
        <f aca="false">WORKDAY.INTL(G43,1,"0000100",$C$14)</f>
        <v>46372</v>
      </c>
      <c r="G44" s="58" t="n">
        <f aca="false">WORKDAY.INTL(F44,H44-1,"0000100",$C$14)</f>
        <v>46379</v>
      </c>
      <c r="H44" s="54" t="n">
        <f aca="false">E44</f>
        <v>7</v>
      </c>
      <c r="I44" s="19" t="s">
        <v>770</v>
      </c>
      <c r="J44" s="19"/>
    </row>
    <row r="45" customFormat="false" ht="31.5" hidden="false" customHeight="true" outlineLevel="0" collapsed="false">
      <c r="A45" s="13" t="s">
        <v>92</v>
      </c>
      <c r="B45" s="13" t="s">
        <v>690</v>
      </c>
      <c r="C45" s="13" t="s">
        <v>691</v>
      </c>
      <c r="D45" s="13" t="s">
        <v>692</v>
      </c>
      <c r="E45" s="13" t="s">
        <v>693</v>
      </c>
      <c r="F45" s="13" t="s">
        <v>694</v>
      </c>
      <c r="G45" s="13" t="s">
        <v>695</v>
      </c>
      <c r="H45" s="13" t="s">
        <v>696</v>
      </c>
      <c r="I45" s="13" t="s">
        <v>697</v>
      </c>
      <c r="J45" s="13"/>
    </row>
    <row r="46" customFormat="false" ht="19.5" hidden="false" customHeight="true" outlineLevel="0" collapsed="false">
      <c r="A46" s="23"/>
      <c r="B46" s="23" t="s">
        <v>771</v>
      </c>
      <c r="C46" s="23"/>
      <c r="D46" s="23"/>
      <c r="E46" s="23"/>
      <c r="F46" s="23"/>
      <c r="G46" s="23"/>
      <c r="H46" s="23"/>
      <c r="I46" s="23"/>
      <c r="J46" s="23"/>
    </row>
    <row r="47" customFormat="false" ht="105.75" hidden="false" customHeight="true" outlineLevel="0" collapsed="false">
      <c r="A47" s="16" t="s">
        <v>772</v>
      </c>
      <c r="B47" s="17" t="s">
        <v>773</v>
      </c>
      <c r="C47" s="58" t="n">
        <f aca="false">C20</f>
        <v>46256</v>
      </c>
      <c r="D47" s="58" t="n">
        <f aca="false">D44</f>
        <v>46380</v>
      </c>
      <c r="E47" s="54" t="n">
        <f aca="false">D47-C47+1</f>
        <v>125</v>
      </c>
      <c r="F47" s="58" t="n">
        <f aca="false">F20</f>
        <v>46256</v>
      </c>
      <c r="G47" s="58" t="n">
        <f aca="false">G44</f>
        <v>46379</v>
      </c>
      <c r="H47" s="54" t="n">
        <f aca="false">G47-F47+1</f>
        <v>124</v>
      </c>
      <c r="I47" s="19" t="s">
        <v>774</v>
      </c>
      <c r="J47" s="19"/>
    </row>
    <row r="48" customFormat="false" ht="30" hidden="false" customHeight="true" outlineLevel="0" collapsed="false">
      <c r="A48" s="16" t="s">
        <v>775</v>
      </c>
      <c r="B48" s="17" t="s">
        <v>776</v>
      </c>
      <c r="C48" s="58" t="n">
        <f aca="false">C20</f>
        <v>46256</v>
      </c>
      <c r="D48" s="58" t="n">
        <f aca="false">D43</f>
        <v>46372</v>
      </c>
      <c r="E48" s="54" t="n">
        <f aca="false">D48-C48+1</f>
        <v>117</v>
      </c>
      <c r="F48" s="58" t="n">
        <f aca="false">F20</f>
        <v>46256</v>
      </c>
      <c r="G48" s="58" t="n">
        <f aca="false">G43</f>
        <v>46371</v>
      </c>
      <c r="H48" s="54" t="n">
        <f aca="false">G48-F48+1</f>
        <v>116</v>
      </c>
      <c r="I48" s="19" t="s">
        <v>777</v>
      </c>
      <c r="J48" s="19"/>
    </row>
    <row r="49" customFormat="false" ht="54.75" hidden="false" customHeight="true" outlineLevel="0" collapsed="false">
      <c r="A49" s="16" t="s">
        <v>778</v>
      </c>
      <c r="B49" s="17" t="s">
        <v>779</v>
      </c>
      <c r="C49" s="58" t="n">
        <f aca="false">C22</f>
        <v>46277</v>
      </c>
      <c r="D49" s="58" t="n">
        <f aca="false">D34</f>
        <v>46359</v>
      </c>
      <c r="E49" s="54" t="n">
        <f aca="false">D49-C49+1</f>
        <v>83</v>
      </c>
      <c r="F49" s="58" t="n">
        <f aca="false">C49</f>
        <v>46277</v>
      </c>
      <c r="G49" s="58" t="n">
        <f aca="false">D49</f>
        <v>46359</v>
      </c>
      <c r="H49" s="54" t="n">
        <f aca="false">E49</f>
        <v>83</v>
      </c>
      <c r="I49" s="19" t="s">
        <v>780</v>
      </c>
      <c r="J49" s="19"/>
    </row>
    <row r="50" customFormat="false" ht="42" hidden="false" customHeight="true" outlineLevel="0" collapsed="false">
      <c r="A50" s="16" t="s">
        <v>781</v>
      </c>
      <c r="B50" s="17" t="s">
        <v>782</v>
      </c>
      <c r="C50" s="58" t="n">
        <f aca="false">C23</f>
        <v>46301</v>
      </c>
      <c r="D50" s="58" t="n">
        <f aca="false">D33</f>
        <v>46356</v>
      </c>
      <c r="E50" s="54" t="n">
        <f aca="false">D50-C50+1</f>
        <v>56</v>
      </c>
      <c r="F50" s="58" t="n">
        <f aca="false">C50</f>
        <v>46301</v>
      </c>
      <c r="G50" s="58" t="n">
        <f aca="false">D50</f>
        <v>46356</v>
      </c>
      <c r="H50" s="54" t="n">
        <f aca="false">E50</f>
        <v>56</v>
      </c>
      <c r="I50" s="19" t="s">
        <v>783</v>
      </c>
      <c r="J50" s="19"/>
    </row>
    <row r="51" customFormat="false" ht="54.75" hidden="false" customHeight="true" outlineLevel="0" collapsed="false">
      <c r="A51" s="16" t="s">
        <v>784</v>
      </c>
      <c r="B51" s="17" t="s">
        <v>785</v>
      </c>
      <c r="C51" s="58" t="n">
        <f aca="false">$C$377</f>
        <v>46273</v>
      </c>
      <c r="D51" s="58" t="n">
        <f aca="false">D33</f>
        <v>46356</v>
      </c>
      <c r="E51" s="54" t="n">
        <f aca="false">D51-C51+1</f>
        <v>84</v>
      </c>
      <c r="F51" s="58" t="n">
        <f aca="false">C51</f>
        <v>46273</v>
      </c>
      <c r="G51" s="58" t="n">
        <f aca="false">D51</f>
        <v>46356</v>
      </c>
      <c r="H51" s="54" t="n">
        <f aca="false">E51</f>
        <v>84</v>
      </c>
      <c r="I51" s="19" t="s">
        <v>786</v>
      </c>
      <c r="J51" s="19"/>
    </row>
    <row r="52" customFormat="false" ht="19.5" hidden="false" customHeight="true" outlineLevel="0" collapsed="false">
      <c r="A52" s="23"/>
      <c r="B52" s="23" t="s">
        <v>787</v>
      </c>
      <c r="C52" s="23"/>
      <c r="D52" s="23"/>
      <c r="E52" s="23"/>
      <c r="F52" s="23"/>
      <c r="G52" s="23"/>
      <c r="H52" s="23"/>
      <c r="I52" s="23"/>
      <c r="J52" s="23"/>
    </row>
    <row r="53" customFormat="false" ht="60" hidden="false" customHeight="true" outlineLevel="0" collapsed="false">
      <c r="A53" s="16" t="s">
        <v>788</v>
      </c>
      <c r="B53" s="17" t="s">
        <v>789</v>
      </c>
      <c r="C53" s="58" t="n">
        <f aca="false">F20</f>
        <v>46256</v>
      </c>
      <c r="D53" s="58" t="n">
        <f aca="false">WORKDAY.INTL(WORKDAY.INTL(WORKDAY.INTL(WORKDAY.INTL(MAX(G36,WORKDAY.INTL(WORKDAY.INTL(WORKDAY.INTL(WORKDAY.INTL(WORKDAY.INTL(WORKDAY.INTL(G36,1,"0000100",$C$14),7-1,"0000100",$C$14),1,"0000100",$C$14),3-1,"0000100",$C$14),1,"0000100",$C$14),4-1,"0000100",$C$14),WORKDAY.INTL(WORKDAY.INTL(G36,1,"0000100",$C$14),3-1,"0000100",$C$14)),1,"0000100",$C$14),3-1,"0000100",$C$14),1,"0000100",$C$14),7-1,"0000100",$C$14)</f>
        <v>46392</v>
      </c>
      <c r="E53" s="54" t="n">
        <f aca="false">D53-C53+1</f>
        <v>137</v>
      </c>
      <c r="F53" s="58" t="s">
        <v>742</v>
      </c>
      <c r="G53" s="58" t="s">
        <v>742</v>
      </c>
      <c r="H53" s="54" t="s">
        <v>742</v>
      </c>
      <c r="I53" s="19" t="s">
        <v>790</v>
      </c>
      <c r="J53" s="19"/>
    </row>
    <row r="54" customFormat="false" ht="93" hidden="false" customHeight="true" outlineLevel="0" collapsed="false">
      <c r="A54" s="16" t="s">
        <v>791</v>
      </c>
      <c r="B54" s="17" t="s">
        <v>792</v>
      </c>
      <c r="C54" s="59" t="n">
        <f aca="false">E53-H47</f>
        <v>13</v>
      </c>
      <c r="D54" s="58" t="s">
        <v>742</v>
      </c>
      <c r="E54" s="18" t="n">
        <f aca="false">D112*(ROUND((H47+C54)/$C$15,1)-G112)+D113*(ROUND((H47+C54)/$C$15,1)-G113)+D114*(ROUND((WORKDAY.INTL(WORKDAY.INTL(MAX(G36,WORKDAY.INTL(WORKDAY.INTL(WORKDAY.INTL(WORKDAY.INTL(WORKDAY.INTL(WORKDAY.INTL(G36,1,"0000100",$C$14),7-1,"0000100",$C$14),1,"0000100",$C$14),3-1,"0000100",$C$14),1,"0000100",$C$14),4-1,"0000100",$C$14),WORKDAY.INTL(WORKDAY.INTL(G36,1,"0000100",$C$14),3-1,"0000100",$C$14)),1,"0000100",$C$14),3-1,"0000100",$C$14)-F21+1)/$C$15,1)-G114)+D115*(ROUND((H47+C54)/$C$15,1)-G115)+D116*(ROUND((WORKDAY.INTL(WORKDAY.INTL(MAX(G36,WORKDAY.INTL(WORKDAY.INTL(WORKDAY.INTL(WORKDAY.INTL(WORKDAY.INTL(WORKDAY.INTL(G36,1,"0000100",$C$14),7-1,"0000100",$C$14),1,"0000100",$C$14),3-1,"0000100",$C$14),1,"0000100",$C$14),4-1,"0000100",$C$14),WORKDAY.INTL(WORKDAY.INTL(G36,1,"0000100",$C$14),3-1,"0000100",$C$14)),1,"0000100",$C$14),3-1,"0000100",$C$14)-$C$377+1)/$C$15,1)-G116)+D117*(ROUND((H47+C54)/$C$15,1)-G117)+D118*(ROUND((H47+C54)/$C$15,1)-G118)+D119*(ROUND((H47+C54)/$C$15,1)-G119)+D121*(ROUND((H47+C54)/$C$15,1)-G121)+D123*(ROUND((H47+C54)/$C$15,1)-G123)+D124*(ROUND((H47+C54)/$C$15,1)-G124)+D130*(ROUND((WORKDAY.INTL(WORKDAY.INTL(MAX(G36,WORKDAY.INTL(WORKDAY.INTL(WORKDAY.INTL(WORKDAY.INTL(WORKDAY.INTL(WORKDAY.INTL(G36,1,"0000100",$C$14),7-1,"0000100",$C$14),1,"0000100",$C$14),3-1,"0000100",$C$14),1,"0000100",$C$14),4-1,"0000100",$C$14),WORKDAY.INTL(WORKDAY.INTL(G36,1,"0000100",$C$14),3-1,"0000100",$C$14)),1,"0000100",$C$14),3-1,"0000100",$C$14)-F20+1)/$C$15,1)-G130)+D131*(ROUND((H47+C54)/$C$15,1)-G131)+D132*(ROUND((H47+C54)/$C$15,1)-G132)+D120*(2*ROUNDUP((H47+C54)/7,0)-G120)</f>
        <v>32820</v>
      </c>
      <c r="F54" s="58" t="s">
        <v>742</v>
      </c>
      <c r="G54" s="58" t="s">
        <v>742</v>
      </c>
      <c r="H54" s="54" t="s">
        <v>742</v>
      </c>
      <c r="I54" s="19" t="s">
        <v>793</v>
      </c>
      <c r="J54" s="19"/>
    </row>
    <row r="55" customFormat="false" ht="42" hidden="false" customHeight="true" outlineLevel="0" collapsed="false">
      <c r="A55" s="16" t="s">
        <v>794</v>
      </c>
      <c r="B55" s="17" t="s">
        <v>795</v>
      </c>
      <c r="C55" s="60" t="n">
        <f aca="false">ROUND(E54*0.05,2)</f>
        <v>1641</v>
      </c>
      <c r="D55" s="58" t="s">
        <v>742</v>
      </c>
      <c r="E55" s="18" t="n">
        <f aca="false">E54+C55</f>
        <v>34461</v>
      </c>
      <c r="F55" s="58" t="s">
        <v>742</v>
      </c>
      <c r="G55" s="58" t="s">
        <v>742</v>
      </c>
      <c r="H55" s="54" t="s">
        <v>742</v>
      </c>
      <c r="I55" s="19" t="s">
        <v>796</v>
      </c>
      <c r="J55" s="19"/>
    </row>
    <row r="57" customFormat="false" ht="21" hidden="false" customHeight="true" outlineLevel="0" collapsed="false">
      <c r="A57" s="15" t="s">
        <v>797</v>
      </c>
      <c r="B57" s="15"/>
      <c r="C57" s="15"/>
      <c r="D57" s="15"/>
      <c r="E57" s="15"/>
      <c r="F57" s="15"/>
      <c r="G57" s="15"/>
      <c r="H57" s="15"/>
      <c r="I57" s="15"/>
      <c r="J57" s="15"/>
    </row>
    <row r="58" customFormat="false" ht="210" hidden="false" customHeight="true" outlineLevel="0" collapsed="false">
      <c r="A58" s="11" t="s">
        <v>798</v>
      </c>
      <c r="B58" s="11"/>
      <c r="C58" s="11"/>
      <c r="D58" s="11"/>
      <c r="E58" s="11"/>
      <c r="F58" s="11"/>
      <c r="G58" s="11"/>
      <c r="H58" s="11"/>
      <c r="I58" s="11"/>
      <c r="J58" s="11"/>
    </row>
    <row r="59" customFormat="false" ht="31.5" hidden="false" customHeight="true" outlineLevel="0" collapsed="false">
      <c r="A59" s="13" t="s">
        <v>92</v>
      </c>
      <c r="B59" s="13" t="s">
        <v>799</v>
      </c>
      <c r="C59" s="13" t="s">
        <v>800</v>
      </c>
      <c r="D59" s="13" t="s">
        <v>801</v>
      </c>
      <c r="E59" s="13" t="s">
        <v>802</v>
      </c>
      <c r="F59" s="13" t="s">
        <v>803</v>
      </c>
      <c r="G59" s="13" t="s">
        <v>804</v>
      </c>
      <c r="H59" s="13" t="s">
        <v>805</v>
      </c>
      <c r="I59" s="13" t="s">
        <v>806</v>
      </c>
      <c r="J59" s="13" t="s">
        <v>807</v>
      </c>
    </row>
    <row r="60" customFormat="false" ht="42" hidden="false" customHeight="true" outlineLevel="0" collapsed="false">
      <c r="A60" s="16" t="s">
        <v>808</v>
      </c>
      <c r="B60" s="17" t="s">
        <v>809</v>
      </c>
      <c r="C60" s="54" t="n">
        <f aca="false">NETWORKDAYS.INTL(C20,D20,"0000100",$C$14)</f>
        <v>5</v>
      </c>
      <c r="D60" s="54" t="n">
        <f aca="false">C60</f>
        <v>5</v>
      </c>
      <c r="E60" s="54" t="n">
        <v>2</v>
      </c>
      <c r="F60" s="54" t="n">
        <f aca="false">D60*E60</f>
        <v>10</v>
      </c>
      <c r="G60" s="54" t="n">
        <f aca="false">(C60-D60)*E60</f>
        <v>0</v>
      </c>
      <c r="H60" s="61" t="n">
        <v>0</v>
      </c>
      <c r="I60" s="61" t="n">
        <v>0</v>
      </c>
      <c r="J60" s="19" t="s">
        <v>810</v>
      </c>
    </row>
    <row r="61" customFormat="false" ht="67.5" hidden="false" customHeight="true" outlineLevel="0" collapsed="false">
      <c r="A61" s="16" t="s">
        <v>811</v>
      </c>
      <c r="B61" s="17" t="s">
        <v>812</v>
      </c>
      <c r="C61" s="54" t="n">
        <f aca="false">NETWORKDAYS.INTL(C21,D21,"0000100",$C$14)</f>
        <v>14</v>
      </c>
      <c r="D61" s="54" t="n">
        <f aca="false">C61</f>
        <v>14</v>
      </c>
      <c r="E61" s="54" t="n">
        <v>2</v>
      </c>
      <c r="F61" s="54" t="n">
        <f aca="false">D61*E61</f>
        <v>28</v>
      </c>
      <c r="G61" s="54" t="n">
        <f aca="false">(C61-D61)*E61</f>
        <v>0</v>
      </c>
      <c r="H61" s="61" t="n">
        <v>0</v>
      </c>
      <c r="I61" s="61" t="n">
        <v>0</v>
      </c>
      <c r="J61" s="19" t="s">
        <v>813</v>
      </c>
    </row>
    <row r="62" customFormat="false" ht="105.75" hidden="false" customHeight="true" outlineLevel="0" collapsed="false">
      <c r="A62" s="16" t="s">
        <v>814</v>
      </c>
      <c r="B62" s="17" t="s">
        <v>815</v>
      </c>
      <c r="C62" s="54" t="n">
        <v>18</v>
      </c>
      <c r="D62" s="54" t="n">
        <f aca="false">C62</f>
        <v>18</v>
      </c>
      <c r="E62" s="54" t="n">
        <v>4</v>
      </c>
      <c r="F62" s="54" t="n">
        <f aca="false">D62*E62</f>
        <v>72</v>
      </c>
      <c r="G62" s="54" t="n">
        <f aca="false">(C62-D62)*E62</f>
        <v>0</v>
      </c>
      <c r="H62" s="61" t="n">
        <f aca="false">D62</f>
        <v>18</v>
      </c>
      <c r="I62" s="61" t="n">
        <f aca="false">D62</f>
        <v>18</v>
      </c>
      <c r="J62" s="19" t="s">
        <v>816</v>
      </c>
    </row>
    <row r="63" customFormat="false" ht="132" hidden="false" customHeight="true" outlineLevel="0" collapsed="false">
      <c r="A63" s="16" t="s">
        <v>817</v>
      </c>
      <c r="B63" s="17" t="s">
        <v>818</v>
      </c>
      <c r="C63" s="54" t="n">
        <f aca="false">E22</f>
        <v>20</v>
      </c>
      <c r="D63" s="54" t="n">
        <f aca="false">$E$390</f>
        <v>6</v>
      </c>
      <c r="E63" s="54" t="n">
        <v>5</v>
      </c>
      <c r="F63" s="54" t="n">
        <f aca="false">D63*E63</f>
        <v>30</v>
      </c>
      <c r="G63" s="54" t="n">
        <f aca="false">(C63-D63)*E63</f>
        <v>70</v>
      </c>
      <c r="H63" s="61" t="n">
        <v>0</v>
      </c>
      <c r="I63" s="61" t="n">
        <f aca="false">D63</f>
        <v>6</v>
      </c>
      <c r="J63" s="19" t="s">
        <v>819</v>
      </c>
    </row>
    <row r="64" customFormat="false" ht="105.75" hidden="false" customHeight="true" outlineLevel="0" collapsed="false">
      <c r="A64" s="16" t="s">
        <v>820</v>
      </c>
      <c r="B64" s="17" t="s">
        <v>821</v>
      </c>
      <c r="C64" s="54" t="n">
        <f aca="false">NETWORKDAYS.INTL(C23,D24,"0000100",$C$14)</f>
        <v>21</v>
      </c>
      <c r="D64" s="54" t="n">
        <f aca="false">NETWORKDAYS.INTL(C30,D31,"0000100",$C$14)</f>
        <v>17</v>
      </c>
      <c r="E64" s="54" t="n">
        <v>5</v>
      </c>
      <c r="F64" s="54" t="n">
        <f aca="false">D64*E64</f>
        <v>85</v>
      </c>
      <c r="G64" s="54" t="n">
        <f aca="false">(C64-D64)*E64</f>
        <v>20</v>
      </c>
      <c r="H64" s="61" t="n">
        <f aca="false">ROUND(D64/2,0)</f>
        <v>9</v>
      </c>
      <c r="I64" s="61" t="n">
        <f aca="false">E30</f>
        <v>12</v>
      </c>
      <c r="J64" s="19" t="s">
        <v>822</v>
      </c>
    </row>
    <row r="65" customFormat="false" ht="67.5" hidden="false" customHeight="true" outlineLevel="0" collapsed="false">
      <c r="A65" s="16" t="s">
        <v>823</v>
      </c>
      <c r="B65" s="17" t="s">
        <v>824</v>
      </c>
      <c r="C65" s="54" t="n">
        <f aca="false">E25</f>
        <v>5</v>
      </c>
      <c r="D65" s="54" t="n">
        <f aca="false">C65</f>
        <v>5</v>
      </c>
      <c r="E65" s="54" t="n">
        <v>3</v>
      </c>
      <c r="F65" s="54" t="n">
        <f aca="false">D65*E65</f>
        <v>15</v>
      </c>
      <c r="G65" s="54" t="n">
        <f aca="false">(C65-D65)*E65</f>
        <v>0</v>
      </c>
      <c r="H65" s="61" t="n">
        <f aca="false">D65</f>
        <v>5</v>
      </c>
      <c r="I65" s="61" t="n">
        <f aca="false">ROUND(D65/2,0)</f>
        <v>3</v>
      </c>
      <c r="J65" s="19" t="s">
        <v>825</v>
      </c>
    </row>
    <row r="66" customFormat="false" ht="54.75" hidden="false" customHeight="true" outlineLevel="0" collapsed="false">
      <c r="A66" s="16" t="s">
        <v>826</v>
      </c>
      <c r="B66" s="17" t="s">
        <v>827</v>
      </c>
      <c r="C66" s="54" t="n">
        <f aca="false">E26</f>
        <v>6</v>
      </c>
      <c r="D66" s="54" t="n">
        <f aca="false">C66</f>
        <v>6</v>
      </c>
      <c r="E66" s="54" t="n">
        <v>5</v>
      </c>
      <c r="F66" s="54" t="n">
        <f aca="false">D66*E66</f>
        <v>30</v>
      </c>
      <c r="G66" s="54" t="n">
        <f aca="false">(C66-D66)*E66</f>
        <v>0</v>
      </c>
      <c r="H66" s="61" t="n">
        <f aca="false">D66</f>
        <v>6</v>
      </c>
      <c r="I66" s="61" t="n">
        <f aca="false">D66</f>
        <v>6</v>
      </c>
      <c r="J66" s="19" t="s">
        <v>828</v>
      </c>
    </row>
    <row r="67" customFormat="false" ht="54.75" hidden="false" customHeight="true" outlineLevel="0" collapsed="false">
      <c r="A67" s="16" t="s">
        <v>829</v>
      </c>
      <c r="B67" s="17" t="s">
        <v>830</v>
      </c>
      <c r="C67" s="54" t="n">
        <f aca="false">$E$398</f>
        <v>5</v>
      </c>
      <c r="D67" s="54" t="n">
        <f aca="false">C67</f>
        <v>5</v>
      </c>
      <c r="E67" s="54" t="n">
        <v>2</v>
      </c>
      <c r="F67" s="54" t="n">
        <f aca="false">D67*E67</f>
        <v>10</v>
      </c>
      <c r="G67" s="54" t="n">
        <f aca="false">(C67-D67)*E67</f>
        <v>0</v>
      </c>
      <c r="H67" s="61" t="n">
        <v>0</v>
      </c>
      <c r="I67" s="61" t="n">
        <v>0</v>
      </c>
      <c r="J67" s="19" t="s">
        <v>831</v>
      </c>
    </row>
    <row r="68" customFormat="false" ht="31.5" hidden="false" customHeight="true" outlineLevel="0" collapsed="false">
      <c r="A68" s="13" t="s">
        <v>92</v>
      </c>
      <c r="B68" s="13" t="s">
        <v>799</v>
      </c>
      <c r="C68" s="13" t="s">
        <v>800</v>
      </c>
      <c r="D68" s="13" t="s">
        <v>801</v>
      </c>
      <c r="E68" s="13" t="s">
        <v>802</v>
      </c>
      <c r="F68" s="13" t="s">
        <v>803</v>
      </c>
      <c r="G68" s="13" t="s">
        <v>804</v>
      </c>
      <c r="H68" s="13" t="s">
        <v>805</v>
      </c>
      <c r="I68" s="13" t="s">
        <v>806</v>
      </c>
      <c r="J68" s="13" t="s">
        <v>807</v>
      </c>
    </row>
    <row r="69" customFormat="false" ht="105.75" hidden="false" customHeight="true" outlineLevel="0" collapsed="false">
      <c r="A69" s="16" t="s">
        <v>832</v>
      </c>
      <c r="B69" s="17" t="s">
        <v>833</v>
      </c>
      <c r="C69" s="54" t="n">
        <f aca="false">E29</f>
        <v>6</v>
      </c>
      <c r="D69" s="54" t="n">
        <f aca="false">C69</f>
        <v>6</v>
      </c>
      <c r="E69" s="54" t="n">
        <v>5</v>
      </c>
      <c r="F69" s="54" t="n">
        <f aca="false">D69*E69</f>
        <v>30</v>
      </c>
      <c r="G69" s="54" t="n">
        <f aca="false">(C69-D69)*E69</f>
        <v>0</v>
      </c>
      <c r="H69" s="61" t="n">
        <v>0</v>
      </c>
      <c r="I69" s="61" t="n">
        <f aca="false">D69</f>
        <v>6</v>
      </c>
      <c r="J69" s="19" t="s">
        <v>834</v>
      </c>
    </row>
    <row r="70" customFormat="false" ht="30" hidden="false" customHeight="true" outlineLevel="0" collapsed="false">
      <c r="A70" s="16" t="s">
        <v>835</v>
      </c>
      <c r="B70" s="17" t="s">
        <v>836</v>
      </c>
      <c r="C70" s="54" t="n">
        <f aca="false">NETWORKDAYS.INTL(C30,D31,"0000100",$C$14)</f>
        <v>17</v>
      </c>
      <c r="D70" s="54" t="n">
        <f aca="false">C70</f>
        <v>17</v>
      </c>
      <c r="E70" s="54" t="n">
        <v>5</v>
      </c>
      <c r="F70" s="54" t="n">
        <f aca="false">D70*E70</f>
        <v>85</v>
      </c>
      <c r="G70" s="54" t="n">
        <f aca="false">(C70-D70)*E70</f>
        <v>0</v>
      </c>
      <c r="H70" s="61" t="n">
        <f aca="false">ROUND(E30/2,0)+ROUND((D70-E30)/2,0)</f>
        <v>9</v>
      </c>
      <c r="I70" s="61" t="n">
        <f aca="false">E30</f>
        <v>12</v>
      </c>
      <c r="J70" s="19" t="s">
        <v>837</v>
      </c>
    </row>
    <row r="71" customFormat="false" ht="30" hidden="false" customHeight="true" outlineLevel="0" collapsed="false">
      <c r="A71" s="16" t="s">
        <v>838</v>
      </c>
      <c r="B71" s="17" t="s">
        <v>839</v>
      </c>
      <c r="C71" s="54" t="n">
        <f aca="false">E32</f>
        <v>5</v>
      </c>
      <c r="D71" s="54" t="n">
        <f aca="false">C71</f>
        <v>5</v>
      </c>
      <c r="E71" s="54" t="n">
        <v>3</v>
      </c>
      <c r="F71" s="54" t="n">
        <f aca="false">D71*E71</f>
        <v>15</v>
      </c>
      <c r="G71" s="54" t="n">
        <f aca="false">(C71-D71)*E71</f>
        <v>0</v>
      </c>
      <c r="H71" s="61" t="n">
        <f aca="false">D71</f>
        <v>5</v>
      </c>
      <c r="I71" s="61" t="n">
        <f aca="false">ROUND(D71/2,0)</f>
        <v>3</v>
      </c>
      <c r="J71" s="19" t="s">
        <v>840</v>
      </c>
    </row>
    <row r="72" customFormat="false" ht="30" hidden="false" customHeight="true" outlineLevel="0" collapsed="false">
      <c r="A72" s="16" t="s">
        <v>841</v>
      </c>
      <c r="B72" s="17" t="s">
        <v>842</v>
      </c>
      <c r="C72" s="54" t="n">
        <f aca="false">E33</f>
        <v>6</v>
      </c>
      <c r="D72" s="54" t="n">
        <f aca="false">C72</f>
        <v>6</v>
      </c>
      <c r="E72" s="54" t="n">
        <v>5</v>
      </c>
      <c r="F72" s="54" t="n">
        <f aca="false">D72*E72</f>
        <v>30</v>
      </c>
      <c r="G72" s="54" t="n">
        <f aca="false">(C72-D72)*E72</f>
        <v>0</v>
      </c>
      <c r="H72" s="61" t="n">
        <f aca="false">D72</f>
        <v>6</v>
      </c>
      <c r="I72" s="61" t="n">
        <f aca="false">D72</f>
        <v>6</v>
      </c>
      <c r="J72" s="19" t="s">
        <v>843</v>
      </c>
    </row>
    <row r="73" customFormat="false" ht="30" hidden="false" customHeight="true" outlineLevel="0" collapsed="false">
      <c r="A73" s="16" t="s">
        <v>844</v>
      </c>
      <c r="B73" s="17" t="s">
        <v>845</v>
      </c>
      <c r="C73" s="54" t="n">
        <f aca="false">$E$403</f>
        <v>5</v>
      </c>
      <c r="D73" s="54" t="n">
        <f aca="false">C73</f>
        <v>5</v>
      </c>
      <c r="E73" s="54" t="n">
        <v>2</v>
      </c>
      <c r="F73" s="54" t="n">
        <f aca="false">D73*E73</f>
        <v>10</v>
      </c>
      <c r="G73" s="54" t="n">
        <f aca="false">(C73-D73)*E73</f>
        <v>0</v>
      </c>
      <c r="H73" s="61" t="n">
        <v>0</v>
      </c>
      <c r="I73" s="61" t="n">
        <v>0</v>
      </c>
      <c r="J73" s="19" t="s">
        <v>846</v>
      </c>
    </row>
    <row r="74" customFormat="false" ht="67.5" hidden="false" customHeight="true" outlineLevel="0" collapsed="false">
      <c r="A74" s="16" t="s">
        <v>847</v>
      </c>
      <c r="B74" s="17" t="s">
        <v>848</v>
      </c>
      <c r="C74" s="54" t="n">
        <f aca="false">H36+H38+H39+H40+H41+H42</f>
        <v>24</v>
      </c>
      <c r="D74" s="54" t="n">
        <f aca="false">C74</f>
        <v>24</v>
      </c>
      <c r="E74" s="54" t="n">
        <v>0</v>
      </c>
      <c r="F74" s="54" t="n">
        <f aca="false">D74*E74</f>
        <v>0</v>
      </c>
      <c r="G74" s="54" t="n">
        <f aca="false">(C74-D74)*E74</f>
        <v>0</v>
      </c>
      <c r="H74" s="61" t="n">
        <v>0</v>
      </c>
      <c r="I74" s="61" t="n">
        <v>0</v>
      </c>
      <c r="J74" s="19" t="s">
        <v>849</v>
      </c>
    </row>
    <row r="75" customFormat="false" ht="30" hidden="false" customHeight="true" outlineLevel="0" collapsed="false">
      <c r="A75" s="16" t="s">
        <v>850</v>
      </c>
      <c r="B75" s="17" t="s">
        <v>851</v>
      </c>
      <c r="C75" s="54" t="n">
        <f aca="false">H44</f>
        <v>7</v>
      </c>
      <c r="D75" s="54" t="n">
        <f aca="false">C75</f>
        <v>7</v>
      </c>
      <c r="E75" s="54" t="n">
        <v>0</v>
      </c>
      <c r="F75" s="54" t="n">
        <f aca="false">D75*E75</f>
        <v>0</v>
      </c>
      <c r="G75" s="54" t="n">
        <f aca="false">(C75-D75)*E75</f>
        <v>0</v>
      </c>
      <c r="H75" s="61" t="n">
        <v>0</v>
      </c>
      <c r="I75" s="61" t="n">
        <v>0</v>
      </c>
      <c r="J75" s="19" t="s">
        <v>852</v>
      </c>
    </row>
    <row r="76" customFormat="false" ht="29.25" hidden="false" customHeight="true" outlineLevel="0" collapsed="false">
      <c r="A76" s="23"/>
      <c r="B76" s="23" t="s">
        <v>853</v>
      </c>
      <c r="C76" s="23"/>
      <c r="D76" s="23"/>
      <c r="E76" s="23"/>
      <c r="F76" s="62" t="n">
        <f aca="false">SUM(F60:F75)</f>
        <v>450</v>
      </c>
      <c r="G76" s="23"/>
      <c r="H76" s="23"/>
      <c r="I76" s="23"/>
      <c r="J76" s="19" t="s">
        <v>854</v>
      </c>
    </row>
    <row r="77" customFormat="false" ht="93" hidden="false" customHeight="true" outlineLevel="0" collapsed="false">
      <c r="A77" s="23"/>
      <c r="B77" s="23" t="s">
        <v>855</v>
      </c>
      <c r="C77" s="23"/>
      <c r="D77" s="23"/>
      <c r="E77" s="23"/>
      <c r="F77" s="23"/>
      <c r="G77" s="62" t="n">
        <f aca="false">SUM(G60:G75)</f>
        <v>90</v>
      </c>
      <c r="H77" s="23"/>
      <c r="I77" s="23"/>
      <c r="J77" s="19" t="s">
        <v>856</v>
      </c>
    </row>
    <row r="78" customFormat="false" ht="29.25" hidden="false" customHeight="true" outlineLevel="0" collapsed="false">
      <c r="A78" s="23"/>
      <c r="B78" s="23" t="s">
        <v>857</v>
      </c>
      <c r="C78" s="23"/>
      <c r="D78" s="23"/>
      <c r="E78" s="23"/>
      <c r="F78" s="62" t="n">
        <f aca="false">F76+G77</f>
        <v>540</v>
      </c>
      <c r="G78" s="23"/>
      <c r="H78" s="23"/>
      <c r="I78" s="23"/>
      <c r="J78" s="19" t="s">
        <v>858</v>
      </c>
    </row>
    <row r="79" customFormat="false" ht="29.25" hidden="false" customHeight="true" outlineLevel="0" collapsed="false">
      <c r="A79" s="23"/>
      <c r="B79" s="23" t="s">
        <v>859</v>
      </c>
      <c r="C79" s="23"/>
      <c r="D79" s="23"/>
      <c r="E79" s="23"/>
      <c r="F79" s="62" t="n">
        <f aca="false">ROUND(F76/26,1)</f>
        <v>17.3</v>
      </c>
      <c r="G79" s="23"/>
      <c r="H79" s="23"/>
      <c r="I79" s="23"/>
      <c r="J79" s="19" t="s">
        <v>860</v>
      </c>
    </row>
    <row r="80" customFormat="false" ht="54.75" hidden="false" customHeight="true" outlineLevel="0" collapsed="false">
      <c r="A80" s="23"/>
      <c r="B80" s="23" t="s">
        <v>861</v>
      </c>
      <c r="C80" s="23"/>
      <c r="D80" s="23"/>
      <c r="E80" s="23"/>
      <c r="F80" s="62" t="n">
        <f aca="false">85*6</f>
        <v>510</v>
      </c>
      <c r="G80" s="23"/>
      <c r="H80" s="23"/>
      <c r="I80" s="23"/>
      <c r="J80" s="19" t="s">
        <v>862</v>
      </c>
    </row>
    <row r="81" customFormat="false" ht="29.25" hidden="false" customHeight="true" outlineLevel="0" collapsed="false">
      <c r="A81" s="23"/>
      <c r="B81" s="23" t="s">
        <v>863</v>
      </c>
      <c r="C81" s="23"/>
      <c r="D81" s="23"/>
      <c r="E81" s="23"/>
      <c r="F81" s="23"/>
      <c r="G81" s="23"/>
      <c r="H81" s="63" t="n">
        <f aca="false">SUM(H60:H75)</f>
        <v>58</v>
      </c>
      <c r="I81" s="63" t="n">
        <f aca="false">SUM(I60:I75)</f>
        <v>72</v>
      </c>
      <c r="J81" s="19" t="s">
        <v>864</v>
      </c>
    </row>
    <row r="82" customFormat="false" ht="157.5" hidden="false" customHeight="true" outlineLevel="0" collapsed="false">
      <c r="A82" s="23"/>
      <c r="B82" s="23" t="s">
        <v>865</v>
      </c>
      <c r="C82" s="23"/>
      <c r="D82" s="23"/>
      <c r="E82" s="23"/>
      <c r="F82" s="23"/>
      <c r="G82" s="23"/>
      <c r="H82" s="63" t="n">
        <v>24</v>
      </c>
      <c r="I82" s="63" t="n">
        <v>22</v>
      </c>
      <c r="J82" s="19" t="s">
        <v>866</v>
      </c>
    </row>
    <row r="83" customFormat="false" ht="29.25" hidden="false" customHeight="true" outlineLevel="0" collapsed="false">
      <c r="A83" s="23"/>
      <c r="B83" s="23" t="s">
        <v>867</v>
      </c>
      <c r="C83" s="23"/>
      <c r="D83" s="23"/>
      <c r="E83" s="23"/>
      <c r="F83" s="23"/>
      <c r="G83" s="23"/>
      <c r="H83" s="63" t="n">
        <f aca="false">H81-H82</f>
        <v>34</v>
      </c>
      <c r="I83" s="63" t="n">
        <f aca="false">I81-I82</f>
        <v>50</v>
      </c>
      <c r="J83" s="19" t="s">
        <v>868</v>
      </c>
    </row>
    <row r="84" customFormat="false" ht="31.5" hidden="false" customHeight="true" outlineLevel="0" collapsed="false">
      <c r="A84" s="13" t="s">
        <v>92</v>
      </c>
      <c r="B84" s="13" t="s">
        <v>869</v>
      </c>
      <c r="C84" s="13" t="s">
        <v>870</v>
      </c>
      <c r="D84" s="13" t="s">
        <v>871</v>
      </c>
      <c r="E84" s="13" t="s">
        <v>872</v>
      </c>
      <c r="F84" s="13" t="s">
        <v>873</v>
      </c>
      <c r="G84" s="13"/>
      <c r="H84" s="13"/>
      <c r="I84" s="13"/>
      <c r="J84" s="13" t="s">
        <v>603</v>
      </c>
    </row>
    <row r="85" customFormat="false" ht="18" hidden="false" customHeight="true" outlineLevel="0" collapsed="false">
      <c r="A85" s="16" t="s">
        <v>874</v>
      </c>
      <c r="B85" s="17" t="s">
        <v>875</v>
      </c>
      <c r="C85" s="54" t="n">
        <v>3</v>
      </c>
      <c r="D85" s="54" t="n">
        <f aca="false">C85*6</f>
        <v>18</v>
      </c>
      <c r="E85" s="54" t="n">
        <v>12</v>
      </c>
      <c r="F85" s="64" t="n">
        <f aca="false">ROUND(E85/6,1)</f>
        <v>2</v>
      </c>
      <c r="G85" s="16"/>
      <c r="H85" s="16"/>
      <c r="I85" s="16"/>
      <c r="J85" s="19"/>
    </row>
    <row r="86" customFormat="false" ht="18" hidden="false" customHeight="true" outlineLevel="0" collapsed="false">
      <c r="A86" s="16" t="s">
        <v>876</v>
      </c>
      <c r="B86" s="17" t="s">
        <v>877</v>
      </c>
      <c r="C86" s="54" t="n">
        <v>5</v>
      </c>
      <c r="D86" s="54" t="n">
        <f aca="false">C86*6</f>
        <v>30</v>
      </c>
      <c r="E86" s="54" t="n">
        <v>12</v>
      </c>
      <c r="F86" s="64" t="n">
        <f aca="false">ROUND(E86/6,1)</f>
        <v>2</v>
      </c>
      <c r="G86" s="16"/>
      <c r="H86" s="16"/>
      <c r="I86" s="16"/>
      <c r="J86" s="19"/>
    </row>
    <row r="87" customFormat="false" ht="29.25" hidden="false" customHeight="true" outlineLevel="0" collapsed="false">
      <c r="A87" s="16" t="s">
        <v>878</v>
      </c>
      <c r="B87" s="17" t="s">
        <v>879</v>
      </c>
      <c r="C87" s="54" t="n">
        <v>5</v>
      </c>
      <c r="D87" s="54" t="n">
        <f aca="false">C87*6</f>
        <v>30</v>
      </c>
      <c r="E87" s="54" t="n">
        <v>16</v>
      </c>
      <c r="F87" s="64" t="n">
        <f aca="false">ROUND(E87/6,1)</f>
        <v>2.7</v>
      </c>
      <c r="G87" s="16"/>
      <c r="H87" s="16"/>
      <c r="I87" s="16"/>
      <c r="J87" s="19"/>
    </row>
    <row r="88" customFormat="false" ht="30" hidden="false" customHeight="true" outlineLevel="0" collapsed="false">
      <c r="A88" s="16" t="s">
        <v>880</v>
      </c>
      <c r="B88" s="17" t="s">
        <v>881</v>
      </c>
      <c r="C88" s="54" t="n">
        <v>4</v>
      </c>
      <c r="D88" s="54" t="n">
        <f aca="false">C88*6</f>
        <v>24</v>
      </c>
      <c r="E88" s="54" t="n">
        <v>36</v>
      </c>
      <c r="F88" s="64" t="n">
        <f aca="false">ROUND(E88/6,1)</f>
        <v>6</v>
      </c>
      <c r="G88" s="16"/>
      <c r="H88" s="16"/>
      <c r="I88" s="16"/>
      <c r="J88" s="19"/>
    </row>
    <row r="89" customFormat="false" ht="30" hidden="false" customHeight="true" outlineLevel="0" collapsed="false">
      <c r="A89" s="16" t="s">
        <v>882</v>
      </c>
      <c r="B89" s="17" t="s">
        <v>883</v>
      </c>
      <c r="C89" s="54" t="n">
        <v>4</v>
      </c>
      <c r="D89" s="54" t="n">
        <f aca="false">C89*6</f>
        <v>24</v>
      </c>
      <c r="E89" s="54" t="n">
        <v>4</v>
      </c>
      <c r="F89" s="64" t="n">
        <f aca="false">ROUND(E89/5,1)</f>
        <v>0.8</v>
      </c>
      <c r="G89" s="16"/>
      <c r="H89" s="16"/>
      <c r="I89" s="16"/>
      <c r="J89" s="19"/>
    </row>
    <row r="90" customFormat="false" ht="18" hidden="false" customHeight="true" outlineLevel="0" collapsed="false">
      <c r="A90" s="16" t="s">
        <v>884</v>
      </c>
      <c r="B90" s="17" t="s">
        <v>885</v>
      </c>
      <c r="C90" s="54" t="n">
        <v>4</v>
      </c>
      <c r="D90" s="54" t="n">
        <f aca="false">C90*6</f>
        <v>24</v>
      </c>
      <c r="E90" s="54" t="n">
        <v>0</v>
      </c>
      <c r="F90" s="64" t="n">
        <f aca="false">ROUND(E90/6,1)</f>
        <v>0</v>
      </c>
      <c r="G90" s="16"/>
      <c r="H90" s="16"/>
      <c r="I90" s="16"/>
      <c r="J90" s="19"/>
    </row>
    <row r="91" customFormat="false" ht="30" hidden="false" customHeight="true" outlineLevel="0" collapsed="false">
      <c r="A91" s="16" t="s">
        <v>886</v>
      </c>
      <c r="B91" s="17" t="s">
        <v>887</v>
      </c>
      <c r="C91" s="54" t="n">
        <v>4</v>
      </c>
      <c r="D91" s="54" t="n">
        <f aca="false">C91*6</f>
        <v>24</v>
      </c>
      <c r="E91" s="54" t="n">
        <v>27</v>
      </c>
      <c r="F91" s="64" t="n">
        <f aca="false">ROUND(E91/6,1)</f>
        <v>4.5</v>
      </c>
      <c r="G91" s="16"/>
      <c r="H91" s="16"/>
      <c r="I91" s="16"/>
      <c r="J91" s="19"/>
    </row>
    <row r="92" customFormat="false" ht="18" hidden="false" customHeight="true" outlineLevel="0" collapsed="false">
      <c r="A92" s="16" t="s">
        <v>888</v>
      </c>
      <c r="B92" s="17" t="s">
        <v>889</v>
      </c>
      <c r="C92" s="54" t="n">
        <v>4</v>
      </c>
      <c r="D92" s="54" t="n">
        <f aca="false">C92*6</f>
        <v>24</v>
      </c>
      <c r="E92" s="54" t="n">
        <v>34</v>
      </c>
      <c r="F92" s="64" t="n">
        <f aca="false">ROUND(E92/6,1)</f>
        <v>5.7</v>
      </c>
      <c r="G92" s="16"/>
      <c r="H92" s="16"/>
      <c r="I92" s="16"/>
      <c r="J92" s="19"/>
    </row>
    <row r="93" customFormat="false" ht="30" hidden="false" customHeight="true" outlineLevel="0" collapsed="false">
      <c r="A93" s="16" t="s">
        <v>890</v>
      </c>
      <c r="B93" s="17" t="s">
        <v>891</v>
      </c>
      <c r="C93" s="54" t="n">
        <v>6</v>
      </c>
      <c r="D93" s="54" t="n">
        <f aca="false">C93*6</f>
        <v>36</v>
      </c>
      <c r="E93" s="54" t="n">
        <v>47</v>
      </c>
      <c r="F93" s="64" t="n">
        <f aca="false">ROUND(E93/6,1)</f>
        <v>7.8</v>
      </c>
      <c r="G93" s="16"/>
      <c r="H93" s="16"/>
      <c r="I93" s="16"/>
      <c r="J93" s="19"/>
    </row>
    <row r="94" customFormat="false" ht="30" hidden="false" customHeight="true" outlineLevel="0" collapsed="false">
      <c r="A94" s="16" t="s">
        <v>892</v>
      </c>
      <c r="B94" s="17" t="s">
        <v>893</v>
      </c>
      <c r="C94" s="54" t="n">
        <v>12</v>
      </c>
      <c r="D94" s="54" t="n">
        <f aca="false">C94*6</f>
        <v>72</v>
      </c>
      <c r="E94" s="54" t="n">
        <v>52</v>
      </c>
      <c r="F94" s="64" t="n">
        <f aca="false">ROUND(E94/6,1)</f>
        <v>8.7</v>
      </c>
      <c r="G94" s="16"/>
      <c r="H94" s="16"/>
      <c r="I94" s="16"/>
      <c r="J94" s="19"/>
    </row>
    <row r="95" customFormat="false" ht="30" hidden="false" customHeight="true" outlineLevel="0" collapsed="false">
      <c r="A95" s="16" t="s">
        <v>894</v>
      </c>
      <c r="B95" s="17" t="s">
        <v>895</v>
      </c>
      <c r="C95" s="54" t="n">
        <v>10</v>
      </c>
      <c r="D95" s="54" t="n">
        <f aca="false">C95*6</f>
        <v>60</v>
      </c>
      <c r="E95" s="54" t="n">
        <v>62</v>
      </c>
      <c r="F95" s="64" t="n">
        <f aca="false">ROUND(E95/6,1)</f>
        <v>10.3</v>
      </c>
      <c r="G95" s="16"/>
      <c r="H95" s="16"/>
      <c r="I95" s="16"/>
      <c r="J95" s="19"/>
    </row>
    <row r="96" customFormat="false" ht="30" hidden="false" customHeight="true" outlineLevel="0" collapsed="false">
      <c r="A96" s="16" t="s">
        <v>896</v>
      </c>
      <c r="B96" s="17" t="s">
        <v>897</v>
      </c>
      <c r="C96" s="54" t="n">
        <v>8</v>
      </c>
      <c r="D96" s="54" t="n">
        <f aca="false">C96*6</f>
        <v>48</v>
      </c>
      <c r="E96" s="54" t="n">
        <v>71</v>
      </c>
      <c r="F96" s="64" t="n">
        <f aca="false">ROUND(E96/6,1)</f>
        <v>11.8</v>
      </c>
      <c r="G96" s="16"/>
      <c r="H96" s="16"/>
      <c r="I96" s="16"/>
      <c r="J96" s="19"/>
    </row>
    <row r="97" customFormat="false" ht="18" hidden="false" customHeight="true" outlineLevel="0" collapsed="false">
      <c r="A97" s="16" t="s">
        <v>898</v>
      </c>
      <c r="B97" s="17" t="s">
        <v>899</v>
      </c>
      <c r="C97" s="54" t="n">
        <v>6</v>
      </c>
      <c r="D97" s="54" t="n">
        <f aca="false">C97*6</f>
        <v>36</v>
      </c>
      <c r="E97" s="54" t="n">
        <v>28</v>
      </c>
      <c r="F97" s="64" t="n">
        <f aca="false">ROUND(E97/6,1)</f>
        <v>4.7</v>
      </c>
      <c r="G97" s="16"/>
      <c r="H97" s="16"/>
      <c r="I97" s="16"/>
      <c r="J97" s="19"/>
    </row>
    <row r="98" customFormat="false" ht="29.25" hidden="false" customHeight="true" outlineLevel="0" collapsed="false">
      <c r="A98" s="16" t="s">
        <v>900</v>
      </c>
      <c r="B98" s="17" t="s">
        <v>901</v>
      </c>
      <c r="C98" s="54" t="n">
        <v>5</v>
      </c>
      <c r="D98" s="54" t="n">
        <f aca="false">C98*6</f>
        <v>30</v>
      </c>
      <c r="E98" s="54" t="n">
        <v>24</v>
      </c>
      <c r="F98" s="64" t="n">
        <f aca="false">ROUND(E98/6,1)</f>
        <v>4</v>
      </c>
      <c r="G98" s="16"/>
      <c r="H98" s="16"/>
      <c r="I98" s="16"/>
      <c r="J98" s="19"/>
    </row>
    <row r="99" customFormat="false" ht="18" hidden="false" customHeight="true" outlineLevel="0" collapsed="false">
      <c r="A99" s="16" t="s">
        <v>902</v>
      </c>
      <c r="B99" s="17" t="s">
        <v>903</v>
      </c>
      <c r="C99" s="54" t="n">
        <v>3</v>
      </c>
      <c r="D99" s="54" t="n">
        <f aca="false">C99*6</f>
        <v>18</v>
      </c>
      <c r="E99" s="54" t="n">
        <v>25</v>
      </c>
      <c r="F99" s="64" t="n">
        <f aca="false">ROUND(E99/6,1)</f>
        <v>4.2</v>
      </c>
      <c r="G99" s="16"/>
      <c r="H99" s="16"/>
      <c r="I99" s="16"/>
      <c r="J99" s="19"/>
    </row>
    <row r="100" customFormat="false" ht="18" hidden="false" customHeight="true" outlineLevel="0" collapsed="false">
      <c r="A100" s="16" t="s">
        <v>904</v>
      </c>
      <c r="B100" s="17" t="s">
        <v>905</v>
      </c>
      <c r="C100" s="54" t="n">
        <v>2</v>
      </c>
      <c r="D100" s="54" t="n">
        <f aca="false">C100*6</f>
        <v>12</v>
      </c>
      <c r="E100" s="54" t="n">
        <v>0</v>
      </c>
      <c r="F100" s="64" t="n">
        <f aca="false">ROUND(E100/6,1)</f>
        <v>0</v>
      </c>
      <c r="G100" s="16"/>
      <c r="H100" s="16"/>
      <c r="I100" s="16"/>
      <c r="J100" s="19"/>
    </row>
    <row r="101" customFormat="false" ht="118.5" hidden="false" customHeight="true" outlineLevel="0" collapsed="false">
      <c r="A101" s="23"/>
      <c r="B101" s="23" t="s">
        <v>906</v>
      </c>
      <c r="C101" s="23"/>
      <c r="D101" s="62" t="n">
        <f aca="false">SUM(D85:D100)</f>
        <v>510</v>
      </c>
      <c r="E101" s="62" t="n">
        <f aca="false">SUM(E85:E100)</f>
        <v>450</v>
      </c>
      <c r="F101" s="23"/>
      <c r="G101" s="23"/>
      <c r="H101" s="23"/>
      <c r="I101" s="23"/>
      <c r="J101" s="19" t="s">
        <v>907</v>
      </c>
    </row>
    <row r="102" customFormat="false" ht="31.5" hidden="false" customHeight="true" outlineLevel="0" collapsed="false">
      <c r="A102" s="13" t="s">
        <v>92</v>
      </c>
      <c r="B102" s="13" t="s">
        <v>908</v>
      </c>
      <c r="C102" s="13" t="s">
        <v>909</v>
      </c>
      <c r="D102" s="13" t="s">
        <v>910</v>
      </c>
      <c r="E102" s="13" t="s">
        <v>911</v>
      </c>
      <c r="F102" s="13" t="s">
        <v>912</v>
      </c>
      <c r="G102" s="13"/>
      <c r="H102" s="13"/>
      <c r="I102" s="13"/>
      <c r="J102" s="13" t="s">
        <v>913</v>
      </c>
    </row>
    <row r="103" customFormat="false" ht="80.25" hidden="false" customHeight="true" outlineLevel="0" collapsed="false">
      <c r="A103" s="16" t="s">
        <v>914</v>
      </c>
      <c r="B103" s="17" t="s">
        <v>915</v>
      </c>
      <c r="C103" s="58" t="n">
        <f aca="false">F47</f>
        <v>46256</v>
      </c>
      <c r="D103" s="58" t="n">
        <f aca="false">G47</f>
        <v>46379</v>
      </c>
      <c r="E103" s="54" t="n">
        <f aca="false">D103-C103+1</f>
        <v>124</v>
      </c>
      <c r="F103" s="65" t="n">
        <f aca="false">ROUND(E103/$C$15,1)</f>
        <v>4.1</v>
      </c>
      <c r="G103" s="16"/>
      <c r="H103" s="16"/>
      <c r="I103" s="16"/>
      <c r="J103" s="19" t="s">
        <v>916</v>
      </c>
    </row>
    <row r="104" customFormat="false" ht="54.75" hidden="false" customHeight="true" outlineLevel="0" collapsed="false">
      <c r="A104" s="16" t="s">
        <v>917</v>
      </c>
      <c r="B104" s="17" t="s">
        <v>918</v>
      </c>
      <c r="C104" s="58" t="n">
        <f aca="false">F47</f>
        <v>46256</v>
      </c>
      <c r="D104" s="58" t="n">
        <f aca="false">G47</f>
        <v>46379</v>
      </c>
      <c r="E104" s="54" t="n">
        <f aca="false">D104-C104+1</f>
        <v>124</v>
      </c>
      <c r="F104" s="65" t="n">
        <f aca="false">ROUND(E104/$C$15,1)</f>
        <v>4.1</v>
      </c>
      <c r="G104" s="16"/>
      <c r="H104" s="16"/>
      <c r="I104" s="16"/>
      <c r="J104" s="19" t="s">
        <v>919</v>
      </c>
    </row>
    <row r="105" customFormat="false" ht="42" hidden="false" customHeight="true" outlineLevel="0" collapsed="false">
      <c r="A105" s="16" t="s">
        <v>920</v>
      </c>
      <c r="B105" s="17" t="s">
        <v>921</v>
      </c>
      <c r="C105" s="58" t="n">
        <f aca="false">F21</f>
        <v>46261</v>
      </c>
      <c r="D105" s="58" t="n">
        <f aca="false">G43</f>
        <v>46371</v>
      </c>
      <c r="E105" s="54" t="n">
        <f aca="false">D105-C105+1</f>
        <v>111</v>
      </c>
      <c r="F105" s="65" t="n">
        <f aca="false">ROUND(E105/$C$15,1)</f>
        <v>3.7</v>
      </c>
      <c r="G105" s="16"/>
      <c r="H105" s="16"/>
      <c r="I105" s="16"/>
      <c r="J105" s="19" t="s">
        <v>922</v>
      </c>
    </row>
    <row r="106" customFormat="false" ht="42" hidden="false" customHeight="true" outlineLevel="0" collapsed="false">
      <c r="A106" s="16" t="s">
        <v>923</v>
      </c>
      <c r="B106" s="17" t="s">
        <v>924</v>
      </c>
      <c r="C106" s="58" t="n">
        <f aca="false">F47</f>
        <v>46256</v>
      </c>
      <c r="D106" s="58" t="n">
        <f aca="false">G47</f>
        <v>46379</v>
      </c>
      <c r="E106" s="54" t="n">
        <f aca="false">D106-C106+1</f>
        <v>124</v>
      </c>
      <c r="F106" s="65" t="n">
        <f aca="false">ROUND(E106/$C$15,1)</f>
        <v>4.1</v>
      </c>
      <c r="G106" s="16"/>
      <c r="H106" s="16"/>
      <c r="I106" s="16"/>
      <c r="J106" s="19" t="s">
        <v>925</v>
      </c>
    </row>
    <row r="107" customFormat="false" ht="42" hidden="false" customHeight="true" outlineLevel="0" collapsed="false">
      <c r="A107" s="16" t="s">
        <v>926</v>
      </c>
      <c r="B107" s="17" t="s">
        <v>927</v>
      </c>
      <c r="C107" s="58" t="n">
        <f aca="false">$C$377</f>
        <v>46273</v>
      </c>
      <c r="D107" s="58" t="n">
        <f aca="false">G43</f>
        <v>46371</v>
      </c>
      <c r="E107" s="54" t="n">
        <f aca="false">D107-C107+1</f>
        <v>99</v>
      </c>
      <c r="F107" s="65" t="n">
        <f aca="false">ROUND(E107/$C$15,1)</f>
        <v>3.3</v>
      </c>
      <c r="G107" s="16"/>
      <c r="H107" s="16"/>
      <c r="I107" s="16"/>
      <c r="J107" s="19" t="s">
        <v>928</v>
      </c>
    </row>
    <row r="109" customFormat="false" ht="21" hidden="false" customHeight="true" outlineLevel="0" collapsed="false">
      <c r="A109" s="15" t="s">
        <v>929</v>
      </c>
      <c r="B109" s="15"/>
      <c r="C109" s="15"/>
      <c r="D109" s="15"/>
      <c r="E109" s="15"/>
      <c r="F109" s="15"/>
      <c r="G109" s="15"/>
      <c r="H109" s="15"/>
      <c r="I109" s="15"/>
      <c r="J109" s="15"/>
    </row>
    <row r="110" customFormat="false" ht="43.5" hidden="false" customHeight="true" outlineLevel="0" collapsed="false">
      <c r="A110" s="11" t="s">
        <v>930</v>
      </c>
      <c r="B110" s="11"/>
      <c r="C110" s="11"/>
      <c r="D110" s="11"/>
      <c r="E110" s="11"/>
      <c r="F110" s="11"/>
      <c r="G110" s="11"/>
      <c r="H110" s="11"/>
      <c r="I110" s="11"/>
      <c r="J110" s="11"/>
    </row>
    <row r="111" customFormat="false" ht="42" hidden="false" customHeight="true" outlineLevel="0" collapsed="false">
      <c r="A111" s="13" t="s">
        <v>92</v>
      </c>
      <c r="B111" s="13" t="s">
        <v>931</v>
      </c>
      <c r="C111" s="13" t="s">
        <v>37</v>
      </c>
      <c r="D111" s="13" t="s">
        <v>39</v>
      </c>
      <c r="E111" s="13" t="s">
        <v>932</v>
      </c>
      <c r="F111" s="13" t="s">
        <v>933</v>
      </c>
      <c r="G111" s="13" t="s">
        <v>934</v>
      </c>
      <c r="H111" s="13" t="s">
        <v>935</v>
      </c>
      <c r="I111" s="13" t="s">
        <v>936</v>
      </c>
      <c r="J111" s="13" t="s">
        <v>937</v>
      </c>
    </row>
    <row r="112" customFormat="false" ht="30" hidden="false" customHeight="true" outlineLevel="0" collapsed="false">
      <c r="A112" s="16" t="s">
        <v>94</v>
      </c>
      <c r="B112" s="17" t="str">
        <f aca="false">'Build-Up'!B9</f>
        <v>Site engineer - dedicated to the tank site</v>
      </c>
      <c r="C112" s="16" t="str">
        <f aca="false">'Build-Up'!C9</f>
        <v>month</v>
      </c>
      <c r="D112" s="18" t="n">
        <f aca="false">'Build-Up'!E9</f>
        <v>12000</v>
      </c>
      <c r="E112" s="18" t="n">
        <v>3</v>
      </c>
      <c r="F112" s="18" t="n">
        <f aca="false">ROUND(E47/$C$15,1)</f>
        <v>4.1</v>
      </c>
      <c r="G112" s="20" t="n">
        <f aca="false">F103</f>
        <v>4.1</v>
      </c>
      <c r="H112" s="18" t="n">
        <f aca="false">ROUND(F112*D112,2)</f>
        <v>49200</v>
      </c>
      <c r="I112" s="18" t="n">
        <f aca="false">ROUND(G112*D112,2)</f>
        <v>49200</v>
      </c>
      <c r="J112" s="19" t="s">
        <v>938</v>
      </c>
    </row>
    <row r="113" customFormat="false" ht="30" hidden="false" customHeight="true" outlineLevel="0" collapsed="false">
      <c r="A113" s="16" t="s">
        <v>98</v>
      </c>
      <c r="B113" s="17" t="str">
        <f aca="false">'Build-Up'!B10</f>
        <v>HSE officer - dedicated</v>
      </c>
      <c r="C113" s="16" t="str">
        <f aca="false">'Build-Up'!C10</f>
        <v>month</v>
      </c>
      <c r="D113" s="18" t="n">
        <f aca="false">'Build-Up'!E10</f>
        <v>10000</v>
      </c>
      <c r="E113" s="18" t="n">
        <v>3</v>
      </c>
      <c r="F113" s="18" t="n">
        <f aca="false">ROUND(E47/$C$15,1)</f>
        <v>4.1</v>
      </c>
      <c r="G113" s="20" t="n">
        <f aca="false">F104</f>
        <v>4.1</v>
      </c>
      <c r="H113" s="18" t="n">
        <f aca="false">ROUND(F113*D113,2)</f>
        <v>41000</v>
      </c>
      <c r="I113" s="18" t="n">
        <f aca="false">ROUND(G113*D113,2)</f>
        <v>41000</v>
      </c>
      <c r="J113" s="19" t="s">
        <v>939</v>
      </c>
    </row>
    <row r="114" customFormat="false" ht="30" hidden="false" customHeight="true" outlineLevel="0" collapsed="false">
      <c r="A114" s="16" t="s">
        <v>101</v>
      </c>
      <c r="B114" s="17" t="str">
        <f aca="false">'Build-Up'!B11</f>
        <v>QA/QC inspector - dedicated (daily inspections, ITPs and WIRs during erection)</v>
      </c>
      <c r="C114" s="16" t="str">
        <f aca="false">'Build-Up'!C11</f>
        <v>month</v>
      </c>
      <c r="D114" s="18" t="n">
        <f aca="false">'Build-Up'!E11</f>
        <v>10000</v>
      </c>
      <c r="E114" s="18" t="n">
        <v>3</v>
      </c>
      <c r="F114" s="18" t="n">
        <f aca="false">ROUND(E47/$C$15,1)</f>
        <v>4.1</v>
      </c>
      <c r="G114" s="20" t="n">
        <f aca="false">F105</f>
        <v>3.7</v>
      </c>
      <c r="H114" s="18" t="n">
        <f aca="false">ROUND(F114*D114,2)</f>
        <v>41000</v>
      </c>
      <c r="I114" s="18" t="n">
        <f aca="false">ROUND(G114*D114,2)</f>
        <v>37000</v>
      </c>
      <c r="J114" s="19" t="s">
        <v>940</v>
      </c>
    </row>
    <row r="115" customFormat="false" ht="30" hidden="false" customHeight="true" outlineLevel="0" collapsed="false">
      <c r="A115" s="16" t="s">
        <v>104</v>
      </c>
      <c r="B115" s="17" t="str">
        <f aca="false">'Build-Up'!B12</f>
        <v>Works foreman - dedicated</v>
      </c>
      <c r="C115" s="16" t="str">
        <f aca="false">'Build-Up'!C12</f>
        <v>month</v>
      </c>
      <c r="D115" s="18" t="n">
        <f aca="false">'Build-Up'!E12</f>
        <v>8000</v>
      </c>
      <c r="E115" s="18" t="n">
        <v>3</v>
      </c>
      <c r="F115" s="18" t="n">
        <f aca="false">ROUND(E47/$C$15,1)</f>
        <v>4.1</v>
      </c>
      <c r="G115" s="20" t="n">
        <f aca="false">F106</f>
        <v>4.1</v>
      </c>
      <c r="H115" s="18" t="n">
        <f aca="false">ROUND(F115*D115,2)</f>
        <v>32800</v>
      </c>
      <c r="I115" s="18" t="n">
        <f aca="false">ROUND(G115*D115,2)</f>
        <v>32800</v>
      </c>
      <c r="J115" s="19" t="s">
        <v>941</v>
      </c>
    </row>
    <row r="116" customFormat="false" ht="30" hidden="false" customHeight="true" outlineLevel="0" collapsed="false">
      <c r="A116" s="16" t="s">
        <v>107</v>
      </c>
      <c r="B116" s="17" t="str">
        <f aca="false">'Build-Up'!B13</f>
        <v>Storekeeper / timekeeper</v>
      </c>
      <c r="C116" s="16" t="str">
        <f aca="false">'Build-Up'!C13</f>
        <v>month</v>
      </c>
      <c r="D116" s="18" t="n">
        <f aca="false">'Build-Up'!E13</f>
        <v>4000</v>
      </c>
      <c r="E116" s="18" t="n">
        <v>3</v>
      </c>
      <c r="F116" s="18" t="n">
        <f aca="false">ROUND(E47/$C$15,1)</f>
        <v>4.1</v>
      </c>
      <c r="G116" s="20" t="n">
        <f aca="false">F107</f>
        <v>3.3</v>
      </c>
      <c r="H116" s="18" t="n">
        <f aca="false">ROUND(F116*D116,2)</f>
        <v>16400</v>
      </c>
      <c r="I116" s="18" t="n">
        <f aca="false">ROUND(G116*D116,2)</f>
        <v>13200</v>
      </c>
      <c r="J116" s="19" t="s">
        <v>942</v>
      </c>
    </row>
    <row r="117" customFormat="false" ht="30" hidden="false" customHeight="true" outlineLevel="0" collapsed="false">
      <c r="A117" s="16" t="s">
        <v>110</v>
      </c>
      <c r="B117" s="17" t="str">
        <f aca="false">'Build-Up'!B14</f>
        <v>Site office porta cabin, air-conditioned, rental with electricity connection and maintenance</v>
      </c>
      <c r="C117" s="16" t="str">
        <f aca="false">'Build-Up'!C14</f>
        <v>month</v>
      </c>
      <c r="D117" s="18" t="n">
        <f aca="false">'Build-Up'!E14</f>
        <v>2200</v>
      </c>
      <c r="E117" s="18" t="n">
        <v>3</v>
      </c>
      <c r="F117" s="18" t="n">
        <f aca="false">ROUND(E47/$C$15,1)</f>
        <v>4.1</v>
      </c>
      <c r="G117" s="20" t="n">
        <f aca="false">ROUND(H47/$C$15,1)</f>
        <v>4.1</v>
      </c>
      <c r="H117" s="18" t="n">
        <f aca="false">ROUND(F117*D117,2)</f>
        <v>9020</v>
      </c>
      <c r="I117" s="18" t="n">
        <f aca="false">ROUND(G117*D117,2)</f>
        <v>9020</v>
      </c>
      <c r="J117" s="19" t="s">
        <v>943</v>
      </c>
    </row>
    <row r="118" customFormat="false" ht="30" hidden="false" customHeight="true" outlineLevel="0" collapsed="false">
      <c r="A118" s="16" t="s">
        <v>113</v>
      </c>
      <c r="B118" s="17" t="str">
        <f aca="false">'Build-Up'!B15</f>
        <v>Rest and welfare porta cabin, air-conditioned, rental with electricity connection and maintenance</v>
      </c>
      <c r="C118" s="16" t="str">
        <f aca="false">'Build-Up'!C15</f>
        <v>month</v>
      </c>
      <c r="D118" s="18" t="n">
        <f aca="false">'Build-Up'!E15</f>
        <v>2200</v>
      </c>
      <c r="E118" s="18" t="n">
        <v>3</v>
      </c>
      <c r="F118" s="18" t="n">
        <f aca="false">ROUND(E47/$C$15,1)</f>
        <v>4.1</v>
      </c>
      <c r="G118" s="20" t="n">
        <f aca="false">ROUND(H47/$C$15,1)</f>
        <v>4.1</v>
      </c>
      <c r="H118" s="18" t="n">
        <f aca="false">ROUND(F118*D118,2)</f>
        <v>9020</v>
      </c>
      <c r="I118" s="18" t="n">
        <f aca="false">ROUND(G118*D118,2)</f>
        <v>9020</v>
      </c>
      <c r="J118" s="19" t="s">
        <v>943</v>
      </c>
    </row>
    <row r="119" customFormat="false" ht="30" hidden="false" customHeight="true" outlineLevel="0" collapsed="false">
      <c r="A119" s="16" t="s">
        <v>115</v>
      </c>
      <c r="B119" s="17" t="str">
        <f aca="false">'Build-Up'!B16</f>
        <v>WC unit, rental with servicing</v>
      </c>
      <c r="C119" s="16" t="str">
        <f aca="false">'Build-Up'!C16</f>
        <v>month</v>
      </c>
      <c r="D119" s="18" t="n">
        <f aca="false">'Build-Up'!E16</f>
        <v>1300</v>
      </c>
      <c r="E119" s="18" t="n">
        <v>3</v>
      </c>
      <c r="F119" s="18" t="n">
        <f aca="false">ROUND(E47/$C$15,1)</f>
        <v>4.1</v>
      </c>
      <c r="G119" s="20" t="n">
        <f aca="false">ROUND(H47/$C$15,1)</f>
        <v>4.1</v>
      </c>
      <c r="H119" s="18" t="n">
        <f aca="false">ROUND(F119*D119,2)</f>
        <v>5330</v>
      </c>
      <c r="I119" s="18" t="n">
        <f aca="false">ROUND(G119*D119,2)</f>
        <v>5330</v>
      </c>
      <c r="J119" s="19" t="s">
        <v>943</v>
      </c>
    </row>
    <row r="120" customFormat="false" ht="30" hidden="false" customHeight="true" outlineLevel="0" collapsed="false">
      <c r="A120" s="16" t="s">
        <v>117</v>
      </c>
      <c r="B120" s="17" t="str">
        <f aca="false">'Build-Up'!B17</f>
        <v>Site water supply - tankered deliveries for welfare and general site use, whole period</v>
      </c>
      <c r="C120" s="16" t="str">
        <f aca="false">'Build-Up'!C17</f>
        <v>delivery</v>
      </c>
      <c r="D120" s="18" t="n">
        <f aca="false">'Build-Up'!E17</f>
        <v>350</v>
      </c>
      <c r="E120" s="18" t="n">
        <v>26</v>
      </c>
      <c r="F120" s="18" t="n">
        <f aca="false">2*ROUNDUP(E47/7,0)</f>
        <v>36</v>
      </c>
      <c r="G120" s="20" t="n">
        <f aca="false">2*ROUNDUP(H47/7,0)</f>
        <v>36</v>
      </c>
      <c r="H120" s="18" t="n">
        <f aca="false">ROUND(F120*D120,2)</f>
        <v>12600</v>
      </c>
      <c r="I120" s="18" t="n">
        <f aca="false">ROUND(G120*D120,2)</f>
        <v>12600</v>
      </c>
      <c r="J120" s="19" t="s">
        <v>944</v>
      </c>
    </row>
    <row r="121" customFormat="false" ht="30" hidden="false" customHeight="true" outlineLevel="0" collapsed="false">
      <c r="A121" s="16" t="s">
        <v>121</v>
      </c>
      <c r="B121" s="17" t="str">
        <f aca="false">'Build-Up'!B18</f>
        <v>Site water storage tank, hire</v>
      </c>
      <c r="C121" s="16" t="str">
        <f aca="false">'Build-Up'!C18</f>
        <v>month</v>
      </c>
      <c r="D121" s="18" t="n">
        <f aca="false">'Build-Up'!E18</f>
        <v>350</v>
      </c>
      <c r="E121" s="18" t="n">
        <v>3</v>
      </c>
      <c r="F121" s="18" t="n">
        <f aca="false">ROUND(E47/$C$15,1)</f>
        <v>4.1</v>
      </c>
      <c r="G121" s="20" t="n">
        <f aca="false">ROUND(H47/$C$15,1)</f>
        <v>4.1</v>
      </c>
      <c r="H121" s="18" t="n">
        <f aca="false">ROUND(F121*D121,2)</f>
        <v>1435</v>
      </c>
      <c r="I121" s="18" t="n">
        <f aca="false">ROUND(G121*D121,2)</f>
        <v>1435</v>
      </c>
      <c r="J121" s="19" t="s">
        <v>943</v>
      </c>
    </row>
    <row r="122" customFormat="false" ht="42" hidden="false" customHeight="true" outlineLevel="0" collapsed="false">
      <c r="A122" s="16" t="s">
        <v>123</v>
      </c>
      <c r="B122" s="17" t="str">
        <f aca="false">'Build-Up'!B19</f>
        <v>Storage containers, 2 No. for the panel storage window (RFP Scope of Works, work package 1 - pre-construction and setup: safe storage of panels)</v>
      </c>
      <c r="C122" s="16" t="str">
        <f aca="false">'Build-Up'!C19</f>
        <v>container-month</v>
      </c>
      <c r="D122" s="18" t="n">
        <f aca="false">'Build-Up'!E19</f>
        <v>1200</v>
      </c>
      <c r="E122" s="18" t="n">
        <v>6</v>
      </c>
      <c r="F122" s="18" t="n">
        <f aca="false">2*ROUND(E51/$C$15,1)</f>
        <v>5.6</v>
      </c>
      <c r="G122" s="20" t="n">
        <f aca="false">2*ROUND(H51/$C$15,1)</f>
        <v>5.6</v>
      </c>
      <c r="H122" s="18" t="n">
        <f aca="false">ROUND(F122*D122,2)</f>
        <v>6720</v>
      </c>
      <c r="I122" s="18" t="n">
        <f aca="false">ROUND(G122*D122,2)</f>
        <v>6720</v>
      </c>
      <c r="J122" s="19" t="s">
        <v>945</v>
      </c>
    </row>
    <row r="123" customFormat="false" ht="54.75" hidden="false" customHeight="true" outlineLevel="0" collapsed="false">
      <c r="A123" s="16" t="s">
        <v>127</v>
      </c>
      <c r="B123" s="17" t="str">
        <f aca="false">'Build-Up'!B20</f>
        <v>Workforce transport to the tank site, daily bus</v>
      </c>
      <c r="C123" s="16" t="str">
        <f aca="false">'Build-Up'!C20</f>
        <v>month</v>
      </c>
      <c r="D123" s="18" t="n">
        <f aca="false">'Build-Up'!E20</f>
        <v>4000</v>
      </c>
      <c r="E123" s="18" t="n">
        <v>3</v>
      </c>
      <c r="F123" s="18" t="n">
        <f aca="false">ROUND(E47/$C$15,1)</f>
        <v>4.1</v>
      </c>
      <c r="G123" s="20" t="n">
        <f aca="false">ROUND(H47/$C$15,1)</f>
        <v>4.1</v>
      </c>
      <c r="H123" s="18" t="n">
        <f aca="false">ROUND(F123*D123,2)</f>
        <v>16400</v>
      </c>
      <c r="I123" s="18" t="n">
        <f aca="false">ROUND(G123*D123,2)</f>
        <v>16400</v>
      </c>
      <c r="J123" s="19" t="s">
        <v>946</v>
      </c>
    </row>
    <row r="124" customFormat="false" ht="30" hidden="false" customHeight="true" outlineLevel="0" collapsed="false">
      <c r="A124" s="16" t="s">
        <v>130</v>
      </c>
      <c r="B124" s="17" t="str">
        <f aca="false">'Build-Up'!B21</f>
        <v>Watchman for the tank site</v>
      </c>
      <c r="C124" s="16" t="str">
        <f aca="false">'Build-Up'!C21</f>
        <v>month</v>
      </c>
      <c r="D124" s="18" t="n">
        <f aca="false">'Build-Up'!E21</f>
        <v>4500</v>
      </c>
      <c r="E124" s="18" t="n">
        <v>3</v>
      </c>
      <c r="F124" s="18" t="n">
        <f aca="false">ROUND(E47/$C$15,1)</f>
        <v>4.1</v>
      </c>
      <c r="G124" s="20" t="n">
        <f aca="false">ROUND(H47/$C$15,1)</f>
        <v>4.1</v>
      </c>
      <c r="H124" s="18" t="n">
        <f aca="false">ROUND(F124*D124,2)</f>
        <v>18450</v>
      </c>
      <c r="I124" s="18" t="n">
        <f aca="false">ROUND(G124*D124,2)</f>
        <v>18450</v>
      </c>
      <c r="J124" s="19" t="s">
        <v>947</v>
      </c>
    </row>
    <row r="125" customFormat="false" ht="30" hidden="false" customHeight="true" outlineLevel="0" collapsed="false">
      <c r="A125" s="16" t="s">
        <v>232</v>
      </c>
      <c r="B125" s="17" t="str">
        <f aca="false">'Build-Up'!B74</f>
        <v>Boom truck (hiab) - offloading and erection support</v>
      </c>
      <c r="C125" s="16" t="str">
        <f aca="false">'Build-Up'!C74</f>
        <v>day</v>
      </c>
      <c r="D125" s="18" t="n">
        <f aca="false">'Build-Up'!E74</f>
        <v>1200</v>
      </c>
      <c r="E125" s="18" t="n">
        <v>50</v>
      </c>
      <c r="F125" s="18" t="n">
        <v>44</v>
      </c>
      <c r="G125" s="20" t="n">
        <f aca="false">H83</f>
        <v>34</v>
      </c>
      <c r="H125" s="18" t="n">
        <f aca="false">ROUND(F125*D125,2)</f>
        <v>52800</v>
      </c>
      <c r="I125" s="18" t="n">
        <f aca="false">ROUND(G125*D125,2)</f>
        <v>40800</v>
      </c>
      <c r="J125" s="19" t="s">
        <v>948</v>
      </c>
    </row>
    <row r="126" customFormat="false" ht="42" hidden="false" customHeight="true" outlineLevel="0" collapsed="false">
      <c r="A126" s="13" t="s">
        <v>92</v>
      </c>
      <c r="B126" s="13" t="s">
        <v>931</v>
      </c>
      <c r="C126" s="13" t="s">
        <v>37</v>
      </c>
      <c r="D126" s="13" t="s">
        <v>39</v>
      </c>
      <c r="E126" s="13" t="s">
        <v>932</v>
      </c>
      <c r="F126" s="13" t="s">
        <v>933</v>
      </c>
      <c r="G126" s="13" t="s">
        <v>934</v>
      </c>
      <c r="H126" s="13" t="s">
        <v>935</v>
      </c>
      <c r="I126" s="13" t="s">
        <v>936</v>
      </c>
      <c r="J126" s="13" t="s">
        <v>937</v>
      </c>
    </row>
    <row r="127" customFormat="false" ht="30" hidden="false" customHeight="true" outlineLevel="0" collapsed="false">
      <c r="A127" s="16" t="s">
        <v>235</v>
      </c>
      <c r="B127" s="17" t="str">
        <f aca="false">'Build-Up'!B75</f>
        <v>Telehandler / forklift</v>
      </c>
      <c r="C127" s="16" t="str">
        <f aca="false">'Build-Up'!C75</f>
        <v>day</v>
      </c>
      <c r="D127" s="18" t="n">
        <f aca="false">'Build-Up'!E75</f>
        <v>900</v>
      </c>
      <c r="E127" s="18" t="n">
        <v>50</v>
      </c>
      <c r="F127" s="18" t="n">
        <v>62</v>
      </c>
      <c r="G127" s="20" t="n">
        <f aca="false">I83</f>
        <v>50</v>
      </c>
      <c r="H127" s="18" t="n">
        <f aca="false">ROUND(F127*D127,2)</f>
        <v>55800</v>
      </c>
      <c r="I127" s="18" t="n">
        <f aca="false">ROUND(G127*D127,2)</f>
        <v>45000</v>
      </c>
      <c r="J127" s="19" t="s">
        <v>949</v>
      </c>
    </row>
    <row r="128" customFormat="false" ht="30" hidden="false" customHeight="true" outlineLevel="0" collapsed="false">
      <c r="A128" s="16" t="s">
        <v>242</v>
      </c>
      <c r="B128" s="17" t="str">
        <f aca="false">'Build-Up'!B77</f>
        <v>Mobile aluminium access towers, 2 No. for the access window, whole hire months</v>
      </c>
      <c r="C128" s="16" t="str">
        <f aca="false">'Build-Up'!C77</f>
        <v>tower-month</v>
      </c>
      <c r="D128" s="18" t="n">
        <f aca="false">'Build-Up'!E77</f>
        <v>1800</v>
      </c>
      <c r="E128" s="18" t="n">
        <v>6</v>
      </c>
      <c r="F128" s="18" t="n">
        <f aca="false">2*ROUNDUP(E50/$C$15,0)</f>
        <v>4</v>
      </c>
      <c r="G128" s="20" t="n">
        <f aca="false">2*ROUNDUP(H50/$C$15,0)</f>
        <v>4</v>
      </c>
      <c r="H128" s="18" t="n">
        <f aca="false">ROUND(F128*D128,2)</f>
        <v>7200</v>
      </c>
      <c r="I128" s="18" t="n">
        <f aca="false">ROUND(G128*D128,2)</f>
        <v>7200</v>
      </c>
      <c r="J128" s="19" t="s">
        <v>950</v>
      </c>
    </row>
    <row r="129" customFormat="false" ht="30" hidden="false" customHeight="true" outlineLevel="0" collapsed="false">
      <c r="A129" s="16" t="s">
        <v>248</v>
      </c>
      <c r="B129" s="17" t="str">
        <f aca="false">'Build-Up'!B79</f>
        <v>Podium steps, 2 No. for the access window, whole hire months</v>
      </c>
      <c r="C129" s="16" t="str">
        <f aca="false">'Build-Up'!C79</f>
        <v>unit-month</v>
      </c>
      <c r="D129" s="18" t="n">
        <f aca="false">'Build-Up'!E79</f>
        <v>350</v>
      </c>
      <c r="E129" s="18" t="n">
        <v>6</v>
      </c>
      <c r="F129" s="18" t="n">
        <f aca="false">2*ROUNDUP(E50/$C$15,0)</f>
        <v>4</v>
      </c>
      <c r="G129" s="20" t="n">
        <f aca="false">2*ROUNDUP(H50/$C$15,0)</f>
        <v>4</v>
      </c>
      <c r="H129" s="18" t="n">
        <f aca="false">ROUND(F129*D129,2)</f>
        <v>1400</v>
      </c>
      <c r="I129" s="18" t="n">
        <f aca="false">ROUND(G129*D129,2)</f>
        <v>1400</v>
      </c>
      <c r="J129" s="19" t="s">
        <v>951</v>
      </c>
    </row>
    <row r="130" customFormat="false" ht="30" hidden="false" customHeight="true" outlineLevel="0" collapsed="false">
      <c r="A130" s="16" t="s">
        <v>252</v>
      </c>
      <c r="B130" s="17" t="str">
        <f aca="false">'Build-Up'!B80</f>
        <v>Generator 100 kVA for the works, daytime running with fuel</v>
      </c>
      <c r="C130" s="16" t="str">
        <f aca="false">'Build-Up'!C80</f>
        <v>month</v>
      </c>
      <c r="D130" s="18" t="n">
        <f aca="false">'Build-Up'!E80</f>
        <v>11000</v>
      </c>
      <c r="E130" s="18" t="n">
        <v>3</v>
      </c>
      <c r="F130" s="18" t="n">
        <f aca="false">ROUND(E48/$C$15,1)</f>
        <v>3.8</v>
      </c>
      <c r="G130" s="20" t="n">
        <f aca="false">ROUND(H48/$C$15,1)</f>
        <v>3.8</v>
      </c>
      <c r="H130" s="18" t="n">
        <f aca="false">ROUND(F130*D130,2)</f>
        <v>41800</v>
      </c>
      <c r="I130" s="18" t="n">
        <f aca="false">ROUND(G130*D130,2)</f>
        <v>41800</v>
      </c>
      <c r="J130" s="19" t="s">
        <v>952</v>
      </c>
    </row>
    <row r="131" customFormat="false" ht="30" hidden="false" customHeight="true" outlineLevel="0" collapsed="false">
      <c r="A131" s="16" t="s">
        <v>255</v>
      </c>
      <c r="B131" s="17" t="str">
        <f aca="false">'Build-Up'!B81</f>
        <v>Generator 30 kVA for the site office and welfare cabins, continuous running with fuel, whole period</v>
      </c>
      <c r="C131" s="16" t="str">
        <f aca="false">'Build-Up'!C81</f>
        <v>month</v>
      </c>
      <c r="D131" s="18" t="n">
        <f aca="false">'Build-Up'!E81</f>
        <v>6000</v>
      </c>
      <c r="E131" s="18" t="n">
        <v>3</v>
      </c>
      <c r="F131" s="18" t="n">
        <f aca="false">ROUND(E47/$C$15,1)</f>
        <v>4.1</v>
      </c>
      <c r="G131" s="20" t="n">
        <f aca="false">ROUND(H47/$C$15,1)</f>
        <v>4.1</v>
      </c>
      <c r="H131" s="18" t="n">
        <f aca="false">ROUND(F131*D131,2)</f>
        <v>24600</v>
      </c>
      <c r="I131" s="18" t="n">
        <f aca="false">ROUND(G131*D131,2)</f>
        <v>24600</v>
      </c>
      <c r="J131" s="19" t="s">
        <v>953</v>
      </c>
    </row>
    <row r="132" customFormat="false" ht="30" hidden="false" customHeight="true" outlineLevel="0" collapsed="false">
      <c r="A132" s="16" t="s">
        <v>258</v>
      </c>
      <c r="B132" s="17" t="str">
        <f aca="false">'Build-Up'!B82</f>
        <v>Site transport, pick-up / flatbed</v>
      </c>
      <c r="C132" s="16" t="str">
        <f aca="false">'Build-Up'!C82</f>
        <v>month</v>
      </c>
      <c r="D132" s="18" t="n">
        <f aca="false">'Build-Up'!E82</f>
        <v>3000</v>
      </c>
      <c r="E132" s="18" t="n">
        <v>3</v>
      </c>
      <c r="F132" s="18" t="n">
        <f aca="false">ROUND(E47/$C$15,1)</f>
        <v>4.1</v>
      </c>
      <c r="G132" s="20" t="n">
        <f aca="false">ROUND(H47/$C$15,1)</f>
        <v>4.1</v>
      </c>
      <c r="H132" s="18" t="n">
        <f aca="false">ROUND(F132*D132,2)</f>
        <v>12300</v>
      </c>
      <c r="I132" s="18" t="n">
        <f aca="false">ROUND(G132*D132,2)</f>
        <v>12300</v>
      </c>
      <c r="J132" s="19" t="s">
        <v>954</v>
      </c>
    </row>
    <row r="133" customFormat="false" ht="54.75" hidden="false" customHeight="true" outlineLevel="0" collapsed="false">
      <c r="A133" s="16" t="s">
        <v>261</v>
      </c>
      <c r="B133" s="17" t="str">
        <f aca="false">'Build-Up'!B83</f>
        <v>Contractor's helpers - attendance to the tank supplier, offloading and panel handling, man-months from the resource matrix</v>
      </c>
      <c r="C133" s="16" t="str">
        <f aca="false">'Build-Up'!C83</f>
        <v>man-month</v>
      </c>
      <c r="D133" s="18" t="n">
        <f aca="false">'Build-Up'!E83</f>
        <v>3000</v>
      </c>
      <c r="E133" s="18" t="n">
        <v>15</v>
      </c>
      <c r="F133" s="18" t="n">
        <f aca="false">ROUND(85*6/26,1)</f>
        <v>19.6</v>
      </c>
      <c r="G133" s="20" t="n">
        <f aca="false">F79</f>
        <v>17.3</v>
      </c>
      <c r="H133" s="18" t="n">
        <f aca="false">ROUND(F133*D133,2)</f>
        <v>58800</v>
      </c>
      <c r="I133" s="18" t="n">
        <f aca="false">ROUND(G133*D133,2)</f>
        <v>51900</v>
      </c>
      <c r="J133" s="19" t="s">
        <v>955</v>
      </c>
    </row>
    <row r="134" customFormat="false" ht="30" hidden="false" customHeight="true" outlineLevel="0" collapsed="false">
      <c r="A134" s="16" t="s">
        <v>265</v>
      </c>
      <c r="B134" s="17" t="str">
        <f aca="false">'Build-Up'!B84</f>
        <v>Power-tool hire</v>
      </c>
      <c r="C134" s="16" t="str">
        <f aca="false">'Build-Up'!C84</f>
        <v>month</v>
      </c>
      <c r="D134" s="18" t="n">
        <f aca="false">'Build-Up'!E84</f>
        <v>2500</v>
      </c>
      <c r="E134" s="18" t="n">
        <v>3</v>
      </c>
      <c r="F134" s="18" t="n">
        <f aca="false">ROUND(E49/$C$15,1)</f>
        <v>2.7</v>
      </c>
      <c r="G134" s="20" t="n">
        <f aca="false">ROUND(H49/$C$15,1)</f>
        <v>2.7</v>
      </c>
      <c r="H134" s="18" t="n">
        <f aca="false">ROUND(F134*D134,2)</f>
        <v>6750</v>
      </c>
      <c r="I134" s="18" t="n">
        <f aca="false">ROUND(G134*D134,2)</f>
        <v>6750</v>
      </c>
      <c r="J134" s="19" t="s">
        <v>956</v>
      </c>
    </row>
    <row r="135" customFormat="false" ht="30" hidden="false" customHeight="true" outlineLevel="0" collapsed="false">
      <c r="A135" s="16" t="s">
        <v>274</v>
      </c>
      <c r="B135" s="17" t="str">
        <f aca="false">'Build-Up'!B87</f>
        <v>Mobile lighting towers, 2 No. for the erection window</v>
      </c>
      <c r="C135" s="16" t="str">
        <f aca="false">'Build-Up'!C87</f>
        <v>unit-month</v>
      </c>
      <c r="D135" s="18" t="n">
        <f aca="false">'Build-Up'!E87</f>
        <v>1200</v>
      </c>
      <c r="E135" s="18" t="n">
        <v>6</v>
      </c>
      <c r="F135" s="18" t="n">
        <f aca="false">2*ROUND(E49/$C$15,1)</f>
        <v>5.4</v>
      </c>
      <c r="G135" s="20" t="n">
        <f aca="false">2*ROUND(H49/$C$15,1)</f>
        <v>5.4</v>
      </c>
      <c r="H135" s="18" t="n">
        <f aca="false">ROUND(F135*D135,2)</f>
        <v>6480</v>
      </c>
      <c r="I135" s="18" t="n">
        <f aca="false">ROUND(G135*D135,2)</f>
        <v>6480</v>
      </c>
      <c r="J135" s="19" t="s">
        <v>957</v>
      </c>
    </row>
    <row r="136" customFormat="false" ht="54.75" hidden="false" customHeight="true" outlineLevel="0" collapsed="false">
      <c r="A136" s="16" t="s">
        <v>288</v>
      </c>
      <c r="B136" s="17" t="str">
        <f aca="false">'Build-Up'!B100</f>
        <v>Test water - first tank fill to test level</v>
      </c>
      <c r="C136" s="16" t="str">
        <f aca="false">'Build-Up'!C100</f>
        <v>m3</v>
      </c>
      <c r="D136" s="18" t="n">
        <f aca="false">'Build-Up'!E100</f>
        <v>6</v>
      </c>
      <c r="E136" s="18" t="n">
        <v>3774</v>
      </c>
      <c r="F136" s="18" t="n">
        <f aca="false">2*3774</f>
        <v>7548</v>
      </c>
      <c r="G136" s="20" t="n">
        <f aca="false">3774</f>
        <v>3774</v>
      </c>
      <c r="H136" s="18" t="n">
        <f aca="false">ROUND(F136*D136,2)</f>
        <v>45288</v>
      </c>
      <c r="I136" s="18" t="n">
        <f aca="false">ROUND(G136*D136,2)</f>
        <v>22644</v>
      </c>
      <c r="J136" s="19" t="s">
        <v>958</v>
      </c>
    </row>
    <row r="137" customFormat="false" ht="30" hidden="false" customHeight="true" outlineLevel="0" collapsed="false">
      <c r="A137" s="16" t="s">
        <v>291</v>
      </c>
      <c r="B137" s="17" t="str">
        <f aca="false">'Build-Up'!B101</f>
        <v>Transfer pump hire - Tank 1 to Tank 2</v>
      </c>
      <c r="C137" s="16" t="str">
        <f aca="false">'Build-Up'!C101</f>
        <v>day</v>
      </c>
      <c r="D137" s="18" t="n">
        <f aca="false">'Build-Up'!E101</f>
        <v>500</v>
      </c>
      <c r="E137" s="18" t="n">
        <v>7</v>
      </c>
      <c r="F137" s="18" t="n">
        <f aca="false">0</f>
        <v>0</v>
      </c>
      <c r="G137" s="20" t="n">
        <f aca="false">H39+H40</f>
        <v>7</v>
      </c>
      <c r="H137" s="18" t="n">
        <f aca="false">ROUND(F137*D137,2)</f>
        <v>0</v>
      </c>
      <c r="I137" s="18" t="n">
        <f aca="false">ROUND(G137*D137,2)</f>
        <v>3500</v>
      </c>
      <c r="J137" s="19" t="s">
        <v>959</v>
      </c>
    </row>
    <row r="138" customFormat="false" ht="30" hidden="false" customHeight="true" outlineLevel="0" collapsed="false">
      <c r="A138" s="16" t="s">
        <v>294</v>
      </c>
      <c r="B138" s="17" t="str">
        <f aca="false">'Build-Up'!B102</f>
        <v>Transfer hoses and fittings hire</v>
      </c>
      <c r="C138" s="16" t="str">
        <f aca="false">'Build-Up'!C102</f>
        <v>week</v>
      </c>
      <c r="D138" s="18" t="n">
        <f aca="false">'Build-Up'!E102</f>
        <v>1000</v>
      </c>
      <c r="E138" s="18" t="n">
        <v>1</v>
      </c>
      <c r="F138" s="18" t="n">
        <f aca="false">0</f>
        <v>0</v>
      </c>
      <c r="G138" s="20" t="n">
        <f aca="false">1</f>
        <v>1</v>
      </c>
      <c r="H138" s="18" t="n">
        <f aca="false">ROUND(F138*D138,2)</f>
        <v>0</v>
      </c>
      <c r="I138" s="18" t="n">
        <f aca="false">ROUND(G138*D138,2)</f>
        <v>1000</v>
      </c>
      <c r="J138" s="19" t="s">
        <v>960</v>
      </c>
    </row>
    <row r="139" customFormat="false" ht="30" hidden="false" customHeight="true" outlineLevel="0" collapsed="false">
      <c r="A139" s="16" t="s">
        <v>297</v>
      </c>
      <c r="B139" s="17" t="str">
        <f aca="false">'Build-Up'!B103</f>
        <v>Transfer labour, 2 No. x 3 days</v>
      </c>
      <c r="C139" s="16" t="str">
        <f aca="false">'Build-Up'!C103</f>
        <v>man-day</v>
      </c>
      <c r="D139" s="18" t="n">
        <f aca="false">'Build-Up'!E103</f>
        <v>150</v>
      </c>
      <c r="E139" s="18" t="n">
        <v>6</v>
      </c>
      <c r="F139" s="18" t="n">
        <f aca="false">0</f>
        <v>0</v>
      </c>
      <c r="G139" s="20" t="n">
        <f aca="false">2*H39</f>
        <v>6</v>
      </c>
      <c r="H139" s="18" t="n">
        <f aca="false">ROUND(F139*D139,2)</f>
        <v>0</v>
      </c>
      <c r="I139" s="18" t="n">
        <f aca="false">ROUND(G139*D139,2)</f>
        <v>900</v>
      </c>
      <c r="J139" s="19" t="s">
        <v>961</v>
      </c>
    </row>
    <row r="140" customFormat="false" ht="42" hidden="false" customHeight="true" outlineLevel="0" collapsed="false">
      <c r="A140" s="16" t="s">
        <v>300</v>
      </c>
      <c r="B140" s="17" t="str">
        <f aca="false">'Build-Up'!B104</f>
        <v>Top-up water for losses and test level</v>
      </c>
      <c r="C140" s="16" t="str">
        <f aca="false">'Build-Up'!C104</f>
        <v>m3</v>
      </c>
      <c r="D140" s="18" t="n">
        <f aca="false">'Build-Up'!E104</f>
        <v>6</v>
      </c>
      <c r="E140" s="18" t="n">
        <v>377</v>
      </c>
      <c r="F140" s="18" t="n">
        <f aca="false">ROUND(2*3774*0.1,0)</f>
        <v>755</v>
      </c>
      <c r="G140" s="20" t="n">
        <f aca="false">ROUND(3774*0.1,0)</f>
        <v>377</v>
      </c>
      <c r="H140" s="18" t="n">
        <f aca="false">ROUND(F140*D140,2)</f>
        <v>4530</v>
      </c>
      <c r="I140" s="18" t="n">
        <f aca="false">ROUND(G140*D140,2)</f>
        <v>2262</v>
      </c>
      <c r="J140" s="19" t="s">
        <v>962</v>
      </c>
    </row>
    <row r="141" customFormat="false" ht="93" hidden="false" customHeight="true" outlineLevel="0" collapsed="false">
      <c r="A141" s="16" t="s">
        <v>322</v>
      </c>
      <c r="B141" s="17" t="str">
        <f aca="false">'Build-Up'!B112</f>
        <v>Commissioning engineer</v>
      </c>
      <c r="C141" s="16" t="str">
        <f aca="false">'Build-Up'!C112</f>
        <v>day</v>
      </c>
      <c r="D141" s="18" t="n">
        <f aca="false">'Build-Up'!E112</f>
        <v>2000</v>
      </c>
      <c r="E141" s="18" t="n">
        <v>15</v>
      </c>
      <c r="F141" s="18" t="n">
        <f aca="false">E37+1</f>
        <v>8</v>
      </c>
      <c r="G141" s="20" t="n">
        <f aca="false">H41+H42+2</f>
        <v>8</v>
      </c>
      <c r="H141" s="18" t="n">
        <f aca="false">ROUND(F141*D141,2)</f>
        <v>16000</v>
      </c>
      <c r="I141" s="18" t="n">
        <f aca="false">ROUND(G141*D141,2)</f>
        <v>16000</v>
      </c>
      <c r="J141" s="19" t="s">
        <v>963</v>
      </c>
    </row>
    <row r="142" customFormat="false" ht="42" hidden="false" customHeight="true" outlineLevel="0" collapsed="false">
      <c r="A142" s="16" t="s">
        <v>325</v>
      </c>
      <c r="B142" s="17" t="str">
        <f aca="false">'Build-Up'!B113</f>
        <v>MEP technicians - pump and network interfaces, 2 No. x 10 days (RFP Scope of Works, work package 9 - system integration)</v>
      </c>
      <c r="C142" s="16" t="str">
        <f aca="false">'Build-Up'!C113</f>
        <v>man-day</v>
      </c>
      <c r="D142" s="18" t="n">
        <f aca="false">'Build-Up'!E113</f>
        <v>400</v>
      </c>
      <c r="E142" s="18" t="n">
        <v>20</v>
      </c>
      <c r="F142" s="18" t="n">
        <f aca="false">2*E37</f>
        <v>14</v>
      </c>
      <c r="G142" s="20" t="n">
        <f aca="false">2*(H41+H42)</f>
        <v>12</v>
      </c>
      <c r="H142" s="18" t="n">
        <f aca="false">ROUND(F142*D142,2)</f>
        <v>5600</v>
      </c>
      <c r="I142" s="18" t="n">
        <f aca="false">ROUND(G142*D142,2)</f>
        <v>4800</v>
      </c>
      <c r="J142" s="19" t="s">
        <v>964</v>
      </c>
    </row>
    <row r="143" customFormat="false" ht="30" hidden="false" customHeight="true" outlineLevel="0" collapsed="false">
      <c r="A143" s="16" t="s">
        <v>330</v>
      </c>
      <c r="B143" s="17" t="str">
        <f aca="false">'Build-Up'!B115</f>
        <v>Integration coordination engineer - tie-ins with the Employer and Engineer</v>
      </c>
      <c r="C143" s="16" t="str">
        <f aca="false">'Build-Up'!C115</f>
        <v>day</v>
      </c>
      <c r="D143" s="18" t="n">
        <f aca="false">'Build-Up'!E115</f>
        <v>1000</v>
      </c>
      <c r="E143" s="18" t="n">
        <v>5</v>
      </c>
      <c r="F143" s="18" t="n">
        <f aca="false">E36+1</f>
        <v>5</v>
      </c>
      <c r="G143" s="20" t="n">
        <f aca="false">H36+1</f>
        <v>5</v>
      </c>
      <c r="H143" s="18" t="n">
        <f aca="false">ROUND(F143*D143,2)</f>
        <v>5000</v>
      </c>
      <c r="I143" s="18" t="n">
        <f aca="false">ROUND(G143*D143,2)</f>
        <v>5000</v>
      </c>
      <c r="J143" s="19" t="s">
        <v>965</v>
      </c>
    </row>
    <row r="144" customFormat="false" ht="67.5" hidden="false" customHeight="true" outlineLevel="0" collapsed="false">
      <c r="A144" s="16" t="s">
        <v>344</v>
      </c>
      <c r="B144" s="17" t="str">
        <f aca="false">'Build-Up'!B121</f>
        <v>Tanker and pump standby during filling and test holds</v>
      </c>
      <c r="C144" s="16" t="str">
        <f aca="false">'Build-Up'!C121</f>
        <v>day</v>
      </c>
      <c r="D144" s="18" t="n">
        <f aca="false">'Build-Up'!E121</f>
        <v>500</v>
      </c>
      <c r="E144" s="18" t="n">
        <v>8</v>
      </c>
      <c r="F144" s="18" t="n">
        <f aca="false">4</f>
        <v>4</v>
      </c>
      <c r="G144" s="20" t="n">
        <f aca="false">4</f>
        <v>4</v>
      </c>
      <c r="H144" s="18" t="n">
        <f aca="false">ROUND(F144*D144,2)</f>
        <v>2000</v>
      </c>
      <c r="I144" s="18" t="n">
        <f aca="false">ROUND(G144*D144,2)</f>
        <v>2000</v>
      </c>
      <c r="J144" s="19" t="s">
        <v>966</v>
      </c>
    </row>
    <row r="145" customFormat="false" ht="29.25" hidden="false" customHeight="true" outlineLevel="0" collapsed="false">
      <c r="A145" s="23"/>
      <c r="B145" s="23" t="s">
        <v>967</v>
      </c>
      <c r="C145" s="23"/>
      <c r="D145" s="23"/>
      <c r="E145" s="23"/>
      <c r="F145" s="23"/>
      <c r="G145" s="23"/>
      <c r="H145" s="35" t="n">
        <f aca="false">H112+H113+H114+H115+H116+H117+H118+H119+H120+H121+H122+H123+H124</f>
        <v>259375</v>
      </c>
      <c r="I145" s="35" t="n">
        <f aca="false">I112+I113+I114+I115+I116+I117+I118+I119+I120+I121+I122+I123+I124</f>
        <v>252175</v>
      </c>
      <c r="J145" s="19" t="s">
        <v>968</v>
      </c>
    </row>
    <row r="146" customFormat="false" ht="29.25" hidden="false" customHeight="true" outlineLevel="0" collapsed="false">
      <c r="A146" s="23"/>
      <c r="B146" s="23" t="s">
        <v>969</v>
      </c>
      <c r="C146" s="23"/>
      <c r="D146" s="23"/>
      <c r="E146" s="23"/>
      <c r="F146" s="23"/>
      <c r="G146" s="23"/>
      <c r="H146" s="35" t="n">
        <f aca="false">H125+H127+H128+H129+H130+H131+H132+H133+H134+H135</f>
        <v>267930</v>
      </c>
      <c r="I146" s="35" t="n">
        <f aca="false">I125+I127+I128+I129+I130+I131+I132+I133+I134+I135</f>
        <v>238230</v>
      </c>
      <c r="J146" s="19" t="s">
        <v>970</v>
      </c>
    </row>
    <row r="147" customFormat="false" ht="29.25" hidden="false" customHeight="true" outlineLevel="0" collapsed="false">
      <c r="A147" s="23"/>
      <c r="B147" s="23" t="s">
        <v>971</v>
      </c>
      <c r="C147" s="23"/>
      <c r="D147" s="23"/>
      <c r="E147" s="23"/>
      <c r="F147" s="23"/>
      <c r="G147" s="23"/>
      <c r="H147" s="35" t="n">
        <f aca="false">H136+H137+H138+H139+H140+H141+H142+H143+H144</f>
        <v>78418</v>
      </c>
      <c r="I147" s="35" t="n">
        <f aca="false">I136+I137+I138+I139+I140+I141+I142+I143+I144</f>
        <v>58106</v>
      </c>
      <c r="J147" s="19" t="s">
        <v>972</v>
      </c>
    </row>
    <row r="148" customFormat="false" ht="19.5" hidden="false" customHeight="true" outlineLevel="0" collapsed="false">
      <c r="A148" s="23"/>
      <c r="B148" s="23" t="s">
        <v>973</v>
      </c>
      <c r="C148" s="23"/>
      <c r="D148" s="23"/>
      <c r="E148" s="23"/>
      <c r="F148" s="23"/>
      <c r="G148" s="23"/>
      <c r="H148" s="35" t="n">
        <f aca="false">SUM(H112:H144)</f>
        <v>605723</v>
      </c>
      <c r="I148" s="35" t="n">
        <f aca="false">SUM(I112:I144)</f>
        <v>548511</v>
      </c>
      <c r="J148" s="19" t="s">
        <v>974</v>
      </c>
    </row>
    <row r="149" customFormat="false" ht="54.75" hidden="false" customHeight="true" outlineLevel="0" collapsed="false">
      <c r="A149" s="23"/>
      <c r="B149" s="23" t="s">
        <v>975</v>
      </c>
      <c r="C149" s="23"/>
      <c r="D149" s="23"/>
      <c r="E149" s="23"/>
      <c r="F149" s="23"/>
      <c r="G149" s="23"/>
      <c r="H149" s="35" t="n">
        <f aca="false">ROUND((Assessment!$K$19-I148+H148)*1.05,2)</f>
        <v>7016780.99</v>
      </c>
      <c r="I149" s="35" t="n">
        <f aca="false">Assessment!$K$21</f>
        <v>6956708.39</v>
      </c>
      <c r="J149" s="19" t="s">
        <v>976</v>
      </c>
    </row>
    <row r="150" customFormat="false" ht="19.5" hidden="false" customHeight="true" outlineLevel="0" collapsed="false">
      <c r="A150" s="23"/>
      <c r="B150" s="23" t="s">
        <v>977</v>
      </c>
      <c r="C150" s="23"/>
      <c r="D150" s="23"/>
      <c r="E150" s="23"/>
      <c r="F150" s="23"/>
      <c r="G150" s="23"/>
      <c r="H150" s="23"/>
      <c r="I150" s="23"/>
      <c r="J150" s="23"/>
    </row>
    <row r="151" customFormat="false" ht="42" hidden="false" customHeight="true" outlineLevel="0" collapsed="false">
      <c r="A151" s="16" t="s">
        <v>978</v>
      </c>
      <c r="B151" s="17" t="s">
        <v>979</v>
      </c>
      <c r="C151" s="16" t="s">
        <v>263</v>
      </c>
      <c r="D151" s="18" t="n">
        <f aca="false">'Build-Up'!E83</f>
        <v>3000</v>
      </c>
      <c r="E151" s="18" t="s">
        <v>742</v>
      </c>
      <c r="F151" s="18" t="s">
        <v>742</v>
      </c>
      <c r="G151" s="18" t="n">
        <f aca="false">ROUND(G77/26,1)</f>
        <v>3.5</v>
      </c>
      <c r="H151" s="18" t="s">
        <v>742</v>
      </c>
      <c r="I151" s="18" t="n">
        <f aca="false">ROUND(G151*D151,2)</f>
        <v>10500</v>
      </c>
      <c r="J151" s="19" t="s">
        <v>980</v>
      </c>
    </row>
    <row r="152" customFormat="false" ht="42" hidden="false" customHeight="true" outlineLevel="0" collapsed="false">
      <c r="A152" s="16" t="s">
        <v>981</v>
      </c>
      <c r="B152" s="17" t="s">
        <v>982</v>
      </c>
      <c r="C152" s="16" t="s">
        <v>163</v>
      </c>
      <c r="D152" s="18" t="n">
        <f aca="false">'Build-Up'!E75</f>
        <v>900</v>
      </c>
      <c r="E152" s="18" t="s">
        <v>742</v>
      </c>
      <c r="F152" s="18" t="s">
        <v>742</v>
      </c>
      <c r="G152" s="18" t="n">
        <v>11</v>
      </c>
      <c r="H152" s="18" t="s">
        <v>742</v>
      </c>
      <c r="I152" s="18" t="n">
        <f aca="false">ROUND(G152*D152,2)</f>
        <v>9900</v>
      </c>
      <c r="J152" s="19" t="s">
        <v>983</v>
      </c>
    </row>
    <row r="154" customFormat="false" ht="21" hidden="false" customHeight="true" outlineLevel="0" collapsed="false">
      <c r="A154" s="15" t="s">
        <v>984</v>
      </c>
      <c r="B154" s="15"/>
      <c r="C154" s="15"/>
      <c r="D154" s="15"/>
      <c r="E154" s="15"/>
      <c r="F154" s="15"/>
      <c r="G154" s="15"/>
      <c r="H154" s="15"/>
      <c r="I154" s="15"/>
      <c r="J154" s="15"/>
    </row>
    <row r="155" customFormat="false" ht="60" hidden="false" customHeight="true" outlineLevel="0" collapsed="false">
      <c r="A155" s="11" t="s">
        <v>985</v>
      </c>
      <c r="B155" s="11"/>
      <c r="C155" s="11"/>
      <c r="D155" s="11"/>
      <c r="E155" s="11"/>
      <c r="F155" s="11"/>
      <c r="G155" s="11"/>
      <c r="H155" s="11"/>
      <c r="I155" s="11"/>
      <c r="J155" s="11"/>
    </row>
    <row r="156" customFormat="false" ht="31.5" hidden="false" customHeight="true" outlineLevel="0" collapsed="false">
      <c r="A156" s="13" t="s">
        <v>92</v>
      </c>
      <c r="B156" s="13" t="s">
        <v>986</v>
      </c>
      <c r="C156" s="13" t="s">
        <v>987</v>
      </c>
      <c r="D156" s="13"/>
      <c r="E156" s="13" t="s">
        <v>988</v>
      </c>
      <c r="F156" s="13"/>
      <c r="G156" s="13" t="s">
        <v>989</v>
      </c>
      <c r="H156" s="13"/>
      <c r="I156" s="13" t="s">
        <v>990</v>
      </c>
      <c r="J156" s="13" t="s">
        <v>439</v>
      </c>
    </row>
    <row r="157" customFormat="false" ht="54.75" hidden="false" customHeight="true" outlineLevel="0" collapsed="false">
      <c r="A157" s="16" t="s">
        <v>94</v>
      </c>
      <c r="B157" s="17" t="str">
        <f aca="false">'Build-Up'!B9</f>
        <v>Site engineer - dedicated to the tank site</v>
      </c>
      <c r="C157" s="19" t="s">
        <v>991</v>
      </c>
      <c r="D157" s="19"/>
      <c r="E157" s="19" t="s">
        <v>992</v>
      </c>
      <c r="F157" s="19"/>
      <c r="G157" s="19" t="s">
        <v>993</v>
      </c>
      <c r="H157" s="19"/>
      <c r="I157" s="19" t="s">
        <v>994</v>
      </c>
      <c r="J157" s="18" t="n">
        <f aca="false">'Build-Up'!F9</f>
        <v>49200</v>
      </c>
    </row>
    <row r="158" customFormat="false" ht="42" hidden="false" customHeight="true" outlineLevel="0" collapsed="false">
      <c r="A158" s="16" t="s">
        <v>98</v>
      </c>
      <c r="B158" s="17" t="str">
        <f aca="false">'Build-Up'!B10</f>
        <v>HSE officer - dedicated</v>
      </c>
      <c r="C158" s="19" t="s">
        <v>995</v>
      </c>
      <c r="D158" s="19"/>
      <c r="E158" s="19" t="s">
        <v>996</v>
      </c>
      <c r="F158" s="19"/>
      <c r="G158" s="19" t="s">
        <v>993</v>
      </c>
      <c r="H158" s="19"/>
      <c r="I158" s="19" t="s">
        <v>72</v>
      </c>
      <c r="J158" s="18" t="n">
        <f aca="false">'Build-Up'!F10</f>
        <v>41000</v>
      </c>
    </row>
    <row r="159" customFormat="false" ht="42" hidden="false" customHeight="true" outlineLevel="0" collapsed="false">
      <c r="A159" s="16" t="s">
        <v>101</v>
      </c>
      <c r="B159" s="17" t="str">
        <f aca="false">'Build-Up'!B11</f>
        <v>QA/QC inspector - dedicated (daily inspections, ITPs and WIRs during erection)</v>
      </c>
      <c r="C159" s="19" t="s">
        <v>997</v>
      </c>
      <c r="D159" s="19"/>
      <c r="E159" s="19" t="s">
        <v>998</v>
      </c>
      <c r="F159" s="19"/>
      <c r="G159" s="19" t="s">
        <v>999</v>
      </c>
      <c r="H159" s="19"/>
      <c r="I159" s="19" t="s">
        <v>72</v>
      </c>
      <c r="J159" s="18" t="n">
        <f aca="false">'Build-Up'!F11</f>
        <v>37000</v>
      </c>
    </row>
    <row r="160" customFormat="false" ht="42" hidden="false" customHeight="true" outlineLevel="0" collapsed="false">
      <c r="A160" s="16" t="s">
        <v>104</v>
      </c>
      <c r="B160" s="17" t="str">
        <f aca="false">'Build-Up'!B12</f>
        <v>Works foreman - dedicated</v>
      </c>
      <c r="C160" s="19" t="s">
        <v>1000</v>
      </c>
      <c r="D160" s="19"/>
      <c r="E160" s="19" t="s">
        <v>1001</v>
      </c>
      <c r="F160" s="19"/>
      <c r="G160" s="19" t="s">
        <v>993</v>
      </c>
      <c r="H160" s="19"/>
      <c r="I160" s="19" t="s">
        <v>1002</v>
      </c>
      <c r="J160" s="18" t="n">
        <f aca="false">'Build-Up'!F12</f>
        <v>32800</v>
      </c>
    </row>
    <row r="161" customFormat="false" ht="30" hidden="false" customHeight="true" outlineLevel="0" collapsed="false">
      <c r="A161" s="16" t="s">
        <v>107</v>
      </c>
      <c r="B161" s="17" t="str">
        <f aca="false">'Build-Up'!B13</f>
        <v>Storekeeper / timekeeper</v>
      </c>
      <c r="C161" s="19" t="s">
        <v>1003</v>
      </c>
      <c r="D161" s="19"/>
      <c r="E161" s="19" t="s">
        <v>1004</v>
      </c>
      <c r="F161" s="19"/>
      <c r="G161" s="19" t="s">
        <v>1005</v>
      </c>
      <c r="H161" s="19"/>
      <c r="I161" s="19" t="s">
        <v>72</v>
      </c>
      <c r="J161" s="18" t="n">
        <f aca="false">'Build-Up'!F13</f>
        <v>13200</v>
      </c>
    </row>
    <row r="162" customFormat="false" ht="42" hidden="false" customHeight="true" outlineLevel="0" collapsed="false">
      <c r="A162" s="16" t="s">
        <v>110</v>
      </c>
      <c r="B162" s="17" t="str">
        <f aca="false">'Build-Up'!B14</f>
        <v>Site office porta cabin, air-conditioned, rental with electricity connection and maintenance</v>
      </c>
      <c r="C162" s="19" t="s">
        <v>1006</v>
      </c>
      <c r="D162" s="19"/>
      <c r="E162" s="19" t="s">
        <v>1007</v>
      </c>
      <c r="F162" s="19"/>
      <c r="G162" s="19" t="s">
        <v>1008</v>
      </c>
      <c r="H162" s="19"/>
      <c r="I162" s="19" t="s">
        <v>72</v>
      </c>
      <c r="J162" s="18" t="n">
        <f aca="false">'Build-Up'!F14</f>
        <v>9020</v>
      </c>
    </row>
    <row r="163" customFormat="false" ht="42" hidden="false" customHeight="true" outlineLevel="0" collapsed="false">
      <c r="A163" s="16" t="s">
        <v>113</v>
      </c>
      <c r="B163" s="17" t="str">
        <f aca="false">'Build-Up'!B15</f>
        <v>Rest and welfare porta cabin, air-conditioned, rental with electricity connection and maintenance</v>
      </c>
      <c r="C163" s="19" t="s">
        <v>1006</v>
      </c>
      <c r="D163" s="19"/>
      <c r="E163" s="19" t="s">
        <v>1009</v>
      </c>
      <c r="F163" s="19"/>
      <c r="G163" s="19" t="s">
        <v>1008</v>
      </c>
      <c r="H163" s="19"/>
      <c r="I163" s="19" t="s">
        <v>72</v>
      </c>
      <c r="J163" s="18" t="n">
        <f aca="false">'Build-Up'!F15</f>
        <v>9020</v>
      </c>
    </row>
    <row r="164" customFormat="false" ht="42" hidden="false" customHeight="true" outlineLevel="0" collapsed="false">
      <c r="A164" s="16" t="s">
        <v>115</v>
      </c>
      <c r="B164" s="17" t="str">
        <f aca="false">'Build-Up'!B16</f>
        <v>WC unit, rental with servicing</v>
      </c>
      <c r="C164" s="19" t="s">
        <v>1006</v>
      </c>
      <c r="D164" s="19"/>
      <c r="E164" s="19" t="s">
        <v>1010</v>
      </c>
      <c r="F164" s="19"/>
      <c r="G164" s="19" t="s">
        <v>1011</v>
      </c>
      <c r="H164" s="19"/>
      <c r="I164" s="19" t="s">
        <v>72</v>
      </c>
      <c r="J164" s="18" t="n">
        <f aca="false">'Build-Up'!F16</f>
        <v>5330</v>
      </c>
    </row>
    <row r="165" customFormat="false" ht="42" hidden="false" customHeight="true" outlineLevel="0" collapsed="false">
      <c r="A165" s="16" t="s">
        <v>117</v>
      </c>
      <c r="B165" s="17" t="str">
        <f aca="false">'Build-Up'!B17</f>
        <v>Site water supply - tankered deliveries for welfare and general site use, whole period</v>
      </c>
      <c r="C165" s="19" t="s">
        <v>1006</v>
      </c>
      <c r="D165" s="19"/>
      <c r="E165" s="19" t="s">
        <v>1012</v>
      </c>
      <c r="F165" s="19"/>
      <c r="G165" s="19" t="s">
        <v>1013</v>
      </c>
      <c r="H165" s="19"/>
      <c r="I165" s="19" t="s">
        <v>1014</v>
      </c>
      <c r="J165" s="18" t="n">
        <f aca="false">'Build-Up'!F17</f>
        <v>12600</v>
      </c>
    </row>
    <row r="166" customFormat="false" ht="42" hidden="false" customHeight="true" outlineLevel="0" collapsed="false">
      <c r="A166" s="16" t="s">
        <v>121</v>
      </c>
      <c r="B166" s="17" t="str">
        <f aca="false">'Build-Up'!B18</f>
        <v>Site water storage tank, hire</v>
      </c>
      <c r="C166" s="19" t="s">
        <v>1006</v>
      </c>
      <c r="D166" s="19"/>
      <c r="E166" s="19" t="s">
        <v>1015</v>
      </c>
      <c r="F166" s="19"/>
      <c r="G166" s="19" t="s">
        <v>1008</v>
      </c>
      <c r="H166" s="19"/>
      <c r="I166" s="19" t="s">
        <v>72</v>
      </c>
      <c r="J166" s="18" t="n">
        <f aca="false">'Build-Up'!F18</f>
        <v>1435</v>
      </c>
    </row>
    <row r="167" customFormat="false" ht="67.5" hidden="false" customHeight="true" outlineLevel="0" collapsed="false">
      <c r="A167" s="16" t="s">
        <v>123</v>
      </c>
      <c r="B167" s="17" t="str">
        <f aca="false">'Build-Up'!B19</f>
        <v>Storage containers, 2 No. for the panel storage window (RFP Scope of Works, work package 1 - pre-construction and setup: safe storage of panels)</v>
      </c>
      <c r="C167" s="19" t="s">
        <v>1016</v>
      </c>
      <c r="D167" s="19"/>
      <c r="E167" s="19" t="s">
        <v>1017</v>
      </c>
      <c r="F167" s="19"/>
      <c r="G167" s="19" t="s">
        <v>1018</v>
      </c>
      <c r="H167" s="19"/>
      <c r="I167" s="19" t="s">
        <v>1019</v>
      </c>
      <c r="J167" s="18" t="n">
        <f aca="false">'Build-Up'!F19</f>
        <v>6720</v>
      </c>
    </row>
    <row r="168" customFormat="false" ht="42" hidden="false" customHeight="true" outlineLevel="0" collapsed="false">
      <c r="A168" s="16" t="s">
        <v>127</v>
      </c>
      <c r="B168" s="17" t="str">
        <f aca="false">'Build-Up'!B20</f>
        <v>Workforce transport to the tank site, daily bus</v>
      </c>
      <c r="C168" s="19" t="s">
        <v>1006</v>
      </c>
      <c r="D168" s="19"/>
      <c r="E168" s="19" t="s">
        <v>1020</v>
      </c>
      <c r="F168" s="19"/>
      <c r="G168" s="19" t="s">
        <v>1021</v>
      </c>
      <c r="H168" s="19"/>
      <c r="I168" s="19" t="s">
        <v>72</v>
      </c>
      <c r="J168" s="18" t="n">
        <f aca="false">'Build-Up'!F20</f>
        <v>16400</v>
      </c>
    </row>
    <row r="169" customFormat="false" ht="42" hidden="false" customHeight="true" outlineLevel="0" collapsed="false">
      <c r="A169" s="16" t="s">
        <v>130</v>
      </c>
      <c r="B169" s="17" t="str">
        <f aca="false">'Build-Up'!B21</f>
        <v>Watchman for the tank site</v>
      </c>
      <c r="C169" s="19" t="s">
        <v>1006</v>
      </c>
      <c r="D169" s="19"/>
      <c r="E169" s="19" t="s">
        <v>1022</v>
      </c>
      <c r="F169" s="19"/>
      <c r="G169" s="19" t="s">
        <v>1023</v>
      </c>
      <c r="H169" s="19"/>
      <c r="I169" s="19" t="s">
        <v>72</v>
      </c>
      <c r="J169" s="18" t="n">
        <f aca="false">'Build-Up'!F21</f>
        <v>18450</v>
      </c>
    </row>
    <row r="170" customFormat="false" ht="93" hidden="false" customHeight="true" outlineLevel="0" collapsed="false">
      <c r="A170" s="16" t="s">
        <v>133</v>
      </c>
      <c r="B170" s="17" t="str">
        <f aca="false">'Build-Up'!B22</f>
        <v>Mobilisation - flatbed trips delivering cabins, containers and small plant</v>
      </c>
      <c r="C170" s="19" t="s">
        <v>1024</v>
      </c>
      <c r="D170" s="19"/>
      <c r="E170" s="19" t="s">
        <v>1025</v>
      </c>
      <c r="F170" s="19"/>
      <c r="G170" s="19" t="s">
        <v>1026</v>
      </c>
      <c r="H170" s="19"/>
      <c r="I170" s="19" t="s">
        <v>1027</v>
      </c>
      <c r="J170" s="18" t="n">
        <f aca="false">'Build-Up'!F22</f>
        <v>6250</v>
      </c>
    </row>
    <row r="171" customFormat="false" ht="30" hidden="false" customHeight="true" outlineLevel="0" collapsed="false">
      <c r="A171" s="16" t="s">
        <v>137</v>
      </c>
      <c r="B171" s="17" t="str">
        <f aca="false">'Build-Up'!B23</f>
        <v>Demobilisation - flatbed trips removing cabins, containers and small plant</v>
      </c>
      <c r="C171" s="19" t="s">
        <v>1028</v>
      </c>
      <c r="D171" s="19"/>
      <c r="E171" s="19" t="s">
        <v>1029</v>
      </c>
      <c r="F171" s="19"/>
      <c r="G171" s="19" t="s">
        <v>1026</v>
      </c>
      <c r="H171" s="19"/>
      <c r="I171" s="19" t="s">
        <v>72</v>
      </c>
      <c r="J171" s="18" t="n">
        <f aca="false">'Build-Up'!F23</f>
        <v>6250</v>
      </c>
    </row>
    <row r="172" customFormat="false" ht="54.75" hidden="false" customHeight="true" outlineLevel="0" collapsed="false">
      <c r="A172" s="16" t="s">
        <v>140</v>
      </c>
      <c r="B172" s="17" t="str">
        <f aca="false">'Build-Up'!B24</f>
        <v>Site clean-up on demobilisation, 4 No. x 3 days</v>
      </c>
      <c r="C172" s="19" t="s">
        <v>1030</v>
      </c>
      <c r="D172" s="19"/>
      <c r="E172" s="19" t="s">
        <v>1031</v>
      </c>
      <c r="F172" s="19"/>
      <c r="G172" s="19" t="s">
        <v>1032</v>
      </c>
      <c r="H172" s="19"/>
      <c r="I172" s="19" t="s">
        <v>1033</v>
      </c>
      <c r="J172" s="18" t="n">
        <f aca="false">'Build-Up'!F24</f>
        <v>1800</v>
      </c>
    </row>
    <row r="173" customFormat="false" ht="31.5" hidden="false" customHeight="true" outlineLevel="0" collapsed="false">
      <c r="A173" s="13" t="s">
        <v>92</v>
      </c>
      <c r="B173" s="13" t="s">
        <v>986</v>
      </c>
      <c r="C173" s="13" t="s">
        <v>987</v>
      </c>
      <c r="D173" s="13"/>
      <c r="E173" s="13" t="s">
        <v>988</v>
      </c>
      <c r="F173" s="13"/>
      <c r="G173" s="13" t="s">
        <v>989</v>
      </c>
      <c r="H173" s="13"/>
      <c r="I173" s="13" t="s">
        <v>990</v>
      </c>
      <c r="J173" s="13" t="s">
        <v>439</v>
      </c>
    </row>
    <row r="174" customFormat="false" ht="54.75" hidden="false" customHeight="true" outlineLevel="0" collapsed="false">
      <c r="A174" s="16" t="s">
        <v>144</v>
      </c>
      <c r="B174" s="17" t="str">
        <f aca="false">'Build-Up'!B25</f>
        <v>Insurance endorsement - extension of the Contractor's All Risks and third-party liability cover to the tank site</v>
      </c>
      <c r="C174" s="19" t="s">
        <v>1034</v>
      </c>
      <c r="D174" s="19"/>
      <c r="E174" s="19" t="s">
        <v>1035</v>
      </c>
      <c r="F174" s="19"/>
      <c r="G174" s="19" t="s">
        <v>1036</v>
      </c>
      <c r="H174" s="19"/>
      <c r="I174" s="19" t="s">
        <v>72</v>
      </c>
      <c r="J174" s="18" t="n">
        <f aca="false">'Build-Up'!F25</f>
        <v>13000</v>
      </c>
    </row>
    <row r="175" customFormat="false" ht="42" hidden="false" customHeight="true" outlineLevel="0" collapsed="false">
      <c r="A175" s="16" t="s">
        <v>148</v>
      </c>
      <c r="B175" s="17" t="str">
        <f aca="false">'Build-Up'!B26</f>
        <v>Personal protective equipment, full sets</v>
      </c>
      <c r="C175" s="19" t="s">
        <v>1037</v>
      </c>
      <c r="D175" s="19"/>
      <c r="E175" s="19" t="s">
        <v>1038</v>
      </c>
      <c r="F175" s="19"/>
      <c r="G175" s="19" t="s">
        <v>1039</v>
      </c>
      <c r="H175" s="19"/>
      <c r="I175" s="19" t="s">
        <v>1040</v>
      </c>
      <c r="J175" s="18" t="n">
        <f aca="false">'Build-Up'!F26</f>
        <v>7000</v>
      </c>
    </row>
    <row r="176" customFormat="false" ht="42" hidden="false" customHeight="true" outlineLevel="0" collapsed="false">
      <c r="A176" s="16" t="s">
        <v>151</v>
      </c>
      <c r="B176" s="17" t="str">
        <f aca="false">'Build-Up'!B27</f>
        <v>Site safety signage and notice boards</v>
      </c>
      <c r="C176" s="19" t="s">
        <v>1041</v>
      </c>
      <c r="D176" s="19"/>
      <c r="E176" s="19" t="s">
        <v>1042</v>
      </c>
      <c r="F176" s="19"/>
      <c r="G176" s="19" t="s">
        <v>1043</v>
      </c>
      <c r="H176" s="19"/>
      <c r="I176" s="19" t="s">
        <v>72</v>
      </c>
      <c r="J176" s="18" t="n">
        <f aca="false">'Build-Up'!F27</f>
        <v>1800</v>
      </c>
    </row>
    <row r="177" customFormat="false" ht="30" hidden="false" customHeight="true" outlineLevel="0" collapsed="false">
      <c r="A177" s="16" t="s">
        <v>154</v>
      </c>
      <c r="B177" s="17" t="str">
        <f aca="false">'Build-Up'!B28</f>
        <v>Work-zone traffic signs up to 0.5 m2, supplied, installed, maintained and removed</v>
      </c>
      <c r="C177" s="19" t="s">
        <v>1044</v>
      </c>
      <c r="D177" s="19"/>
      <c r="E177" s="19" t="s">
        <v>1045</v>
      </c>
      <c r="F177" s="19"/>
      <c r="G177" s="19" t="s">
        <v>1046</v>
      </c>
      <c r="H177" s="19"/>
      <c r="I177" s="19" t="s">
        <v>72</v>
      </c>
      <c r="J177" s="18" t="n">
        <f aca="false">'Build-Up'!F28</f>
        <v>17755.56</v>
      </c>
    </row>
    <row r="178" customFormat="false" ht="30" hidden="false" customHeight="true" outlineLevel="0" collapsed="false">
      <c r="A178" s="16" t="s">
        <v>157</v>
      </c>
      <c r="B178" s="17" t="str">
        <f aca="false">'Build-Up'!B29</f>
        <v>Concrete Jersey barriers - temporary hire for the works period, delivered, placed and removed</v>
      </c>
      <c r="C178" s="19" t="s">
        <v>1047</v>
      </c>
      <c r="D178" s="19"/>
      <c r="E178" s="19" t="s">
        <v>1048</v>
      </c>
      <c r="F178" s="19"/>
      <c r="G178" s="19" t="s">
        <v>1049</v>
      </c>
      <c r="H178" s="19"/>
      <c r="I178" s="19" t="s">
        <v>72</v>
      </c>
      <c r="J178" s="18" t="n">
        <f aca="false">'Build-Up'!F29</f>
        <v>10000</v>
      </c>
    </row>
    <row r="179" customFormat="false" ht="67.5" hidden="false" customHeight="true" outlineLevel="0" collapsed="false">
      <c r="A179" s="16" t="s">
        <v>161</v>
      </c>
      <c r="B179" s="17" t="str">
        <f aca="false">'Build-Up'!B30</f>
        <v>Close-out at the tank site after demobilisation - completion inspection, correction list and warranties collation - site engineer</v>
      </c>
      <c r="C179" s="19" t="s">
        <v>1050</v>
      </c>
      <c r="D179" s="19"/>
      <c r="E179" s="19" t="s">
        <v>1051</v>
      </c>
      <c r="F179" s="19"/>
      <c r="G179" s="19" t="s">
        <v>1052</v>
      </c>
      <c r="H179" s="19"/>
      <c r="I179" s="19" t="s">
        <v>1053</v>
      </c>
      <c r="J179" s="18" t="n">
        <f aca="false">'Build-Up'!F30</f>
        <v>1650</v>
      </c>
    </row>
    <row r="180" customFormat="false" ht="54.75" hidden="false" customHeight="true" outlineLevel="0" collapsed="false">
      <c r="A180" s="16" t="s">
        <v>165</v>
      </c>
      <c r="B180" s="17" t="str">
        <f aca="false">'Build-Up'!B31</f>
        <v>Close-out at the tank site - document controller</v>
      </c>
      <c r="C180" s="19" t="s">
        <v>1054</v>
      </c>
      <c r="D180" s="19"/>
      <c r="E180" s="19" t="s">
        <v>1055</v>
      </c>
      <c r="F180" s="19"/>
      <c r="G180" s="19" t="s">
        <v>1056</v>
      </c>
      <c r="H180" s="19"/>
      <c r="I180" s="19" t="s">
        <v>1057</v>
      </c>
      <c r="J180" s="18" t="n">
        <f aca="false">'Build-Up'!F31</f>
        <v>2000</v>
      </c>
    </row>
    <row r="181" customFormat="false" ht="54.75" hidden="false" customHeight="true" outlineLevel="0" collapsed="false">
      <c r="A181" s="16" t="s">
        <v>170</v>
      </c>
      <c r="B181" s="17" t="str">
        <f aca="false">'Build-Up'!B37</f>
        <v>Design engineer - coordination, review of supplier calculations, method statements, ITPs</v>
      </c>
      <c r="C181" s="19" t="s">
        <v>1058</v>
      </c>
      <c r="D181" s="19"/>
      <c r="E181" s="19" t="s">
        <v>1059</v>
      </c>
      <c r="F181" s="19"/>
      <c r="G181" s="19" t="s">
        <v>1060</v>
      </c>
      <c r="H181" s="19"/>
      <c r="I181" s="19" t="s">
        <v>1061</v>
      </c>
      <c r="J181" s="18" t="n">
        <f aca="false">'Build-Up'!F37</f>
        <v>30000</v>
      </c>
    </row>
    <row r="182" customFormat="false" ht="54.75" hidden="false" customHeight="true" outlineLevel="0" collapsed="false">
      <c r="A182" s="16" t="s">
        <v>173</v>
      </c>
      <c r="B182" s="17" t="str">
        <f aca="false">'Build-Up'!B38</f>
        <v>CAD draughtsman - shop drawings and design-stage submittals</v>
      </c>
      <c r="C182" s="19" t="s">
        <v>1062</v>
      </c>
      <c r="D182" s="19"/>
      <c r="E182" s="19" t="s">
        <v>1063</v>
      </c>
      <c r="F182" s="19"/>
      <c r="G182" s="19" t="s">
        <v>1064</v>
      </c>
      <c r="H182" s="19"/>
      <c r="I182" s="19" t="s">
        <v>1065</v>
      </c>
      <c r="J182" s="18" t="n">
        <f aca="false">'Build-Up'!F38</f>
        <v>12000</v>
      </c>
    </row>
    <row r="183" customFormat="false" ht="67.5" hidden="false" customHeight="true" outlineLevel="0" collapsed="false">
      <c r="A183" s="16" t="s">
        <v>176</v>
      </c>
      <c r="B183" s="17" t="str">
        <f aca="false">'Build-Up'!B39</f>
        <v>Dimensional and verticality survey of the erected tanks and as-built pick-up - 2-man crew with instrument</v>
      </c>
      <c r="C183" s="19" t="s">
        <v>1066</v>
      </c>
      <c r="D183" s="19"/>
      <c r="E183" s="19" t="s">
        <v>1067</v>
      </c>
      <c r="F183" s="19"/>
      <c r="G183" s="19" t="s">
        <v>1068</v>
      </c>
      <c r="H183" s="19"/>
      <c r="I183" s="19" t="s">
        <v>72</v>
      </c>
      <c r="J183" s="18" t="n">
        <f aca="false">'Build-Up'!F39</f>
        <v>9000</v>
      </c>
    </row>
    <row r="184" customFormat="false" ht="54.75" hidden="false" customHeight="true" outlineLevel="0" collapsed="false">
      <c r="A184" s="16" t="s">
        <v>180</v>
      </c>
      <c r="B184" s="17" t="str">
        <f aca="false">'Build-Up'!B40</f>
        <v>Submittal administration - document controller</v>
      </c>
      <c r="C184" s="19" t="s">
        <v>1069</v>
      </c>
      <c r="D184" s="19"/>
      <c r="E184" s="19" t="s">
        <v>1070</v>
      </c>
      <c r="F184" s="19"/>
      <c r="G184" s="19" t="s">
        <v>1071</v>
      </c>
      <c r="H184" s="19"/>
      <c r="I184" s="19" t="s">
        <v>72</v>
      </c>
      <c r="J184" s="18" t="n">
        <f aca="false">'Build-Up'!F40</f>
        <v>4000</v>
      </c>
    </row>
    <row r="185" customFormat="false" ht="118.5" hidden="false" customHeight="true" outlineLevel="0" collapsed="false">
      <c r="A185" s="16" t="s">
        <v>186</v>
      </c>
      <c r="B185" s="17" t="str">
        <f aca="false">'Build-Up'!B46</f>
        <v>Adopted: Al Mousa Trading Co. quotation S04647 dated 10-Aug-2026 - existing tank dismantling, 1 No.</v>
      </c>
      <c r="C185" s="19" t="s">
        <v>1072</v>
      </c>
      <c r="D185" s="19"/>
      <c r="E185" s="19" t="s">
        <v>1073</v>
      </c>
      <c r="F185" s="19"/>
      <c r="G185" s="19" t="s">
        <v>1074</v>
      </c>
      <c r="H185" s="19"/>
      <c r="I185" s="19" t="s">
        <v>1075</v>
      </c>
      <c r="J185" s="18" t="n">
        <f aca="false">'Build-Up'!F46</f>
        <v>71000</v>
      </c>
    </row>
    <row r="186" customFormat="false" ht="30" hidden="false" customHeight="true" outlineLevel="0" collapsed="false">
      <c r="A186" s="16" t="s">
        <v>1076</v>
      </c>
      <c r="B186" s="17" t="s">
        <v>192</v>
      </c>
      <c r="C186" s="19" t="s">
        <v>1077</v>
      </c>
      <c r="D186" s="19"/>
      <c r="E186" s="19" t="s">
        <v>1078</v>
      </c>
      <c r="F186" s="19"/>
      <c r="G186" s="19" t="s">
        <v>1078</v>
      </c>
      <c r="H186" s="19"/>
      <c r="I186" s="19" t="s">
        <v>1078</v>
      </c>
      <c r="J186" s="18" t="s">
        <v>742</v>
      </c>
    </row>
    <row r="187" customFormat="false" ht="54.75" hidden="false" customHeight="true" outlineLevel="0" collapsed="false">
      <c r="A187" s="16" t="s">
        <v>225</v>
      </c>
      <c r="B187" s="17" t="str">
        <f aca="false">'Build-Up'!B68</f>
        <v>Haulage of dismantled materials to the Employer's local handover location</v>
      </c>
      <c r="C187" s="19" t="s">
        <v>1079</v>
      </c>
      <c r="D187" s="19"/>
      <c r="E187" s="19" t="s">
        <v>1080</v>
      </c>
      <c r="F187" s="19"/>
      <c r="G187" s="19" t="s">
        <v>1081</v>
      </c>
      <c r="H187" s="19"/>
      <c r="I187" s="19" t="s">
        <v>1082</v>
      </c>
      <c r="J187" s="18" t="n">
        <f aca="false">'Build-Up'!F68</f>
        <v>6300</v>
      </c>
    </row>
    <row r="188" customFormat="false" ht="67.5" hidden="false" customHeight="true" outlineLevel="0" collapsed="false">
      <c r="A188" s="16" t="s">
        <v>232</v>
      </c>
      <c r="B188" s="17" t="str">
        <f aca="false">'Build-Up'!B74</f>
        <v>Boom truck (hiab) - offloading and erection support</v>
      </c>
      <c r="C188" s="19" t="s">
        <v>1083</v>
      </c>
      <c r="D188" s="19"/>
      <c r="E188" s="19" t="s">
        <v>1084</v>
      </c>
      <c r="F188" s="19"/>
      <c r="G188" s="19" t="s">
        <v>1085</v>
      </c>
      <c r="H188" s="19"/>
      <c r="I188" s="19" t="s">
        <v>1086</v>
      </c>
      <c r="J188" s="18" t="n">
        <f aca="false">'Build-Up'!F74</f>
        <v>40800</v>
      </c>
    </row>
    <row r="189" customFormat="false" ht="67.5" hidden="false" customHeight="true" outlineLevel="0" collapsed="false">
      <c r="A189" s="16" t="s">
        <v>235</v>
      </c>
      <c r="B189" s="17" t="str">
        <f aca="false">'Build-Up'!B75</f>
        <v>Telehandler / forklift</v>
      </c>
      <c r="C189" s="19" t="s">
        <v>1087</v>
      </c>
      <c r="D189" s="19"/>
      <c r="E189" s="19" t="s">
        <v>1088</v>
      </c>
      <c r="F189" s="19"/>
      <c r="G189" s="19" t="s">
        <v>1089</v>
      </c>
      <c r="H189" s="19"/>
      <c r="I189" s="19" t="s">
        <v>72</v>
      </c>
      <c r="J189" s="18" t="n">
        <f aca="false">'Build-Up'!F75</f>
        <v>45000</v>
      </c>
    </row>
    <row r="190" customFormat="false" ht="31.5" hidden="false" customHeight="true" outlineLevel="0" collapsed="false">
      <c r="A190" s="13" t="s">
        <v>92</v>
      </c>
      <c r="B190" s="13" t="s">
        <v>986</v>
      </c>
      <c r="C190" s="13" t="s">
        <v>987</v>
      </c>
      <c r="D190" s="13"/>
      <c r="E190" s="13" t="s">
        <v>988</v>
      </c>
      <c r="F190" s="13"/>
      <c r="G190" s="13" t="s">
        <v>989</v>
      </c>
      <c r="H190" s="13"/>
      <c r="I190" s="13" t="s">
        <v>990</v>
      </c>
      <c r="J190" s="13" t="s">
        <v>439</v>
      </c>
    </row>
    <row r="191" customFormat="false" ht="54.75" hidden="false" customHeight="true" outlineLevel="0" collapsed="false">
      <c r="A191" s="16" t="s">
        <v>238</v>
      </c>
      <c r="B191" s="17" t="str">
        <f aca="false">'Build-Up'!B76</f>
        <v>Perimeter scaffolding and edge protection - supply, erect, 3-month hire, dismantle</v>
      </c>
      <c r="C191" s="19" t="s">
        <v>1090</v>
      </c>
      <c r="D191" s="19"/>
      <c r="E191" s="19" t="s">
        <v>1091</v>
      </c>
      <c r="F191" s="19"/>
      <c r="G191" s="19" t="s">
        <v>1092</v>
      </c>
      <c r="H191" s="19"/>
      <c r="I191" s="19" t="s">
        <v>72</v>
      </c>
      <c r="J191" s="18" t="n">
        <f aca="false">'Build-Up'!F76</f>
        <v>56320</v>
      </c>
    </row>
    <row r="192" customFormat="false" ht="30" hidden="false" customHeight="true" outlineLevel="0" collapsed="false">
      <c r="A192" s="16" t="s">
        <v>242</v>
      </c>
      <c r="B192" s="17" t="str">
        <f aca="false">'Build-Up'!B77</f>
        <v>Mobile aluminium access towers, 2 No. for the access window, whole hire months</v>
      </c>
      <c r="C192" s="19" t="s">
        <v>1093</v>
      </c>
      <c r="D192" s="19"/>
      <c r="E192" s="19" t="s">
        <v>1094</v>
      </c>
      <c r="F192" s="19"/>
      <c r="G192" s="19" t="s">
        <v>1095</v>
      </c>
      <c r="H192" s="19"/>
      <c r="I192" s="19" t="s">
        <v>72</v>
      </c>
      <c r="J192" s="18" t="n">
        <f aca="false">'Build-Up'!F77</f>
        <v>7200</v>
      </c>
    </row>
    <row r="193" customFormat="false" ht="42" hidden="false" customHeight="true" outlineLevel="0" collapsed="false">
      <c r="A193" s="16" t="s">
        <v>246</v>
      </c>
      <c r="B193" s="17" t="str">
        <f aca="false">'Build-Up'!B78</f>
        <v>Access-tower relocations and re-inspections</v>
      </c>
      <c r="C193" s="19" t="s">
        <v>1093</v>
      </c>
      <c r="D193" s="19"/>
      <c r="E193" s="19" t="s">
        <v>1096</v>
      </c>
      <c r="F193" s="19"/>
      <c r="G193" s="19" t="s">
        <v>1097</v>
      </c>
      <c r="H193" s="19"/>
      <c r="I193" s="19" t="s">
        <v>72</v>
      </c>
      <c r="J193" s="18" t="n">
        <f aca="false">'Build-Up'!F78</f>
        <v>1600</v>
      </c>
    </row>
    <row r="194" customFormat="false" ht="30" hidden="false" customHeight="true" outlineLevel="0" collapsed="false">
      <c r="A194" s="16" t="s">
        <v>248</v>
      </c>
      <c r="B194" s="17" t="str">
        <f aca="false">'Build-Up'!B79</f>
        <v>Podium steps, 2 No. for the access window, whole hire months</v>
      </c>
      <c r="C194" s="19" t="s">
        <v>1093</v>
      </c>
      <c r="D194" s="19"/>
      <c r="E194" s="19" t="s">
        <v>1098</v>
      </c>
      <c r="F194" s="19"/>
      <c r="G194" s="19" t="s">
        <v>1095</v>
      </c>
      <c r="H194" s="19"/>
      <c r="I194" s="19" t="s">
        <v>72</v>
      </c>
      <c r="J194" s="18" t="n">
        <f aca="false">'Build-Up'!F79</f>
        <v>1400</v>
      </c>
    </row>
    <row r="195" customFormat="false" ht="54.75" hidden="false" customHeight="true" outlineLevel="0" collapsed="false">
      <c r="A195" s="16" t="s">
        <v>252</v>
      </c>
      <c r="B195" s="17" t="str">
        <f aca="false">'Build-Up'!B80</f>
        <v>Generator 100 kVA for the works, daytime running with fuel</v>
      </c>
      <c r="C195" s="19" t="s">
        <v>1099</v>
      </c>
      <c r="D195" s="19"/>
      <c r="E195" s="19" t="s">
        <v>1100</v>
      </c>
      <c r="F195" s="19"/>
      <c r="G195" s="19" t="s">
        <v>1101</v>
      </c>
      <c r="H195" s="19"/>
      <c r="I195" s="19" t="s">
        <v>1102</v>
      </c>
      <c r="J195" s="18" t="n">
        <f aca="false">'Build-Up'!F80</f>
        <v>41800</v>
      </c>
    </row>
    <row r="196" customFormat="false" ht="42" hidden="false" customHeight="true" outlineLevel="0" collapsed="false">
      <c r="A196" s="16" t="s">
        <v>255</v>
      </c>
      <c r="B196" s="17" t="str">
        <f aca="false">'Build-Up'!B81</f>
        <v>Generator 30 kVA for the site office and welfare cabins, continuous running with fuel, whole period</v>
      </c>
      <c r="C196" s="19" t="s">
        <v>1006</v>
      </c>
      <c r="D196" s="19"/>
      <c r="E196" s="19" t="s">
        <v>1103</v>
      </c>
      <c r="F196" s="19"/>
      <c r="G196" s="19" t="s">
        <v>1104</v>
      </c>
      <c r="H196" s="19"/>
      <c r="I196" s="19" t="s">
        <v>72</v>
      </c>
      <c r="J196" s="18" t="n">
        <f aca="false">'Build-Up'!F81</f>
        <v>24600</v>
      </c>
    </row>
    <row r="197" customFormat="false" ht="42" hidden="false" customHeight="true" outlineLevel="0" collapsed="false">
      <c r="A197" s="16" t="s">
        <v>258</v>
      </c>
      <c r="B197" s="17" t="str">
        <f aca="false">'Build-Up'!B82</f>
        <v>Site transport, pick-up / flatbed</v>
      </c>
      <c r="C197" s="19" t="s">
        <v>1006</v>
      </c>
      <c r="D197" s="19"/>
      <c r="E197" s="19" t="s">
        <v>1105</v>
      </c>
      <c r="F197" s="19"/>
      <c r="G197" s="19" t="s">
        <v>1106</v>
      </c>
      <c r="H197" s="19"/>
      <c r="I197" s="19" t="s">
        <v>1107</v>
      </c>
      <c r="J197" s="18" t="n">
        <f aca="false">'Build-Up'!F82</f>
        <v>12300</v>
      </c>
    </row>
    <row r="198" customFormat="false" ht="80.25" hidden="false" customHeight="true" outlineLevel="0" collapsed="false">
      <c r="A198" s="16" t="s">
        <v>261</v>
      </c>
      <c r="B198" s="17" t="str">
        <f aca="false">'Build-Up'!B83</f>
        <v>Contractor's helpers - attendance to the tank supplier, offloading and panel handling, man-months from the resource matrix</v>
      </c>
      <c r="C198" s="19" t="s">
        <v>1108</v>
      </c>
      <c r="D198" s="19"/>
      <c r="E198" s="19" t="s">
        <v>1109</v>
      </c>
      <c r="F198" s="19"/>
      <c r="G198" s="19" t="s">
        <v>1110</v>
      </c>
      <c r="H198" s="19"/>
      <c r="I198" s="19" t="s">
        <v>1111</v>
      </c>
      <c r="J198" s="18" t="n">
        <f aca="false">'Build-Up'!F83</f>
        <v>51900</v>
      </c>
    </row>
    <row r="199" customFormat="false" ht="54.75" hidden="false" customHeight="true" outlineLevel="0" collapsed="false">
      <c r="A199" s="16" t="s">
        <v>265</v>
      </c>
      <c r="B199" s="17" t="str">
        <f aca="false">'Build-Up'!B84</f>
        <v>Power-tool hire</v>
      </c>
      <c r="C199" s="19" t="s">
        <v>1112</v>
      </c>
      <c r="D199" s="19"/>
      <c r="E199" s="19" t="s">
        <v>1113</v>
      </c>
      <c r="F199" s="19"/>
      <c r="G199" s="19" t="s">
        <v>1114</v>
      </c>
      <c r="H199" s="19"/>
      <c r="I199" s="19" t="s">
        <v>1115</v>
      </c>
      <c r="J199" s="18" t="n">
        <f aca="false">'Build-Up'!F84</f>
        <v>6750</v>
      </c>
    </row>
    <row r="200" customFormat="false" ht="30" hidden="false" customHeight="true" outlineLevel="0" collapsed="false">
      <c r="A200" s="16" t="s">
        <v>268</v>
      </c>
      <c r="B200" s="17" t="str">
        <f aca="false">'Build-Up'!B85</f>
        <v>Sealant-application tools and jointing consumables</v>
      </c>
      <c r="C200" s="19" t="s">
        <v>1116</v>
      </c>
      <c r="D200" s="19"/>
      <c r="E200" s="19" t="s">
        <v>1117</v>
      </c>
      <c r="F200" s="19"/>
      <c r="G200" s="19" t="s">
        <v>1118</v>
      </c>
      <c r="H200" s="19"/>
      <c r="I200" s="19" t="s">
        <v>1119</v>
      </c>
      <c r="J200" s="18" t="n">
        <f aca="false">'Build-Up'!F85</f>
        <v>0</v>
      </c>
    </row>
    <row r="201" customFormat="false" ht="30" hidden="false" customHeight="true" outlineLevel="0" collapsed="false">
      <c r="A201" s="16" t="s">
        <v>271</v>
      </c>
      <c r="B201" s="17" t="str">
        <f aca="false">'Build-Up'!B86</f>
        <v>Fixings, touch-up and miscellaneous consumables</v>
      </c>
      <c r="C201" s="19" t="s">
        <v>1120</v>
      </c>
      <c r="D201" s="19"/>
      <c r="E201" s="19" t="s">
        <v>1121</v>
      </c>
      <c r="F201" s="19"/>
      <c r="G201" s="19" t="s">
        <v>1118</v>
      </c>
      <c r="H201" s="19"/>
      <c r="I201" s="19" t="s">
        <v>1119</v>
      </c>
      <c r="J201" s="18" t="n">
        <f aca="false">'Build-Up'!F86</f>
        <v>0</v>
      </c>
    </row>
    <row r="202" customFormat="false" ht="42" hidden="false" customHeight="true" outlineLevel="0" collapsed="false">
      <c r="A202" s="16" t="s">
        <v>274</v>
      </c>
      <c r="B202" s="17" t="str">
        <f aca="false">'Build-Up'!B87</f>
        <v>Mobile lighting towers, 2 No. for the erection window</v>
      </c>
      <c r="C202" s="19" t="s">
        <v>1122</v>
      </c>
      <c r="D202" s="19"/>
      <c r="E202" s="19" t="s">
        <v>1123</v>
      </c>
      <c r="F202" s="19"/>
      <c r="G202" s="19" t="s">
        <v>1124</v>
      </c>
      <c r="H202" s="19"/>
      <c r="I202" s="19" t="s">
        <v>72</v>
      </c>
      <c r="J202" s="18" t="n">
        <f aca="false">'Build-Up'!F87</f>
        <v>6480</v>
      </c>
    </row>
    <row r="203" customFormat="false" ht="30" hidden="false" customHeight="true" outlineLevel="0" collapsed="false">
      <c r="A203" s="16" t="s">
        <v>277</v>
      </c>
      <c r="B203" s="17" t="str">
        <f aca="false">'Build-Up'!B88</f>
        <v>Temporary distribution boards and cabling</v>
      </c>
      <c r="C203" s="19" t="s">
        <v>1125</v>
      </c>
      <c r="D203" s="19"/>
      <c r="E203" s="19" t="s">
        <v>1126</v>
      </c>
      <c r="F203" s="19"/>
      <c r="G203" s="19" t="s">
        <v>1127</v>
      </c>
      <c r="H203" s="19"/>
      <c r="I203" s="19" t="s">
        <v>72</v>
      </c>
      <c r="J203" s="18" t="n">
        <f aca="false">'Build-Up'!F88</f>
        <v>2800</v>
      </c>
    </row>
    <row r="204" customFormat="false" ht="80.25" hidden="false" customHeight="true" outlineLevel="0" collapsed="false">
      <c r="A204" s="16" t="s">
        <v>282</v>
      </c>
      <c r="B204" s="17" t="str">
        <f aca="false">'Build-Up'!B94</f>
        <v>Adopted: Al Mousa Trading Co. quotation S04488 dated 09-Jul-2026 with Stalwart technical offer SS-07-26-1516 dated 03-Aug-2026 - sectional GRP tank 34 m x 30 m x 4.0 m, supplied and installed, rate per tank</v>
      </c>
      <c r="C204" s="19" t="s">
        <v>1128</v>
      </c>
      <c r="D204" s="19"/>
      <c r="E204" s="19" t="s">
        <v>1129</v>
      </c>
      <c r="F204" s="19"/>
      <c r="G204" s="19" t="s">
        <v>1130</v>
      </c>
      <c r="H204" s="19"/>
      <c r="I204" s="19" t="s">
        <v>1131</v>
      </c>
      <c r="J204" s="18" t="n">
        <f aca="false">'Build-Up'!F94</f>
        <v>2763500</v>
      </c>
    </row>
    <row r="205" customFormat="false" ht="30" hidden="false" customHeight="true" outlineLevel="0" collapsed="false">
      <c r="A205" s="16" t="s">
        <v>288</v>
      </c>
      <c r="B205" s="17" t="str">
        <f aca="false">'Build-Up'!B100</f>
        <v>Test water - first tank fill to test level</v>
      </c>
      <c r="C205" s="19" t="s">
        <v>1132</v>
      </c>
      <c r="D205" s="19"/>
      <c r="E205" s="19" t="s">
        <v>1133</v>
      </c>
      <c r="F205" s="19"/>
      <c r="G205" s="19" t="s">
        <v>1134</v>
      </c>
      <c r="H205" s="19"/>
      <c r="I205" s="19" t="s">
        <v>72</v>
      </c>
      <c r="J205" s="18" t="n">
        <f aca="false">'Build-Up'!F100</f>
        <v>22644</v>
      </c>
    </row>
    <row r="206" customFormat="false" ht="30" hidden="false" customHeight="true" outlineLevel="0" collapsed="false">
      <c r="A206" s="16" t="s">
        <v>291</v>
      </c>
      <c r="B206" s="17" t="str">
        <f aca="false">'Build-Up'!B101</f>
        <v>Transfer pump hire - Tank 1 to Tank 2</v>
      </c>
      <c r="C206" s="19" t="s">
        <v>1135</v>
      </c>
      <c r="D206" s="19"/>
      <c r="E206" s="19" t="s">
        <v>1136</v>
      </c>
      <c r="F206" s="19"/>
      <c r="G206" s="19" t="s">
        <v>1137</v>
      </c>
      <c r="H206" s="19"/>
      <c r="I206" s="19" t="s">
        <v>72</v>
      </c>
      <c r="J206" s="18" t="n">
        <f aca="false">'Build-Up'!F101</f>
        <v>3500</v>
      </c>
    </row>
    <row r="207" customFormat="false" ht="30" hidden="false" customHeight="true" outlineLevel="0" collapsed="false">
      <c r="A207" s="16" t="s">
        <v>294</v>
      </c>
      <c r="B207" s="17" t="str">
        <f aca="false">'Build-Up'!B102</f>
        <v>Transfer hoses and fittings hire</v>
      </c>
      <c r="C207" s="19" t="s">
        <v>753</v>
      </c>
      <c r="D207" s="19"/>
      <c r="E207" s="19" t="s">
        <v>1138</v>
      </c>
      <c r="F207" s="19"/>
      <c r="G207" s="19" t="s">
        <v>1139</v>
      </c>
      <c r="H207" s="19"/>
      <c r="I207" s="19" t="s">
        <v>72</v>
      </c>
      <c r="J207" s="18" t="n">
        <f aca="false">'Build-Up'!F102</f>
        <v>1000</v>
      </c>
    </row>
    <row r="208" customFormat="false" ht="42" hidden="false" customHeight="true" outlineLevel="0" collapsed="false">
      <c r="A208" s="16" t="s">
        <v>297</v>
      </c>
      <c r="B208" s="17" t="str">
        <f aca="false">'Build-Up'!B103</f>
        <v>Transfer labour, 2 No. x 3 days</v>
      </c>
      <c r="C208" s="19" t="s">
        <v>753</v>
      </c>
      <c r="D208" s="19"/>
      <c r="E208" s="19" t="s">
        <v>1140</v>
      </c>
      <c r="F208" s="19"/>
      <c r="G208" s="19" t="s">
        <v>1141</v>
      </c>
      <c r="H208" s="19"/>
      <c r="I208" s="19" t="s">
        <v>1142</v>
      </c>
      <c r="J208" s="18" t="n">
        <f aca="false">'Build-Up'!F103</f>
        <v>900</v>
      </c>
    </row>
    <row r="209" customFormat="false" ht="30" hidden="false" customHeight="true" outlineLevel="0" collapsed="false">
      <c r="A209" s="16" t="s">
        <v>300</v>
      </c>
      <c r="B209" s="17" t="str">
        <f aca="false">'Build-Up'!B104</f>
        <v>Top-up water for losses and test level</v>
      </c>
      <c r="C209" s="19" t="s">
        <v>1143</v>
      </c>
      <c r="D209" s="19"/>
      <c r="E209" s="19" t="s">
        <v>1144</v>
      </c>
      <c r="F209" s="19"/>
      <c r="G209" s="19" t="s">
        <v>1145</v>
      </c>
      <c r="H209" s="19"/>
      <c r="I209" s="19" t="s">
        <v>72</v>
      </c>
      <c r="J209" s="18" t="n">
        <f aca="false">'Build-Up'!F104</f>
        <v>2262</v>
      </c>
    </row>
    <row r="210" customFormat="false" ht="30" hidden="false" customHeight="true" outlineLevel="0" collapsed="false">
      <c r="A210" s="16" t="s">
        <v>303</v>
      </c>
      <c r="B210" s="17" t="str">
        <f aca="false">'Build-Up'!B105</f>
        <v>Disinfection chemicals, hypochlorite (AWWA C652)</v>
      </c>
      <c r="C210" s="19" t="s">
        <v>1146</v>
      </c>
      <c r="D210" s="19"/>
      <c r="E210" s="19" t="s">
        <v>1147</v>
      </c>
      <c r="F210" s="19"/>
      <c r="G210" s="19" t="s">
        <v>1148</v>
      </c>
      <c r="H210" s="19"/>
      <c r="I210" s="19" t="s">
        <v>72</v>
      </c>
      <c r="J210" s="18" t="n">
        <f aca="false">'Build-Up'!F105</f>
        <v>4800</v>
      </c>
    </row>
    <row r="211" customFormat="false" ht="30" hidden="false" customHeight="true" outlineLevel="0" collapsed="false">
      <c r="A211" s="16" t="s">
        <v>306</v>
      </c>
      <c r="B211" s="17" t="str">
        <f aca="false">'Build-Up'!B106</f>
        <v>Chlorine dosing equipment hire</v>
      </c>
      <c r="C211" s="19" t="s">
        <v>1149</v>
      </c>
      <c r="D211" s="19"/>
      <c r="E211" s="19" t="s">
        <v>1150</v>
      </c>
      <c r="F211" s="19"/>
      <c r="G211" s="19" t="s">
        <v>1151</v>
      </c>
      <c r="H211" s="19"/>
      <c r="I211" s="19" t="s">
        <v>72</v>
      </c>
      <c r="J211" s="18" t="n">
        <f aca="false">'Build-Up'!F106</f>
        <v>1500</v>
      </c>
    </row>
    <row r="212" customFormat="false" ht="30" hidden="false" customHeight="true" outlineLevel="0" collapsed="false">
      <c r="A212" s="16" t="s">
        <v>308</v>
      </c>
      <c r="B212" s="17" t="str">
        <f aca="false">'Build-Up'!B107</f>
        <v>Disinfection and flushing labour, 2 No. x 10 days</v>
      </c>
      <c r="C212" s="19" t="s">
        <v>1149</v>
      </c>
      <c r="D212" s="19"/>
      <c r="E212" s="19" t="s">
        <v>1152</v>
      </c>
      <c r="F212" s="19"/>
      <c r="G212" s="19" t="s">
        <v>1153</v>
      </c>
      <c r="H212" s="19"/>
      <c r="I212" s="19" t="s">
        <v>1154</v>
      </c>
      <c r="J212" s="18" t="n">
        <f aca="false">'Build-Up'!F107</f>
        <v>3000</v>
      </c>
    </row>
    <row r="213" customFormat="false" ht="31.5" hidden="false" customHeight="true" outlineLevel="0" collapsed="false">
      <c r="A213" s="13" t="s">
        <v>92</v>
      </c>
      <c r="B213" s="13" t="s">
        <v>986</v>
      </c>
      <c r="C213" s="13" t="s">
        <v>987</v>
      </c>
      <c r="D213" s="13"/>
      <c r="E213" s="13" t="s">
        <v>988</v>
      </c>
      <c r="F213" s="13"/>
      <c r="G213" s="13" t="s">
        <v>989</v>
      </c>
      <c r="H213" s="13"/>
      <c r="I213" s="13" t="s">
        <v>990</v>
      </c>
      <c r="J213" s="13" t="s">
        <v>439</v>
      </c>
    </row>
    <row r="214" customFormat="false" ht="30" hidden="false" customHeight="true" outlineLevel="0" collapsed="false">
      <c r="A214" s="16" t="s">
        <v>310</v>
      </c>
      <c r="B214" s="17" t="str">
        <f aca="false">'Build-Up'!B108</f>
        <v>Dechlorination chemicals for discharge</v>
      </c>
      <c r="C214" s="19" t="s">
        <v>1155</v>
      </c>
      <c r="D214" s="19"/>
      <c r="E214" s="19" t="s">
        <v>1156</v>
      </c>
      <c r="F214" s="19"/>
      <c r="G214" s="19" t="s">
        <v>1157</v>
      </c>
      <c r="H214" s="19"/>
      <c r="I214" s="19" t="s">
        <v>72</v>
      </c>
      <c r="J214" s="18" t="n">
        <f aca="false">'Build-Up'!F108</f>
        <v>2000</v>
      </c>
    </row>
    <row r="215" customFormat="false" ht="30" hidden="false" customHeight="true" outlineLevel="0" collapsed="false">
      <c r="A215" s="16" t="s">
        <v>312</v>
      </c>
      <c r="B215" s="17" t="str">
        <f aca="false">'Build-Up'!B109</f>
        <v>Sampling, transport and handling</v>
      </c>
      <c r="C215" s="19" t="s">
        <v>1149</v>
      </c>
      <c r="D215" s="19"/>
      <c r="E215" s="19" t="s">
        <v>1158</v>
      </c>
      <c r="F215" s="19"/>
      <c r="G215" s="19" t="s">
        <v>1159</v>
      </c>
      <c r="H215" s="19"/>
      <c r="I215" s="19" t="s">
        <v>72</v>
      </c>
      <c r="J215" s="18" t="n">
        <f aca="false">'Build-Up'!F109</f>
        <v>3700</v>
      </c>
    </row>
    <row r="216" customFormat="false" ht="42" hidden="false" customHeight="true" outlineLevel="0" collapsed="false">
      <c r="A216" s="16" t="s">
        <v>314</v>
      </c>
      <c r="B216" s="17" t="str">
        <f aca="false">'Build-Up'!B110</f>
        <v>Third-party laboratory water-quality tests</v>
      </c>
      <c r="C216" s="19" t="s">
        <v>1149</v>
      </c>
      <c r="D216" s="19"/>
      <c r="E216" s="19" t="s">
        <v>1160</v>
      </c>
      <c r="F216" s="19"/>
      <c r="G216" s="19" t="s">
        <v>1161</v>
      </c>
      <c r="H216" s="19"/>
      <c r="I216" s="19" t="s">
        <v>1162</v>
      </c>
      <c r="J216" s="18" t="n">
        <f aca="false">'Build-Up'!F110</f>
        <v>7200</v>
      </c>
    </row>
    <row r="217" customFormat="false" ht="42" hidden="false" customHeight="true" outlineLevel="0" collapsed="false">
      <c r="A217" s="16" t="s">
        <v>318</v>
      </c>
      <c r="B217" s="17" t="str">
        <f aca="false">'Build-Up'!B111</f>
        <v>Third-party inspection visits</v>
      </c>
      <c r="C217" s="19" t="s">
        <v>1163</v>
      </c>
      <c r="D217" s="19"/>
      <c r="E217" s="19" t="s">
        <v>1118</v>
      </c>
      <c r="F217" s="19"/>
      <c r="G217" s="19" t="s">
        <v>1118</v>
      </c>
      <c r="H217" s="19"/>
      <c r="I217" s="19" t="s">
        <v>1164</v>
      </c>
      <c r="J217" s="18" t="n">
        <f aca="false">'Build-Up'!F111</f>
        <v>0</v>
      </c>
    </row>
    <row r="218" customFormat="false" ht="67.5" hidden="false" customHeight="true" outlineLevel="0" collapsed="false">
      <c r="A218" s="16" t="s">
        <v>322</v>
      </c>
      <c r="B218" s="17" t="str">
        <f aca="false">'Build-Up'!B112</f>
        <v>Commissioning engineer</v>
      </c>
      <c r="C218" s="19" t="s">
        <v>1165</v>
      </c>
      <c r="D218" s="19"/>
      <c r="E218" s="19" t="s">
        <v>1166</v>
      </c>
      <c r="F218" s="19"/>
      <c r="G218" s="19" t="s">
        <v>1071</v>
      </c>
      <c r="H218" s="19"/>
      <c r="I218" s="19" t="s">
        <v>1167</v>
      </c>
      <c r="J218" s="18" t="n">
        <f aca="false">'Build-Up'!F112</f>
        <v>16000</v>
      </c>
    </row>
    <row r="219" customFormat="false" ht="42" hidden="false" customHeight="true" outlineLevel="0" collapsed="false">
      <c r="A219" s="16" t="s">
        <v>325</v>
      </c>
      <c r="B219" s="17" t="str">
        <f aca="false">'Build-Up'!B113</f>
        <v>MEP technicians - pump and network interfaces, 2 No. x 10 days (RFP Scope of Works, work package 9 - system integration)</v>
      </c>
      <c r="C219" s="19" t="s">
        <v>1168</v>
      </c>
      <c r="D219" s="19"/>
      <c r="E219" s="19" t="s">
        <v>1169</v>
      </c>
      <c r="F219" s="19"/>
      <c r="G219" s="19" t="s">
        <v>1170</v>
      </c>
      <c r="H219" s="19"/>
      <c r="I219" s="19" t="s">
        <v>72</v>
      </c>
      <c r="J219" s="18" t="n">
        <f aca="false">'Build-Up'!F113</f>
        <v>4800</v>
      </c>
    </row>
    <row r="220" customFormat="false" ht="54.75" hidden="false" customHeight="true" outlineLevel="0" collapsed="false">
      <c r="A220" s="16" t="s">
        <v>328</v>
      </c>
      <c r="B220" s="17" t="str">
        <f aca="false">'Build-Up'!B114</f>
        <v>Electrician - instrument and readout connections</v>
      </c>
      <c r="C220" s="19" t="s">
        <v>1171</v>
      </c>
      <c r="D220" s="19"/>
      <c r="E220" s="19" t="s">
        <v>1172</v>
      </c>
      <c r="F220" s="19"/>
      <c r="G220" s="19" t="s">
        <v>1173</v>
      </c>
      <c r="H220" s="19"/>
      <c r="I220" s="19" t="s">
        <v>1174</v>
      </c>
      <c r="J220" s="18" t="n">
        <f aca="false">'Build-Up'!F114</f>
        <v>2000</v>
      </c>
    </row>
    <row r="221" customFormat="false" ht="54.75" hidden="false" customHeight="true" outlineLevel="0" collapsed="false">
      <c r="A221" s="16" t="s">
        <v>330</v>
      </c>
      <c r="B221" s="17" t="str">
        <f aca="false">'Build-Up'!B115</f>
        <v>Integration coordination engineer - tie-ins with the Employer and Engineer</v>
      </c>
      <c r="C221" s="19" t="s">
        <v>1175</v>
      </c>
      <c r="D221" s="19"/>
      <c r="E221" s="19" t="s">
        <v>1176</v>
      </c>
      <c r="F221" s="19"/>
      <c r="G221" s="19" t="s">
        <v>1177</v>
      </c>
      <c r="H221" s="19"/>
      <c r="I221" s="19" t="s">
        <v>72</v>
      </c>
      <c r="J221" s="18" t="n">
        <f aca="false">'Build-Up'!F115</f>
        <v>5000</v>
      </c>
    </row>
    <row r="222" customFormat="false" ht="30" hidden="false" customHeight="true" outlineLevel="0" collapsed="false">
      <c r="A222" s="16" t="s">
        <v>333</v>
      </c>
      <c r="B222" s="17" t="str">
        <f aca="false">'Build-Up'!B116</f>
        <v>Calibration technician</v>
      </c>
      <c r="C222" s="19" t="s">
        <v>759</v>
      </c>
      <c r="D222" s="19"/>
      <c r="E222" s="19" t="s">
        <v>1178</v>
      </c>
      <c r="F222" s="19"/>
      <c r="G222" s="19" t="s">
        <v>1056</v>
      </c>
      <c r="H222" s="19"/>
      <c r="I222" s="19" t="s">
        <v>72</v>
      </c>
      <c r="J222" s="18" t="n">
        <f aca="false">'Build-Up'!F116</f>
        <v>4000</v>
      </c>
    </row>
    <row r="223" customFormat="false" ht="30" hidden="false" customHeight="true" outlineLevel="0" collapsed="false">
      <c r="A223" s="16" t="s">
        <v>335</v>
      </c>
      <c r="B223" s="17" t="str">
        <f aca="false">'Build-Up'!B117</f>
        <v>Certified instrument calibrations</v>
      </c>
      <c r="C223" s="19" t="s">
        <v>759</v>
      </c>
      <c r="D223" s="19"/>
      <c r="E223" s="19" t="s">
        <v>1179</v>
      </c>
      <c r="F223" s="19"/>
      <c r="G223" s="19" t="s">
        <v>1180</v>
      </c>
      <c r="H223" s="19"/>
      <c r="I223" s="19" t="s">
        <v>72</v>
      </c>
      <c r="J223" s="18" t="n">
        <f aca="false">'Build-Up'!F117</f>
        <v>4500</v>
      </c>
    </row>
    <row r="224" customFormat="false" ht="30" hidden="false" customHeight="true" outlineLevel="0" collapsed="false">
      <c r="A224" s="16" t="s">
        <v>337</v>
      </c>
      <c r="B224" s="17" t="str">
        <f aca="false">'Build-Up'!B118</f>
        <v>Test-equipment hire - calibrated gauges, data logger</v>
      </c>
      <c r="C224" s="19" t="s">
        <v>1181</v>
      </c>
      <c r="D224" s="19"/>
      <c r="E224" s="19" t="s">
        <v>1182</v>
      </c>
      <c r="F224" s="19"/>
      <c r="G224" s="19" t="s">
        <v>1151</v>
      </c>
      <c r="H224" s="19"/>
      <c r="I224" s="19" t="s">
        <v>72</v>
      </c>
      <c r="J224" s="18" t="n">
        <f aca="false">'Build-Up'!F118</f>
        <v>1500</v>
      </c>
    </row>
    <row r="225" customFormat="false" ht="54.75" hidden="false" customHeight="true" outlineLevel="0" collapsed="false">
      <c r="A225" s="16" t="s">
        <v>339</v>
      </c>
      <c r="B225" s="17" t="str">
        <f aca="false">'Build-Up'!B119</f>
        <v>Technical clerk - test records, ITP/WIR close-out</v>
      </c>
      <c r="C225" s="19" t="s">
        <v>1183</v>
      </c>
      <c r="D225" s="19"/>
      <c r="E225" s="19" t="s">
        <v>1184</v>
      </c>
      <c r="F225" s="19"/>
      <c r="G225" s="19" t="s">
        <v>1185</v>
      </c>
      <c r="H225" s="19"/>
      <c r="I225" s="19" t="s">
        <v>1186</v>
      </c>
      <c r="J225" s="18" t="n">
        <f aca="false">'Build-Up'!F119</f>
        <v>6000</v>
      </c>
    </row>
    <row r="226" customFormat="false" ht="30" hidden="false" customHeight="true" outlineLevel="0" collapsed="false">
      <c r="A226" s="16" t="s">
        <v>342</v>
      </c>
      <c r="B226" s="17" t="str">
        <f aca="false">'Build-Up'!B120</f>
        <v>As-built mark-ups at close-out - draughtsman, issued via Aconex</v>
      </c>
      <c r="C226" s="19" t="s">
        <v>1187</v>
      </c>
      <c r="D226" s="19"/>
      <c r="E226" s="19" t="s">
        <v>1188</v>
      </c>
      <c r="F226" s="19"/>
      <c r="G226" s="19" t="s">
        <v>1189</v>
      </c>
      <c r="H226" s="19"/>
      <c r="I226" s="19" t="s">
        <v>1190</v>
      </c>
      <c r="J226" s="18" t="n">
        <f aca="false">'Build-Up'!F120</f>
        <v>4000</v>
      </c>
    </row>
    <row r="227" customFormat="false" ht="42" hidden="false" customHeight="true" outlineLevel="0" collapsed="false">
      <c r="A227" s="16" t="s">
        <v>344</v>
      </c>
      <c r="B227" s="17" t="str">
        <f aca="false">'Build-Up'!B121</f>
        <v>Tanker and pump standby during filling and test holds</v>
      </c>
      <c r="C227" s="19" t="s">
        <v>1191</v>
      </c>
      <c r="D227" s="19"/>
      <c r="E227" s="19" t="s">
        <v>1192</v>
      </c>
      <c r="F227" s="19"/>
      <c r="G227" s="19" t="s">
        <v>1193</v>
      </c>
      <c r="H227" s="19"/>
      <c r="I227" s="19" t="s">
        <v>1194</v>
      </c>
      <c r="J227" s="18" t="n">
        <f aca="false">'Build-Up'!F121</f>
        <v>2000</v>
      </c>
    </row>
    <row r="228" customFormat="false" ht="42" hidden="false" customHeight="true" outlineLevel="0" collapsed="false">
      <c r="A228" s="16" t="s">
        <v>347</v>
      </c>
      <c r="B228" s="17" t="str">
        <f aca="false">'Build-Up'!B122</f>
        <v>Third-party factory acceptance test of the GRP panels - inspector days and travel to the factory</v>
      </c>
      <c r="C228" s="19" t="s">
        <v>1195</v>
      </c>
      <c r="D228" s="19"/>
      <c r="E228" s="19" t="s">
        <v>1196</v>
      </c>
      <c r="F228" s="19"/>
      <c r="G228" s="19" t="s">
        <v>1197</v>
      </c>
      <c r="H228" s="19"/>
      <c r="I228" s="19" t="s">
        <v>1198</v>
      </c>
      <c r="J228" s="18" t="n">
        <f aca="false">'Build-Up'!F122</f>
        <v>0</v>
      </c>
    </row>
    <row r="229" customFormat="false" ht="54.75" hidden="false" customHeight="true" outlineLevel="0" collapsed="false">
      <c r="A229" s="16" t="s">
        <v>354</v>
      </c>
      <c r="B229" s="17" t="str">
        <f aca="false">'Build-Up'!B129</f>
        <v>Main pipework above DN150 - GRP or ductile iron with internal lining, with fittings, supplied and installed (RFP General Piping Requirements)</v>
      </c>
      <c r="C229" s="19" t="s">
        <v>1199</v>
      </c>
      <c r="D229" s="19"/>
      <c r="E229" s="19" t="s">
        <v>1200</v>
      </c>
      <c r="F229" s="19"/>
      <c r="G229" s="19" t="s">
        <v>1201</v>
      </c>
      <c r="H229" s="19"/>
      <c r="I229" s="19" t="s">
        <v>72</v>
      </c>
      <c r="J229" s="18" t="n">
        <f aca="false">'Build-Up'!F129</f>
        <v>80000</v>
      </c>
    </row>
    <row r="230" customFormat="false" ht="30" hidden="false" customHeight="true" outlineLevel="0" collapsed="false">
      <c r="A230" s="16" t="s">
        <v>358</v>
      </c>
      <c r="B230" s="17" t="str">
        <f aca="false">'Build-Up'!B130</f>
        <v>Small-bore pipework below DN150 - uPVC Schedule 40, supplied and installed</v>
      </c>
      <c r="C230" s="19" t="s">
        <v>1202</v>
      </c>
      <c r="D230" s="19"/>
      <c r="E230" s="19" t="s">
        <v>1203</v>
      </c>
      <c r="F230" s="19"/>
      <c r="G230" s="19" t="s">
        <v>1204</v>
      </c>
      <c r="H230" s="19"/>
      <c r="I230" s="19" t="s">
        <v>72</v>
      </c>
      <c r="J230" s="18" t="n">
        <f aca="false">'Build-Up'!F130</f>
        <v>7200</v>
      </c>
    </row>
    <row r="231" customFormat="false" ht="30" hidden="false" customHeight="true" outlineLevel="0" collapsed="false">
      <c r="A231" s="16" t="s">
        <v>361</v>
      </c>
      <c r="B231" s="17" t="str">
        <f aca="false">'Build-Up'!B131</f>
        <v>Resilient-seated butterfly isolation valves DN150-DN300, lever-operated up to DN200 and gearbox-operated above, installed</v>
      </c>
      <c r="C231" s="19" t="s">
        <v>1202</v>
      </c>
      <c r="D231" s="19"/>
      <c r="E231" s="19" t="s">
        <v>1205</v>
      </c>
      <c r="F231" s="19"/>
      <c r="G231" s="19" t="s">
        <v>1206</v>
      </c>
      <c r="H231" s="19"/>
      <c r="I231" s="19" t="s">
        <v>72</v>
      </c>
      <c r="J231" s="18" t="n">
        <f aca="false">'Build-Up'!F131</f>
        <v>55000</v>
      </c>
    </row>
    <row r="232" customFormat="false" ht="30" hidden="false" customHeight="true" outlineLevel="0" collapsed="false">
      <c r="A232" s="16" t="s">
        <v>364</v>
      </c>
      <c r="B232" s="17" t="str">
        <f aca="false">'Build-Up'!B132</f>
        <v>Dismantling joints DN250</v>
      </c>
      <c r="C232" s="19" t="s">
        <v>1202</v>
      </c>
      <c r="D232" s="19"/>
      <c r="E232" s="19" t="s">
        <v>1207</v>
      </c>
      <c r="F232" s="19"/>
      <c r="G232" s="19" t="s">
        <v>1097</v>
      </c>
      <c r="H232" s="19"/>
      <c r="I232" s="19" t="s">
        <v>72</v>
      </c>
      <c r="J232" s="18" t="n">
        <f aca="false">'Build-Up'!F132</f>
        <v>10000</v>
      </c>
    </row>
    <row r="233" customFormat="false" ht="42" hidden="false" customHeight="true" outlineLevel="0" collapsed="false">
      <c r="A233" s="16" t="s">
        <v>366</v>
      </c>
      <c r="B233" s="17" t="str">
        <f aca="false">'Build-Up'!B133</f>
        <v>Blind flanges on spare nozzles</v>
      </c>
      <c r="C233" s="19" t="s">
        <v>1208</v>
      </c>
      <c r="D233" s="19"/>
      <c r="E233" s="19" t="s">
        <v>1209</v>
      </c>
      <c r="F233" s="19"/>
      <c r="G233" s="19" t="s">
        <v>1210</v>
      </c>
      <c r="H233" s="19"/>
      <c r="I233" s="19" t="s">
        <v>1211</v>
      </c>
      <c r="J233" s="18" t="n">
        <f aca="false">'Build-Up'!F133</f>
        <v>3000</v>
      </c>
    </row>
    <row r="234" customFormat="false" ht="30" hidden="false" customHeight="true" outlineLevel="0" collapsed="false">
      <c r="A234" s="16" t="s">
        <v>368</v>
      </c>
      <c r="B234" s="17" t="str">
        <f aca="false">'Build-Up'!B134</f>
        <v>Flange sets, gaskets and bolting</v>
      </c>
      <c r="C234" s="19" t="s">
        <v>1202</v>
      </c>
      <c r="D234" s="19"/>
      <c r="E234" s="19" t="s">
        <v>1212</v>
      </c>
      <c r="F234" s="19"/>
      <c r="G234" s="19" t="s">
        <v>1213</v>
      </c>
      <c r="H234" s="19"/>
      <c r="I234" s="19" t="s">
        <v>72</v>
      </c>
      <c r="J234" s="18" t="n">
        <f aca="false">'Build-Up'!F134</f>
        <v>7000</v>
      </c>
    </row>
    <row r="235" customFormat="false" ht="30" hidden="false" customHeight="true" outlineLevel="0" collapsed="false">
      <c r="A235" s="16" t="s">
        <v>371</v>
      </c>
      <c r="B235" s="17" t="str">
        <f aca="false">'Build-Up'!B135</f>
        <v>Fabricated pipe supports, galvanised / 316 SS</v>
      </c>
      <c r="C235" s="19" t="s">
        <v>1202</v>
      </c>
      <c r="D235" s="19"/>
      <c r="E235" s="19" t="s">
        <v>1214</v>
      </c>
      <c r="F235" s="19"/>
      <c r="G235" s="19" t="s">
        <v>1215</v>
      </c>
      <c r="H235" s="19"/>
      <c r="I235" s="19" t="s">
        <v>72</v>
      </c>
      <c r="J235" s="18" t="n">
        <f aca="false">'Build-Up'!F135</f>
        <v>10000</v>
      </c>
    </row>
    <row r="236" customFormat="false" ht="31.5" hidden="false" customHeight="true" outlineLevel="0" collapsed="false">
      <c r="A236" s="13" t="s">
        <v>92</v>
      </c>
      <c r="B236" s="13" t="s">
        <v>986</v>
      </c>
      <c r="C236" s="13" t="s">
        <v>987</v>
      </c>
      <c r="D236" s="13"/>
      <c r="E236" s="13" t="s">
        <v>988</v>
      </c>
      <c r="F236" s="13"/>
      <c r="G236" s="13" t="s">
        <v>989</v>
      </c>
      <c r="H236" s="13"/>
      <c r="I236" s="13" t="s">
        <v>990</v>
      </c>
      <c r="J236" s="13" t="s">
        <v>439</v>
      </c>
    </row>
    <row r="237" customFormat="false" ht="30" hidden="false" customHeight="true" outlineLevel="0" collapsed="false">
      <c r="A237" s="16" t="s">
        <v>373</v>
      </c>
      <c r="B237" s="17" t="str">
        <f aca="false">'Build-Up'!B136</f>
        <v>Anchor and thrust blocks at bends and valves</v>
      </c>
      <c r="C237" s="19" t="s">
        <v>1202</v>
      </c>
      <c r="D237" s="19"/>
      <c r="E237" s="19" t="s">
        <v>1216</v>
      </c>
      <c r="F237" s="19"/>
      <c r="G237" s="19" t="s">
        <v>1210</v>
      </c>
      <c r="H237" s="19"/>
      <c r="I237" s="19" t="s">
        <v>72</v>
      </c>
      <c r="J237" s="18" t="n">
        <f aca="false">'Build-Up'!F136</f>
        <v>5000</v>
      </c>
    </row>
    <row r="238" customFormat="false" ht="42" hidden="false" customHeight="true" outlineLevel="0" collapsed="false">
      <c r="A238" s="16" t="s">
        <v>375</v>
      </c>
      <c r="B238" s="17" t="str">
        <f aca="false">'Build-Up'!B137</f>
        <v>Float-and-tape level indicators with local readout (RFP Scope of Works, work package 7 - level instrumentation)</v>
      </c>
      <c r="C238" s="19" t="s">
        <v>1217</v>
      </c>
      <c r="D238" s="19"/>
      <c r="E238" s="19" t="s">
        <v>1218</v>
      </c>
      <c r="F238" s="19"/>
      <c r="G238" s="19" t="s">
        <v>1219</v>
      </c>
      <c r="H238" s="19"/>
      <c r="I238" s="19" t="s">
        <v>1220</v>
      </c>
      <c r="J238" s="18" t="n">
        <f aca="false">'Build-Up'!F137</f>
        <v>7000</v>
      </c>
    </row>
    <row r="239" customFormat="false" ht="30" hidden="false" customHeight="true" outlineLevel="0" collapsed="false">
      <c r="A239" s="16" t="s">
        <v>377</v>
      </c>
      <c r="B239" s="17" t="str">
        <f aca="false">'Build-Up'!B138</f>
        <v>Level transmitters with remote indication</v>
      </c>
      <c r="C239" s="19" t="s">
        <v>1221</v>
      </c>
      <c r="D239" s="19"/>
      <c r="E239" s="19" t="s">
        <v>1222</v>
      </c>
      <c r="F239" s="19"/>
      <c r="G239" s="19" t="s">
        <v>1219</v>
      </c>
      <c r="H239" s="19"/>
      <c r="I239" s="19" t="s">
        <v>72</v>
      </c>
      <c r="J239" s="18" t="n">
        <f aca="false">'Build-Up'!F138</f>
        <v>9000</v>
      </c>
    </row>
    <row r="240" customFormat="false" ht="30" hidden="false" customHeight="true" outlineLevel="0" collapsed="false">
      <c r="A240" s="16" t="s">
        <v>380</v>
      </c>
      <c r="B240" s="17" t="str">
        <f aca="false">'Build-Up'!B139</f>
        <v>Instrument cabling and conduit to readout points</v>
      </c>
      <c r="C240" s="19" t="s">
        <v>1221</v>
      </c>
      <c r="D240" s="19"/>
      <c r="E240" s="19" t="s">
        <v>1223</v>
      </c>
      <c r="F240" s="19"/>
      <c r="G240" s="19" t="s">
        <v>1224</v>
      </c>
      <c r="H240" s="19"/>
      <c r="I240" s="19" t="s">
        <v>1225</v>
      </c>
      <c r="J240" s="18" t="n">
        <f aca="false">'Build-Up'!F139</f>
        <v>4000</v>
      </c>
    </row>
    <row r="241" customFormat="false" ht="30" hidden="false" customHeight="true" outlineLevel="0" collapsed="false">
      <c r="A241" s="16" t="s">
        <v>383</v>
      </c>
      <c r="B241" s="17" t="str">
        <f aca="false">'Build-Up'!B140</f>
        <v>Pressure gauge assemblies on the outlet header (RFP Scope of Works 3.1)</v>
      </c>
      <c r="C241" s="19" t="s">
        <v>1226</v>
      </c>
      <c r="D241" s="19"/>
      <c r="E241" s="19" t="s">
        <v>1227</v>
      </c>
      <c r="F241" s="19"/>
      <c r="G241" s="19" t="s">
        <v>1127</v>
      </c>
      <c r="H241" s="19"/>
      <c r="I241" s="19" t="s">
        <v>72</v>
      </c>
      <c r="J241" s="18" t="n">
        <f aca="false">'Build-Up'!F140</f>
        <v>5000</v>
      </c>
    </row>
    <row r="242" customFormat="false" ht="30" hidden="false" customHeight="true" outlineLevel="0" collapsed="false">
      <c r="A242" s="16" t="s">
        <v>385</v>
      </c>
      <c r="B242" s="17" t="str">
        <f aca="false">'Build-Up'!B141</f>
        <v>Stainless steel sample taps on the outlet lines (RFP Scope of Works 3.1)</v>
      </c>
      <c r="C242" s="19" t="s">
        <v>1226</v>
      </c>
      <c r="D242" s="19"/>
      <c r="E242" s="19" t="s">
        <v>1228</v>
      </c>
      <c r="F242" s="19"/>
      <c r="G242" s="19" t="s">
        <v>1219</v>
      </c>
      <c r="H242" s="19"/>
      <c r="I242" s="19" t="s">
        <v>72</v>
      </c>
      <c r="J242" s="18" t="n">
        <f aca="false">'Build-Up'!F141</f>
        <v>3000</v>
      </c>
    </row>
    <row r="243" customFormat="false" ht="42" hidden="false" customHeight="true" outlineLevel="0" collapsed="false">
      <c r="A243" s="16" t="s">
        <v>387</v>
      </c>
      <c r="B243" s="17" t="str">
        <f aca="false">'Build-Up'!B142</f>
        <v>Tie-ins to the irrigation and firefighting networks</v>
      </c>
      <c r="C243" s="19" t="s">
        <v>1229</v>
      </c>
      <c r="D243" s="19"/>
      <c r="E243" s="19" t="s">
        <v>1230</v>
      </c>
      <c r="F243" s="19"/>
      <c r="G243" s="19" t="s">
        <v>1219</v>
      </c>
      <c r="H243" s="19"/>
      <c r="I243" s="19" t="s">
        <v>72</v>
      </c>
      <c r="J243" s="18" t="n">
        <f aca="false">'Build-Up'!F142</f>
        <v>12000</v>
      </c>
    </row>
    <row r="244" customFormat="false" ht="80.25" hidden="false" customHeight="true" outlineLevel="0" collapsed="false">
      <c r="A244" s="16" t="s">
        <v>390</v>
      </c>
      <c r="B244" s="17" t="str">
        <f aca="false">'Build-Up'!B143</f>
        <v>Tie-in coordination and out-of-hours working</v>
      </c>
      <c r="C244" s="19" t="s">
        <v>1226</v>
      </c>
      <c r="D244" s="19"/>
      <c r="E244" s="19" t="s">
        <v>1231</v>
      </c>
      <c r="F244" s="19"/>
      <c r="G244" s="19" t="s">
        <v>1219</v>
      </c>
      <c r="H244" s="19"/>
      <c r="I244" s="19" t="s">
        <v>1232</v>
      </c>
      <c r="J244" s="18" t="n">
        <f aca="false">'Build-Up'!F143</f>
        <v>8000</v>
      </c>
    </row>
    <row r="245" customFormat="false" ht="30" hidden="false" customHeight="true" outlineLevel="0" collapsed="false">
      <c r="A245" s="16" t="s">
        <v>392</v>
      </c>
      <c r="B245" s="17" t="str">
        <f aca="false">'Build-Up'!B144</f>
        <v>Test pump and manifold hire</v>
      </c>
      <c r="C245" s="19" t="s">
        <v>1233</v>
      </c>
      <c r="D245" s="19"/>
      <c r="E245" s="19" t="s">
        <v>1234</v>
      </c>
      <c r="F245" s="19"/>
      <c r="G245" s="19" t="s">
        <v>1151</v>
      </c>
      <c r="H245" s="19"/>
      <c r="I245" s="19" t="s">
        <v>1235</v>
      </c>
      <c r="J245" s="18" t="n">
        <f aca="false">'Build-Up'!F144</f>
        <v>3000</v>
      </c>
    </row>
    <row r="246" customFormat="false" ht="30" hidden="false" customHeight="true" outlineLevel="0" collapsed="false">
      <c r="A246" s="16" t="s">
        <v>394</v>
      </c>
      <c r="B246" s="17" t="str">
        <f aca="false">'Build-Up'!B145</f>
        <v>Test and flushing water for pipework, tankered</v>
      </c>
      <c r="C246" s="19" t="s">
        <v>1236</v>
      </c>
      <c r="D246" s="19"/>
      <c r="E246" s="19" t="s">
        <v>1237</v>
      </c>
      <c r="F246" s="19"/>
      <c r="G246" s="19" t="s">
        <v>1238</v>
      </c>
      <c r="H246" s="19"/>
      <c r="I246" s="19" t="s">
        <v>72</v>
      </c>
      <c r="J246" s="18" t="n">
        <f aca="false">'Build-Up'!F145</f>
        <v>1800</v>
      </c>
    </row>
    <row r="247" customFormat="false" ht="30" hidden="false" customHeight="true" outlineLevel="0" collapsed="false">
      <c r="A247" s="16" t="s">
        <v>396</v>
      </c>
      <c r="B247" s="17" t="str">
        <f aca="false">'Build-Up'!B146</f>
        <v>Pipework testing crew, 2 No. x 12 days</v>
      </c>
      <c r="C247" s="19" t="s">
        <v>1236</v>
      </c>
      <c r="D247" s="19"/>
      <c r="E247" s="19" t="s">
        <v>1239</v>
      </c>
      <c r="F247" s="19"/>
      <c r="G247" s="19" t="s">
        <v>1240</v>
      </c>
      <c r="H247" s="19"/>
      <c r="I247" s="19" t="s">
        <v>1142</v>
      </c>
      <c r="J247" s="18" t="n">
        <f aca="false">'Build-Up'!F146</f>
        <v>3600</v>
      </c>
    </row>
    <row r="248" customFormat="false" ht="30" hidden="false" customHeight="true" outlineLevel="0" collapsed="false">
      <c r="A248" s="16" t="s">
        <v>398</v>
      </c>
      <c r="B248" s="17" t="str">
        <f aca="false">'Build-Up'!B147</f>
        <v>Test records, calibrated gauges and certificates</v>
      </c>
      <c r="C248" s="19" t="s">
        <v>1236</v>
      </c>
      <c r="D248" s="19"/>
      <c r="E248" s="19" t="s">
        <v>1241</v>
      </c>
      <c r="F248" s="19"/>
      <c r="G248" s="19" t="s">
        <v>1242</v>
      </c>
      <c r="H248" s="19"/>
      <c r="I248" s="19" t="s">
        <v>72</v>
      </c>
      <c r="J248" s="18" t="n">
        <f aca="false">'Build-Up'!F147</f>
        <v>3600</v>
      </c>
    </row>
    <row r="249" customFormat="false" ht="30" hidden="false" customHeight="true" outlineLevel="0" collapsed="false">
      <c r="A249" s="16" t="s">
        <v>401</v>
      </c>
      <c r="B249" s="17" t="str">
        <f aca="false">'Build-Up'!B148</f>
        <v>Purple/lilac colour-band painting on external piping</v>
      </c>
      <c r="C249" s="19" t="s">
        <v>1202</v>
      </c>
      <c r="D249" s="19"/>
      <c r="E249" s="19" t="s">
        <v>1243</v>
      </c>
      <c r="F249" s="19"/>
      <c r="G249" s="19" t="s">
        <v>1244</v>
      </c>
      <c r="H249" s="19"/>
      <c r="I249" s="19" t="s">
        <v>72</v>
      </c>
      <c r="J249" s="18" t="n">
        <f aca="false">'Build-Up'!F148</f>
        <v>5200</v>
      </c>
    </row>
    <row r="250" customFormat="false" ht="30" hidden="false" customHeight="true" outlineLevel="0" collapsed="false">
      <c r="A250" s="16" t="s">
        <v>403</v>
      </c>
      <c r="B250" s="17" t="str">
        <f aca="false">'Build-Up'!B149</f>
        <v>Identification tags, flow arrows and labels</v>
      </c>
      <c r="C250" s="19" t="s">
        <v>1202</v>
      </c>
      <c r="D250" s="19"/>
      <c r="E250" s="19" t="s">
        <v>1245</v>
      </c>
      <c r="F250" s="19"/>
      <c r="G250" s="19" t="s">
        <v>1246</v>
      </c>
      <c r="H250" s="19"/>
      <c r="I250" s="19" t="s">
        <v>72</v>
      </c>
      <c r="J250" s="18" t="n">
        <f aca="false">'Build-Up'!F149</f>
        <v>2800</v>
      </c>
    </row>
    <row r="251" customFormat="false" ht="30" hidden="false" customHeight="true" outlineLevel="0" collapsed="false">
      <c r="A251" s="16" t="s">
        <v>1247</v>
      </c>
      <c r="B251" s="17" t="s">
        <v>56</v>
      </c>
      <c r="C251" s="19" t="s">
        <v>1248</v>
      </c>
      <c r="D251" s="19"/>
      <c r="E251" s="19" t="s">
        <v>1078</v>
      </c>
      <c r="F251" s="19"/>
      <c r="G251" s="19" t="s">
        <v>1078</v>
      </c>
      <c r="H251" s="19"/>
      <c r="I251" s="19" t="s">
        <v>1078</v>
      </c>
      <c r="J251" s="18" t="s">
        <v>742</v>
      </c>
    </row>
    <row r="252" customFormat="false" ht="80.25" hidden="false" customHeight="true" outlineLevel="0" collapsed="false">
      <c r="A252" s="23"/>
      <c r="B252" s="23" t="s">
        <v>1249</v>
      </c>
      <c r="C252" s="23"/>
      <c r="D252" s="23"/>
      <c r="E252" s="23"/>
      <c r="F252" s="23"/>
      <c r="G252" s="23"/>
      <c r="H252" s="23"/>
      <c r="I252" s="19" t="s">
        <v>1250</v>
      </c>
      <c r="J252" s="35" t="n">
        <f aca="false">SUM(J157:J251)+'Build-Up'!F94</f>
        <v>6625436.56</v>
      </c>
    </row>
    <row r="253" customFormat="false" ht="19.5" hidden="false" customHeight="true" outlineLevel="0" collapsed="false">
      <c r="A253" s="23"/>
      <c r="B253" s="23" t="s">
        <v>1251</v>
      </c>
      <c r="C253" s="23"/>
      <c r="D253" s="23"/>
      <c r="E253" s="23"/>
      <c r="F253" s="23"/>
      <c r="G253" s="23"/>
      <c r="H253" s="23"/>
      <c r="I253" s="23"/>
      <c r="J253" s="35" t="n">
        <f aca="false">ROUND(J252-Assessment!$K$19,2)</f>
        <v>0</v>
      </c>
    </row>
    <row r="330" customFormat="false" ht="21" hidden="false" customHeight="true" outlineLevel="0" collapsed="false">
      <c r="A330" s="15" t="s">
        <v>1252</v>
      </c>
      <c r="B330" s="15"/>
      <c r="C330" s="15"/>
      <c r="D330" s="15"/>
      <c r="E330" s="15"/>
      <c r="F330" s="15"/>
      <c r="G330" s="15"/>
      <c r="H330" s="15"/>
      <c r="I330" s="15"/>
      <c r="J330" s="15"/>
    </row>
    <row r="331" customFormat="false" ht="43.5" hidden="false" customHeight="true" outlineLevel="0" collapsed="false">
      <c r="A331" s="11" t="s">
        <v>1253</v>
      </c>
      <c r="B331" s="11"/>
      <c r="C331" s="11"/>
      <c r="D331" s="11"/>
      <c r="E331" s="11"/>
      <c r="F331" s="11"/>
      <c r="G331" s="11"/>
      <c r="H331" s="11"/>
      <c r="I331" s="11"/>
      <c r="J331" s="11"/>
    </row>
    <row r="332" customFormat="false" ht="31.5" hidden="false" customHeight="true" outlineLevel="0" collapsed="false">
      <c r="A332" s="13" t="s">
        <v>566</v>
      </c>
      <c r="B332" s="13" t="s">
        <v>1254</v>
      </c>
      <c r="C332" s="13" t="s">
        <v>1255</v>
      </c>
      <c r="D332" s="13" t="s">
        <v>1256</v>
      </c>
      <c r="E332" s="13" t="s">
        <v>1257</v>
      </c>
      <c r="F332" s="13" t="s">
        <v>1258</v>
      </c>
      <c r="G332" s="13" t="s">
        <v>1259</v>
      </c>
      <c r="H332" s="13" t="s">
        <v>1260</v>
      </c>
      <c r="I332" s="13" t="s">
        <v>1261</v>
      </c>
      <c r="J332" s="13" t="s">
        <v>599</v>
      </c>
    </row>
    <row r="333" customFormat="false" ht="18" hidden="false" customHeight="true" outlineLevel="0" collapsed="false">
      <c r="A333" s="16" t="n">
        <v>1</v>
      </c>
      <c r="B333" s="17" t="s">
        <v>1262</v>
      </c>
      <c r="C333" s="58" t="n">
        <v>46204</v>
      </c>
      <c r="D333" s="58" t="n">
        <v>46223</v>
      </c>
      <c r="E333" s="54" t="n">
        <v>17</v>
      </c>
      <c r="F333" s="18" t="n">
        <v>0</v>
      </c>
      <c r="G333" s="66" t="s">
        <v>1263</v>
      </c>
      <c r="H333" s="16" t="s">
        <v>1264</v>
      </c>
      <c r="I333" s="54" t="n">
        <v>0</v>
      </c>
      <c r="J333" s="19" t="s">
        <v>1265</v>
      </c>
    </row>
    <row r="334" customFormat="false" ht="18" hidden="false" customHeight="true" outlineLevel="0" collapsed="false">
      <c r="A334" s="16" t="n">
        <v>2</v>
      </c>
      <c r="B334" s="17" t="s">
        <v>1266</v>
      </c>
      <c r="C334" s="58" t="n">
        <v>46204</v>
      </c>
      <c r="D334" s="58" t="n">
        <v>46204</v>
      </c>
      <c r="E334" s="54" t="n">
        <v>0</v>
      </c>
      <c r="F334" s="18" t="n">
        <v>0</v>
      </c>
      <c r="G334" s="66" t="s">
        <v>1267</v>
      </c>
      <c r="H334" s="16" t="s">
        <v>1268</v>
      </c>
      <c r="I334" s="54" t="n">
        <v>0</v>
      </c>
      <c r="J334" s="19" t="s">
        <v>1269</v>
      </c>
    </row>
    <row r="335" customFormat="false" ht="18" hidden="false" customHeight="true" outlineLevel="0" collapsed="false">
      <c r="A335" s="16" t="n">
        <v>3</v>
      </c>
      <c r="B335" s="17" t="s">
        <v>1270</v>
      </c>
      <c r="C335" s="58" t="n">
        <v>46204</v>
      </c>
      <c r="D335" s="58" t="n">
        <v>46204</v>
      </c>
      <c r="E335" s="54" t="n">
        <v>0</v>
      </c>
      <c r="F335" s="18" t="n">
        <v>0</v>
      </c>
      <c r="G335" s="66" t="s">
        <v>1271</v>
      </c>
      <c r="H335" s="16" t="s">
        <v>1264</v>
      </c>
      <c r="I335" s="54" t="n">
        <v>0</v>
      </c>
      <c r="J335" s="19" t="s">
        <v>1272</v>
      </c>
    </row>
    <row r="336" customFormat="false" ht="18" hidden="false" customHeight="true" outlineLevel="0" collapsed="false">
      <c r="A336" s="16" t="n">
        <v>4</v>
      </c>
      <c r="B336" s="17" t="s">
        <v>1273</v>
      </c>
      <c r="C336" s="58" t="n">
        <v>46224</v>
      </c>
      <c r="D336" s="58" t="n">
        <v>46233</v>
      </c>
      <c r="E336" s="54" t="n">
        <v>9</v>
      </c>
      <c r="F336" s="18" t="n">
        <v>0</v>
      </c>
      <c r="G336" s="66" t="s">
        <v>1274</v>
      </c>
      <c r="H336" s="16" t="s">
        <v>1264</v>
      </c>
      <c r="I336" s="54" t="n">
        <v>0</v>
      </c>
      <c r="J336" s="19" t="s">
        <v>1265</v>
      </c>
    </row>
    <row r="337" customFormat="false" ht="29.25" hidden="false" customHeight="true" outlineLevel="0" collapsed="false">
      <c r="A337" s="16" t="n">
        <v>5</v>
      </c>
      <c r="B337" s="17" t="s">
        <v>1275</v>
      </c>
      <c r="C337" s="58" t="n">
        <v>46224</v>
      </c>
      <c r="D337" s="58" t="n">
        <v>46232</v>
      </c>
      <c r="E337" s="54" t="n">
        <v>8</v>
      </c>
      <c r="F337" s="18" t="n">
        <v>4694.84</v>
      </c>
      <c r="G337" s="66" t="s">
        <v>1276</v>
      </c>
      <c r="H337" s="16" t="s">
        <v>1264</v>
      </c>
      <c r="I337" s="54" t="n">
        <v>24</v>
      </c>
      <c r="J337" s="19" t="s">
        <v>1277</v>
      </c>
    </row>
    <row r="338" customFormat="false" ht="29.25" hidden="false" customHeight="true" outlineLevel="0" collapsed="false">
      <c r="A338" s="16" t="n">
        <v>6</v>
      </c>
      <c r="B338" s="17" t="s">
        <v>1278</v>
      </c>
      <c r="C338" s="58" t="n">
        <v>46224</v>
      </c>
      <c r="D338" s="58" t="n">
        <v>46232</v>
      </c>
      <c r="E338" s="54" t="n">
        <v>8</v>
      </c>
      <c r="F338" s="18" t="n">
        <v>6572.78</v>
      </c>
      <c r="G338" s="66" t="s">
        <v>1279</v>
      </c>
      <c r="H338" s="16" t="s">
        <v>1264</v>
      </c>
      <c r="I338" s="54" t="n">
        <v>24</v>
      </c>
      <c r="J338" s="19" t="s">
        <v>1277</v>
      </c>
    </row>
    <row r="339" customFormat="false" ht="29.25" hidden="false" customHeight="true" outlineLevel="0" collapsed="false">
      <c r="A339" s="16" t="n">
        <v>7</v>
      </c>
      <c r="B339" s="17" t="s">
        <v>1280</v>
      </c>
      <c r="C339" s="58" t="n">
        <v>46233</v>
      </c>
      <c r="D339" s="58" t="n">
        <v>46247</v>
      </c>
      <c r="E339" s="54" t="n">
        <v>11</v>
      </c>
      <c r="F339" s="18" t="n">
        <v>3756.88</v>
      </c>
      <c r="G339" s="66" t="s">
        <v>1281</v>
      </c>
      <c r="H339" s="16" t="s">
        <v>1282</v>
      </c>
      <c r="I339" s="54" t="n">
        <v>20</v>
      </c>
      <c r="J339" s="19" t="s">
        <v>1283</v>
      </c>
    </row>
    <row r="340" customFormat="false" ht="29.25" hidden="false" customHeight="true" outlineLevel="0" collapsed="false">
      <c r="A340" s="16" t="n">
        <v>8</v>
      </c>
      <c r="B340" s="17" t="s">
        <v>1284</v>
      </c>
      <c r="C340" s="58" t="n">
        <v>46233</v>
      </c>
      <c r="D340" s="58" t="n">
        <v>46247</v>
      </c>
      <c r="E340" s="54" t="n">
        <v>11</v>
      </c>
      <c r="F340" s="18" t="n">
        <v>4694.84</v>
      </c>
      <c r="G340" s="66" t="s">
        <v>1285</v>
      </c>
      <c r="H340" s="16" t="s">
        <v>1282</v>
      </c>
      <c r="I340" s="54" t="n">
        <v>20</v>
      </c>
      <c r="J340" s="19" t="s">
        <v>1283</v>
      </c>
    </row>
    <row r="341" customFormat="false" ht="29.25" hidden="false" customHeight="true" outlineLevel="0" collapsed="false">
      <c r="A341" s="16" t="n">
        <v>9</v>
      </c>
      <c r="B341" s="17" t="s">
        <v>1286</v>
      </c>
      <c r="C341" s="58" t="n">
        <v>46235</v>
      </c>
      <c r="D341" s="58" t="n">
        <v>46246</v>
      </c>
      <c r="E341" s="54" t="n">
        <v>11</v>
      </c>
      <c r="F341" s="18" t="n">
        <v>4694.84</v>
      </c>
      <c r="G341" s="66" t="s">
        <v>1287</v>
      </c>
      <c r="H341" s="16" t="s">
        <v>1264</v>
      </c>
      <c r="I341" s="54" t="n">
        <v>18</v>
      </c>
      <c r="J341" s="19" t="s">
        <v>1288</v>
      </c>
    </row>
    <row r="342" customFormat="false" ht="29.25" hidden="false" customHeight="true" outlineLevel="0" collapsed="false">
      <c r="A342" s="16" t="n">
        <v>10</v>
      </c>
      <c r="B342" s="17" t="s">
        <v>1289</v>
      </c>
      <c r="C342" s="58" t="n">
        <v>46235</v>
      </c>
      <c r="D342" s="58" t="n">
        <v>46247</v>
      </c>
      <c r="E342" s="54" t="n">
        <v>12</v>
      </c>
      <c r="F342" s="18" t="n">
        <v>4694.84</v>
      </c>
      <c r="G342" s="66" t="s">
        <v>1290</v>
      </c>
      <c r="H342" s="16" t="s">
        <v>1264</v>
      </c>
      <c r="I342" s="54" t="n">
        <v>32</v>
      </c>
      <c r="J342" s="19" t="s">
        <v>1288</v>
      </c>
    </row>
    <row r="343" customFormat="false" ht="29.25" hidden="false" customHeight="true" outlineLevel="0" collapsed="false">
      <c r="A343" s="16" t="n">
        <v>11</v>
      </c>
      <c r="B343" s="17" t="s">
        <v>1291</v>
      </c>
      <c r="C343" s="58" t="n">
        <v>46235</v>
      </c>
      <c r="D343" s="58" t="n">
        <v>46246</v>
      </c>
      <c r="E343" s="54" t="n">
        <v>11</v>
      </c>
      <c r="F343" s="18" t="n">
        <v>7512.76</v>
      </c>
      <c r="G343" s="66" t="s">
        <v>1292</v>
      </c>
      <c r="H343" s="16" t="s">
        <v>1264</v>
      </c>
      <c r="I343" s="54" t="n">
        <v>18</v>
      </c>
      <c r="J343" s="19" t="s">
        <v>1288</v>
      </c>
    </row>
    <row r="344" customFormat="false" ht="29.25" hidden="false" customHeight="true" outlineLevel="0" collapsed="false">
      <c r="A344" s="16" t="n">
        <v>12</v>
      </c>
      <c r="B344" s="17" t="s">
        <v>1293</v>
      </c>
      <c r="C344" s="58" t="n">
        <v>46235</v>
      </c>
      <c r="D344" s="58" t="n">
        <v>46246</v>
      </c>
      <c r="E344" s="54" t="n">
        <v>11</v>
      </c>
      <c r="F344" s="18" t="n">
        <v>3755.87</v>
      </c>
      <c r="G344" s="66" t="s">
        <v>1294</v>
      </c>
      <c r="H344" s="16" t="s">
        <v>1264</v>
      </c>
      <c r="I344" s="54" t="n">
        <v>18</v>
      </c>
      <c r="J344" s="19" t="s">
        <v>1288</v>
      </c>
    </row>
    <row r="345" customFormat="false" ht="29.25" hidden="false" customHeight="true" outlineLevel="0" collapsed="false">
      <c r="A345" s="16" t="n">
        <v>13</v>
      </c>
      <c r="B345" s="17" t="s">
        <v>1295</v>
      </c>
      <c r="C345" s="58" t="n">
        <v>46235</v>
      </c>
      <c r="D345" s="58" t="n">
        <v>46243</v>
      </c>
      <c r="E345" s="54" t="n">
        <v>8</v>
      </c>
      <c r="F345" s="18" t="n">
        <v>7512.76</v>
      </c>
      <c r="G345" s="66" t="s">
        <v>1296</v>
      </c>
      <c r="H345" s="16" t="s">
        <v>1264</v>
      </c>
      <c r="I345" s="54" t="n">
        <v>21</v>
      </c>
      <c r="J345" s="19" t="s">
        <v>1288</v>
      </c>
    </row>
    <row r="346" customFormat="false" ht="29.25" hidden="false" customHeight="true" outlineLevel="0" collapsed="false">
      <c r="A346" s="16" t="n">
        <v>14</v>
      </c>
      <c r="B346" s="17" t="s">
        <v>1297</v>
      </c>
      <c r="C346" s="58" t="n">
        <v>46235</v>
      </c>
      <c r="D346" s="58" t="n">
        <v>46246</v>
      </c>
      <c r="E346" s="54" t="n">
        <v>11</v>
      </c>
      <c r="F346" s="18" t="n">
        <v>4694.84</v>
      </c>
      <c r="G346" s="66" t="s">
        <v>1298</v>
      </c>
      <c r="H346" s="16" t="s">
        <v>1264</v>
      </c>
      <c r="I346" s="54" t="n">
        <v>25</v>
      </c>
      <c r="J346" s="19" t="s">
        <v>1277</v>
      </c>
    </row>
    <row r="347" customFormat="false" ht="29.25" hidden="false" customHeight="true" outlineLevel="0" collapsed="false">
      <c r="A347" s="16" t="n">
        <v>15</v>
      </c>
      <c r="B347" s="17" t="s">
        <v>1299</v>
      </c>
      <c r="C347" s="58" t="n">
        <v>46235</v>
      </c>
      <c r="D347" s="58" t="n">
        <v>46246</v>
      </c>
      <c r="E347" s="54" t="n">
        <v>11</v>
      </c>
      <c r="F347" s="18" t="n">
        <v>4694.84</v>
      </c>
      <c r="G347" s="66" t="s">
        <v>1300</v>
      </c>
      <c r="H347" s="16" t="s">
        <v>1264</v>
      </c>
      <c r="I347" s="54" t="n">
        <v>25</v>
      </c>
      <c r="J347" s="19" t="s">
        <v>1277</v>
      </c>
    </row>
    <row r="348" customFormat="false" ht="29.25" hidden="false" customHeight="true" outlineLevel="0" collapsed="false">
      <c r="A348" s="16" t="n">
        <v>16</v>
      </c>
      <c r="B348" s="17" t="s">
        <v>1301</v>
      </c>
      <c r="C348" s="58" t="n">
        <v>46235</v>
      </c>
      <c r="D348" s="58" t="n">
        <v>46249</v>
      </c>
      <c r="E348" s="54" t="n">
        <v>13</v>
      </c>
      <c r="F348" s="18" t="n">
        <v>4694.84</v>
      </c>
      <c r="G348" s="66" t="s">
        <v>1302</v>
      </c>
      <c r="H348" s="16" t="s">
        <v>1264</v>
      </c>
      <c r="I348" s="54" t="n">
        <v>27</v>
      </c>
      <c r="J348" s="19" t="s">
        <v>1277</v>
      </c>
    </row>
    <row r="349" customFormat="false" ht="29.25" hidden="false" customHeight="true" outlineLevel="0" collapsed="false">
      <c r="A349" s="16" t="n">
        <v>17</v>
      </c>
      <c r="B349" s="17" t="s">
        <v>1303</v>
      </c>
      <c r="C349" s="58" t="n">
        <v>46235</v>
      </c>
      <c r="D349" s="58" t="n">
        <v>46235</v>
      </c>
      <c r="E349" s="54" t="n">
        <v>1</v>
      </c>
      <c r="F349" s="18" t="n">
        <v>0</v>
      </c>
      <c r="G349" s="66" t="s">
        <v>1304</v>
      </c>
      <c r="H349" s="16" t="s">
        <v>1264</v>
      </c>
      <c r="I349" s="54" t="n">
        <v>0</v>
      </c>
      <c r="J349" s="19" t="s">
        <v>1305</v>
      </c>
    </row>
    <row r="350" customFormat="false" ht="29.25" hidden="false" customHeight="true" outlineLevel="0" collapsed="false">
      <c r="A350" s="16" t="n">
        <v>18</v>
      </c>
      <c r="B350" s="17" t="s">
        <v>1306</v>
      </c>
      <c r="C350" s="58" t="n">
        <v>46235</v>
      </c>
      <c r="D350" s="58" t="n">
        <v>46235</v>
      </c>
      <c r="E350" s="54" t="n">
        <v>1</v>
      </c>
      <c r="F350" s="18" t="n">
        <v>0</v>
      </c>
      <c r="G350" s="66" t="s">
        <v>1307</v>
      </c>
      <c r="H350" s="16" t="s">
        <v>1264</v>
      </c>
      <c r="I350" s="54" t="n">
        <v>0</v>
      </c>
      <c r="J350" s="19" t="s">
        <v>1308</v>
      </c>
    </row>
    <row r="351" customFormat="false" ht="29.25" hidden="false" customHeight="true" outlineLevel="0" collapsed="false">
      <c r="A351" s="16" t="n">
        <v>19</v>
      </c>
      <c r="B351" s="17" t="s">
        <v>1309</v>
      </c>
      <c r="C351" s="58" t="n">
        <v>46235</v>
      </c>
      <c r="D351" s="58" t="n">
        <v>46239</v>
      </c>
      <c r="E351" s="54" t="n">
        <v>5</v>
      </c>
      <c r="F351" s="18" t="n">
        <v>0</v>
      </c>
      <c r="G351" s="66" t="s">
        <v>1310</v>
      </c>
      <c r="H351" s="16" t="s">
        <v>1264</v>
      </c>
      <c r="I351" s="54" t="n">
        <v>23</v>
      </c>
      <c r="J351" s="19" t="s">
        <v>1311</v>
      </c>
    </row>
    <row r="352" customFormat="false" ht="29.25" hidden="false" customHeight="true" outlineLevel="0" collapsed="false">
      <c r="A352" s="16" t="n">
        <v>20</v>
      </c>
      <c r="B352" s="17" t="s">
        <v>1312</v>
      </c>
      <c r="C352" s="58" t="n">
        <v>46236</v>
      </c>
      <c r="D352" s="58" t="n">
        <v>46237</v>
      </c>
      <c r="E352" s="54" t="n">
        <v>2</v>
      </c>
      <c r="F352" s="18" t="n">
        <v>0</v>
      </c>
      <c r="G352" s="66" t="s">
        <v>1313</v>
      </c>
      <c r="H352" s="16" t="s">
        <v>1264</v>
      </c>
      <c r="I352" s="54" t="n">
        <v>0</v>
      </c>
      <c r="J352" s="19" t="s">
        <v>1305</v>
      </c>
    </row>
    <row r="353" customFormat="false" ht="29.25" hidden="false" customHeight="true" outlineLevel="0" collapsed="false">
      <c r="A353" s="16" t="n">
        <v>21</v>
      </c>
      <c r="B353" s="17" t="s">
        <v>1314</v>
      </c>
      <c r="C353" s="58" t="n">
        <v>46236</v>
      </c>
      <c r="D353" s="58" t="n">
        <v>46237</v>
      </c>
      <c r="E353" s="54" t="n">
        <v>2</v>
      </c>
      <c r="F353" s="18" t="n">
        <v>0</v>
      </c>
      <c r="G353" s="66" t="s">
        <v>1315</v>
      </c>
      <c r="H353" s="16" t="s">
        <v>1282</v>
      </c>
      <c r="I353" s="54" t="n">
        <v>0</v>
      </c>
      <c r="J353" s="19" t="s">
        <v>1308</v>
      </c>
    </row>
    <row r="354" customFormat="false" ht="18" hidden="false" customHeight="true" outlineLevel="0" collapsed="false">
      <c r="A354" s="16" t="n">
        <v>22</v>
      </c>
      <c r="B354" s="17" t="s">
        <v>1316</v>
      </c>
      <c r="C354" s="58" t="n">
        <v>46238</v>
      </c>
      <c r="D354" s="58" t="n">
        <v>46240</v>
      </c>
      <c r="E354" s="54" t="n">
        <v>3</v>
      </c>
      <c r="F354" s="18" t="n">
        <v>348110.34</v>
      </c>
      <c r="G354" s="66" t="s">
        <v>1317</v>
      </c>
      <c r="H354" s="16" t="s">
        <v>1264</v>
      </c>
      <c r="I354" s="54" t="n">
        <v>0</v>
      </c>
      <c r="J354" s="19" t="s">
        <v>1318</v>
      </c>
    </row>
    <row r="355" customFormat="false" ht="29.25" hidden="false" customHeight="true" outlineLevel="0" collapsed="false">
      <c r="A355" s="16" t="n">
        <v>23</v>
      </c>
      <c r="B355" s="17" t="s">
        <v>1319</v>
      </c>
      <c r="C355" s="58" t="n">
        <v>46240</v>
      </c>
      <c r="D355" s="58" t="n">
        <v>46257</v>
      </c>
      <c r="E355" s="54" t="n">
        <v>12</v>
      </c>
      <c r="F355" s="18" t="n">
        <v>0</v>
      </c>
      <c r="G355" s="66" t="s">
        <v>1320</v>
      </c>
      <c r="H355" s="16" t="s">
        <v>1282</v>
      </c>
      <c r="I355" s="54" t="n">
        <v>19</v>
      </c>
      <c r="J355" s="19" t="s">
        <v>1311</v>
      </c>
    </row>
    <row r="356" customFormat="false" ht="18" hidden="false" customHeight="true" outlineLevel="0" collapsed="false">
      <c r="A356" s="16" t="n">
        <v>24</v>
      </c>
      <c r="B356" s="17" t="s">
        <v>1321</v>
      </c>
      <c r="C356" s="58" t="n">
        <v>46241</v>
      </c>
      <c r="D356" s="58" t="n">
        <v>46245</v>
      </c>
      <c r="E356" s="54" t="n">
        <v>5</v>
      </c>
      <c r="F356" s="18" t="n">
        <v>62475</v>
      </c>
      <c r="G356" s="66" t="s">
        <v>1322</v>
      </c>
      <c r="H356" s="16" t="s">
        <v>1268</v>
      </c>
      <c r="I356" s="54" t="n">
        <v>35</v>
      </c>
      <c r="J356" s="19" t="s">
        <v>1323</v>
      </c>
    </row>
    <row r="357" customFormat="false" ht="29.25" hidden="false" customHeight="true" outlineLevel="0" collapsed="false">
      <c r="A357" s="16" t="n">
        <v>25</v>
      </c>
      <c r="B357" s="17" t="s">
        <v>1324</v>
      </c>
      <c r="C357" s="58" t="n">
        <v>46242</v>
      </c>
      <c r="D357" s="58" t="n">
        <v>46322</v>
      </c>
      <c r="E357" s="54" t="n">
        <v>69</v>
      </c>
      <c r="F357" s="18" t="n">
        <v>542616.31</v>
      </c>
      <c r="G357" s="66" t="s">
        <v>1325</v>
      </c>
      <c r="H357" s="16" t="s">
        <v>1264</v>
      </c>
      <c r="I357" s="54" t="n">
        <v>0</v>
      </c>
      <c r="J357" s="19" t="s">
        <v>1326</v>
      </c>
    </row>
    <row r="358" customFormat="false" ht="29.25" hidden="false" customHeight="true" outlineLevel="0" collapsed="false">
      <c r="A358" s="16" t="n">
        <v>26</v>
      </c>
      <c r="B358" s="17" t="s">
        <v>1324</v>
      </c>
      <c r="C358" s="58" t="n">
        <v>46242</v>
      </c>
      <c r="D358" s="58" t="n">
        <v>46307</v>
      </c>
      <c r="E358" s="54" t="n">
        <v>56</v>
      </c>
      <c r="F358" s="18" t="n">
        <v>542659.99</v>
      </c>
      <c r="G358" s="66" t="s">
        <v>1327</v>
      </c>
      <c r="H358" s="16" t="s">
        <v>1264</v>
      </c>
      <c r="I358" s="54" t="n">
        <v>14</v>
      </c>
      <c r="J358" s="19" t="s">
        <v>1328</v>
      </c>
    </row>
    <row r="359" customFormat="false" ht="29.25" hidden="false" customHeight="true" outlineLevel="0" collapsed="false">
      <c r="A359" s="16" t="n">
        <v>27</v>
      </c>
      <c r="B359" s="17" t="s">
        <v>1329</v>
      </c>
      <c r="C359" s="58" t="n">
        <v>46244</v>
      </c>
      <c r="D359" s="58" t="n">
        <v>46251</v>
      </c>
      <c r="E359" s="54" t="n">
        <v>6</v>
      </c>
      <c r="F359" s="18" t="n">
        <v>2816.9</v>
      </c>
      <c r="G359" s="66" t="s">
        <v>1330</v>
      </c>
      <c r="H359" s="16" t="s">
        <v>1282</v>
      </c>
      <c r="I359" s="54" t="n">
        <v>18</v>
      </c>
      <c r="J359" s="19" t="s">
        <v>1331</v>
      </c>
    </row>
    <row r="360" customFormat="false" ht="18" hidden="false" customHeight="true" outlineLevel="0" collapsed="false">
      <c r="A360" s="16" t="n">
        <v>28</v>
      </c>
      <c r="B360" s="17" t="s">
        <v>1332</v>
      </c>
      <c r="C360" s="58" t="n">
        <v>46246</v>
      </c>
      <c r="D360" s="58" t="n">
        <v>46259</v>
      </c>
      <c r="E360" s="54" t="n">
        <v>14</v>
      </c>
      <c r="F360" s="18" t="n">
        <v>26775</v>
      </c>
      <c r="G360" s="66" t="s">
        <v>1333</v>
      </c>
      <c r="H360" s="16" t="s">
        <v>1268</v>
      </c>
      <c r="I360" s="54" t="n">
        <v>35</v>
      </c>
      <c r="J360" s="19" t="s">
        <v>1323</v>
      </c>
    </row>
    <row r="361" customFormat="false" ht="29.25" hidden="false" customHeight="true" outlineLevel="0" collapsed="false">
      <c r="A361" s="16" t="n">
        <v>29</v>
      </c>
      <c r="B361" s="17" t="s">
        <v>1334</v>
      </c>
      <c r="C361" s="58" t="n">
        <v>46247</v>
      </c>
      <c r="D361" s="58" t="n">
        <v>46254</v>
      </c>
      <c r="E361" s="54" t="n">
        <v>6</v>
      </c>
      <c r="F361" s="18" t="n">
        <v>2816.9</v>
      </c>
      <c r="G361" s="66" t="s">
        <v>1335</v>
      </c>
      <c r="H361" s="16" t="s">
        <v>1282</v>
      </c>
      <c r="I361" s="54" t="n">
        <v>15</v>
      </c>
      <c r="J361" s="19" t="s">
        <v>1331</v>
      </c>
    </row>
    <row r="362" customFormat="false" ht="29.25" hidden="false" customHeight="true" outlineLevel="0" collapsed="false">
      <c r="A362" s="16" t="n">
        <v>30</v>
      </c>
      <c r="B362" s="17" t="s">
        <v>1336</v>
      </c>
      <c r="C362" s="58" t="n">
        <v>46247</v>
      </c>
      <c r="D362" s="58" t="n">
        <v>46254</v>
      </c>
      <c r="E362" s="54" t="n">
        <v>6</v>
      </c>
      <c r="F362" s="18" t="n">
        <v>2816.9</v>
      </c>
      <c r="G362" s="66" t="s">
        <v>1337</v>
      </c>
      <c r="H362" s="16" t="s">
        <v>1282</v>
      </c>
      <c r="I362" s="54" t="n">
        <v>15</v>
      </c>
      <c r="J362" s="19" t="s">
        <v>1331</v>
      </c>
    </row>
    <row r="363" customFormat="false" ht="29.25" hidden="false" customHeight="true" outlineLevel="0" collapsed="false">
      <c r="A363" s="16" t="n">
        <v>31</v>
      </c>
      <c r="B363" s="17" t="s">
        <v>1338</v>
      </c>
      <c r="C363" s="58" t="n">
        <v>46247</v>
      </c>
      <c r="D363" s="58" t="n">
        <v>46254</v>
      </c>
      <c r="E363" s="54" t="n">
        <v>6</v>
      </c>
      <c r="F363" s="18" t="n">
        <v>1877.94</v>
      </c>
      <c r="G363" s="66" t="s">
        <v>1339</v>
      </c>
      <c r="H363" s="16" t="s">
        <v>1282</v>
      </c>
      <c r="I363" s="54" t="n">
        <v>15</v>
      </c>
      <c r="J363" s="19" t="s">
        <v>1331</v>
      </c>
    </row>
    <row r="364" customFormat="false" ht="29.25" hidden="false" customHeight="true" outlineLevel="0" collapsed="false">
      <c r="A364" s="16" t="n">
        <v>32</v>
      </c>
      <c r="B364" s="17" t="s">
        <v>1340</v>
      </c>
      <c r="C364" s="58" t="n">
        <v>46247</v>
      </c>
      <c r="D364" s="58" t="n">
        <v>46259</v>
      </c>
      <c r="E364" s="54" t="n">
        <v>9</v>
      </c>
      <c r="F364" s="18" t="n">
        <v>3756.88</v>
      </c>
      <c r="G364" s="66" t="s">
        <v>1341</v>
      </c>
      <c r="H364" s="16" t="s">
        <v>1282</v>
      </c>
      <c r="I364" s="54" t="n">
        <v>24</v>
      </c>
      <c r="J364" s="19" t="s">
        <v>1283</v>
      </c>
    </row>
    <row r="365" customFormat="false" ht="29.25" hidden="false" customHeight="true" outlineLevel="0" collapsed="false">
      <c r="A365" s="16" t="n">
        <v>33</v>
      </c>
      <c r="B365" s="17" t="s">
        <v>1342</v>
      </c>
      <c r="C365" s="58" t="n">
        <v>46247</v>
      </c>
      <c r="D365" s="58" t="n">
        <v>46259</v>
      </c>
      <c r="E365" s="54" t="n">
        <v>9</v>
      </c>
      <c r="F365" s="18" t="n">
        <v>3756.88</v>
      </c>
      <c r="G365" s="66" t="s">
        <v>1343</v>
      </c>
      <c r="H365" s="16" t="s">
        <v>1282</v>
      </c>
      <c r="I365" s="54" t="n">
        <v>24</v>
      </c>
      <c r="J365" s="19" t="s">
        <v>1283</v>
      </c>
    </row>
    <row r="366" customFormat="false" ht="29.25" hidden="false" customHeight="true" outlineLevel="0" collapsed="false">
      <c r="A366" s="16" t="n">
        <v>34</v>
      </c>
      <c r="B366" s="17" t="s">
        <v>1344</v>
      </c>
      <c r="C366" s="58" t="n">
        <v>46250</v>
      </c>
      <c r="D366" s="58" t="n">
        <v>46257</v>
      </c>
      <c r="E366" s="54" t="n">
        <v>6</v>
      </c>
      <c r="F366" s="18" t="n">
        <v>1877.94</v>
      </c>
      <c r="G366" s="66" t="s">
        <v>1345</v>
      </c>
      <c r="H366" s="16" t="s">
        <v>1282</v>
      </c>
      <c r="I366" s="54" t="n">
        <v>26</v>
      </c>
      <c r="J366" s="19" t="s">
        <v>1331</v>
      </c>
    </row>
    <row r="367" customFormat="false" ht="29.25" hidden="false" customHeight="true" outlineLevel="0" collapsed="false">
      <c r="A367" s="16" t="n">
        <v>35</v>
      </c>
      <c r="B367" s="17" t="s">
        <v>1346</v>
      </c>
      <c r="C367" s="58" t="n">
        <v>46250</v>
      </c>
      <c r="D367" s="58" t="n">
        <v>46260</v>
      </c>
      <c r="E367" s="54" t="n">
        <v>9</v>
      </c>
      <c r="F367" s="18" t="n">
        <v>3756.88</v>
      </c>
      <c r="G367" s="66" t="s">
        <v>1347</v>
      </c>
      <c r="H367" s="16" t="s">
        <v>1282</v>
      </c>
      <c r="I367" s="54" t="n">
        <v>23</v>
      </c>
      <c r="J367" s="19" t="s">
        <v>1283</v>
      </c>
    </row>
    <row r="368" customFormat="false" ht="18" hidden="false" customHeight="true" outlineLevel="0" collapsed="false">
      <c r="A368" s="16" t="n">
        <v>36</v>
      </c>
      <c r="B368" s="17" t="s">
        <v>1348</v>
      </c>
      <c r="C368" s="58" t="n">
        <v>46256</v>
      </c>
      <c r="D368" s="58" t="n">
        <v>46260</v>
      </c>
      <c r="E368" s="54" t="n">
        <v>5</v>
      </c>
      <c r="F368" s="18" t="n">
        <v>260346.53</v>
      </c>
      <c r="G368" s="66" t="s">
        <v>1349</v>
      </c>
      <c r="H368" s="16" t="s">
        <v>1264</v>
      </c>
      <c r="I368" s="54" t="n">
        <v>18</v>
      </c>
      <c r="J368" s="19" t="s">
        <v>1350</v>
      </c>
    </row>
    <row r="369" customFormat="false" ht="18" hidden="false" customHeight="true" outlineLevel="0" collapsed="false">
      <c r="A369" s="16" t="n">
        <v>37</v>
      </c>
      <c r="B369" s="17" t="s">
        <v>1351</v>
      </c>
      <c r="C369" s="58" t="n">
        <v>46256</v>
      </c>
      <c r="D369" s="58" t="n">
        <v>46260</v>
      </c>
      <c r="E369" s="54" t="n">
        <v>5</v>
      </c>
      <c r="F369" s="18" t="n">
        <v>318201.32</v>
      </c>
      <c r="G369" s="66" t="s">
        <v>1352</v>
      </c>
      <c r="H369" s="16" t="s">
        <v>1264</v>
      </c>
      <c r="I369" s="54" t="n">
        <v>18</v>
      </c>
      <c r="J369" s="19" t="s">
        <v>1353</v>
      </c>
    </row>
    <row r="370" customFormat="false" ht="29.25" hidden="false" customHeight="true" outlineLevel="0" collapsed="false">
      <c r="A370" s="16" t="n">
        <v>38</v>
      </c>
      <c r="B370" s="17" t="s">
        <v>1306</v>
      </c>
      <c r="C370" s="58" t="n">
        <v>46258</v>
      </c>
      <c r="D370" s="58" t="n">
        <v>46265</v>
      </c>
      <c r="E370" s="54" t="n">
        <v>7</v>
      </c>
      <c r="F370" s="18" t="n">
        <v>0</v>
      </c>
      <c r="G370" s="66" t="s">
        <v>1354</v>
      </c>
      <c r="H370" s="16" t="s">
        <v>1264</v>
      </c>
      <c r="I370" s="54" t="n">
        <v>23</v>
      </c>
      <c r="J370" s="19" t="s">
        <v>1355</v>
      </c>
    </row>
    <row r="371" customFormat="false" ht="18" hidden="false" customHeight="true" outlineLevel="0" collapsed="false">
      <c r="A371" s="16" t="n">
        <v>39</v>
      </c>
      <c r="B371" s="17" t="s">
        <v>1356</v>
      </c>
      <c r="C371" s="58" t="n">
        <v>46261</v>
      </c>
      <c r="D371" s="58" t="n">
        <v>46265</v>
      </c>
      <c r="E371" s="54" t="n">
        <v>4</v>
      </c>
      <c r="F371" s="18" t="n">
        <v>12086.23</v>
      </c>
      <c r="G371" s="66" t="s">
        <v>1357</v>
      </c>
      <c r="H371" s="16" t="s">
        <v>1264</v>
      </c>
      <c r="I371" s="54" t="n">
        <v>18</v>
      </c>
      <c r="J371" s="19" t="s">
        <v>1358</v>
      </c>
    </row>
    <row r="372" customFormat="false" ht="18" hidden="false" customHeight="true" outlineLevel="0" collapsed="false">
      <c r="A372" s="16" t="n">
        <v>40</v>
      </c>
      <c r="B372" s="17" t="s">
        <v>1359</v>
      </c>
      <c r="C372" s="58" t="n">
        <v>46266</v>
      </c>
      <c r="D372" s="58" t="n">
        <v>46273</v>
      </c>
      <c r="E372" s="54" t="n">
        <v>7</v>
      </c>
      <c r="F372" s="18" t="n">
        <v>12086.23</v>
      </c>
      <c r="G372" s="66" t="s">
        <v>1360</v>
      </c>
      <c r="H372" s="16" t="s">
        <v>1264</v>
      </c>
      <c r="I372" s="54" t="n">
        <v>18</v>
      </c>
      <c r="J372" s="19" t="s">
        <v>1358</v>
      </c>
    </row>
    <row r="373" customFormat="false" ht="29.25" hidden="false" customHeight="true" outlineLevel="0" collapsed="false">
      <c r="A373" s="16" t="n">
        <v>41</v>
      </c>
      <c r="B373" s="17" t="s">
        <v>1314</v>
      </c>
      <c r="C373" s="58" t="n">
        <v>46266</v>
      </c>
      <c r="D373" s="58" t="n">
        <v>46285</v>
      </c>
      <c r="E373" s="54" t="n">
        <v>14</v>
      </c>
      <c r="F373" s="18" t="n">
        <v>0</v>
      </c>
      <c r="G373" s="66" t="s">
        <v>1361</v>
      </c>
      <c r="H373" s="16" t="s">
        <v>1282</v>
      </c>
      <c r="I373" s="54" t="n">
        <v>19</v>
      </c>
      <c r="J373" s="19" t="s">
        <v>1355</v>
      </c>
    </row>
    <row r="374" customFormat="false" ht="18" hidden="false" customHeight="true" outlineLevel="0" collapsed="false">
      <c r="A374" s="16" t="n">
        <v>42</v>
      </c>
      <c r="B374" s="17" t="s">
        <v>1362</v>
      </c>
      <c r="C374" s="58" t="n">
        <v>46270</v>
      </c>
      <c r="D374" s="58" t="n">
        <v>46277</v>
      </c>
      <c r="E374" s="54" t="n">
        <v>7</v>
      </c>
      <c r="F374" s="18" t="n">
        <v>56402.53</v>
      </c>
      <c r="G374" s="66" t="s">
        <v>1363</v>
      </c>
      <c r="H374" s="16" t="s">
        <v>1264</v>
      </c>
      <c r="I374" s="54" t="n">
        <v>18</v>
      </c>
      <c r="J374" s="19" t="s">
        <v>1358</v>
      </c>
    </row>
    <row r="375" customFormat="false" ht="29.25" hidden="false" customHeight="true" outlineLevel="0" collapsed="false">
      <c r="A375" s="16" t="n">
        <v>43</v>
      </c>
      <c r="B375" s="17" t="s">
        <v>1364</v>
      </c>
      <c r="C375" s="58" t="n">
        <v>46272</v>
      </c>
      <c r="D375" s="58" t="n">
        <v>46278</v>
      </c>
      <c r="E375" s="54" t="n">
        <v>6</v>
      </c>
      <c r="F375" s="18" t="n">
        <v>5000</v>
      </c>
      <c r="G375" s="66" t="s">
        <v>1365</v>
      </c>
      <c r="H375" s="16" t="s">
        <v>1264</v>
      </c>
      <c r="I375" s="54" t="n">
        <v>18</v>
      </c>
      <c r="J375" s="19" t="s">
        <v>1366</v>
      </c>
    </row>
    <row r="376" customFormat="false" ht="31.5" hidden="false" customHeight="true" outlineLevel="0" collapsed="false">
      <c r="A376" s="13" t="s">
        <v>566</v>
      </c>
      <c r="B376" s="13" t="s">
        <v>1254</v>
      </c>
      <c r="C376" s="13" t="s">
        <v>1255</v>
      </c>
      <c r="D376" s="13" t="s">
        <v>1256</v>
      </c>
      <c r="E376" s="13" t="s">
        <v>1257</v>
      </c>
      <c r="F376" s="13" t="s">
        <v>1258</v>
      </c>
      <c r="G376" s="13" t="s">
        <v>1259</v>
      </c>
      <c r="H376" s="13" t="s">
        <v>1260</v>
      </c>
      <c r="I376" s="13" t="s">
        <v>1261</v>
      </c>
      <c r="J376" s="13" t="s">
        <v>599</v>
      </c>
    </row>
    <row r="377" customFormat="false" ht="29.25" hidden="false" customHeight="true" outlineLevel="0" collapsed="false">
      <c r="A377" s="16" t="n">
        <v>44</v>
      </c>
      <c r="B377" s="17" t="s">
        <v>1367</v>
      </c>
      <c r="C377" s="58" t="n">
        <v>46273</v>
      </c>
      <c r="D377" s="58" t="n">
        <v>46298</v>
      </c>
      <c r="E377" s="54" t="n">
        <v>21</v>
      </c>
      <c r="F377" s="18" t="n">
        <v>147998.19</v>
      </c>
      <c r="G377" s="66" t="s">
        <v>1368</v>
      </c>
      <c r="H377" s="16" t="s">
        <v>1264</v>
      </c>
      <c r="I377" s="54" t="n">
        <v>14</v>
      </c>
      <c r="J377" s="19" t="s">
        <v>1328</v>
      </c>
    </row>
    <row r="378" customFormat="false" ht="29.25" hidden="false" customHeight="true" outlineLevel="0" collapsed="false">
      <c r="A378" s="16" t="n">
        <v>45</v>
      </c>
      <c r="B378" s="17" t="s">
        <v>1369</v>
      </c>
      <c r="C378" s="58" t="n">
        <v>46273</v>
      </c>
      <c r="D378" s="58" t="n">
        <v>46298</v>
      </c>
      <c r="E378" s="54" t="n">
        <v>21</v>
      </c>
      <c r="F378" s="18" t="n">
        <v>0</v>
      </c>
      <c r="G378" s="66" t="s">
        <v>1370</v>
      </c>
      <c r="H378" s="16" t="s">
        <v>1264</v>
      </c>
      <c r="I378" s="54" t="n">
        <v>14</v>
      </c>
      <c r="J378" s="19" t="s">
        <v>1371</v>
      </c>
    </row>
    <row r="379" customFormat="false" ht="29.25" hidden="false" customHeight="true" outlineLevel="0" collapsed="false">
      <c r="A379" s="16" t="n">
        <v>46</v>
      </c>
      <c r="B379" s="17" t="s">
        <v>1372</v>
      </c>
      <c r="C379" s="58" t="n">
        <v>46274</v>
      </c>
      <c r="D379" s="58" t="n">
        <v>46299</v>
      </c>
      <c r="E379" s="54" t="n">
        <v>17</v>
      </c>
      <c r="F379" s="18" t="n">
        <v>0</v>
      </c>
      <c r="G379" s="66" t="s">
        <v>1373</v>
      </c>
      <c r="H379" s="16" t="s">
        <v>1282</v>
      </c>
      <c r="I379" s="54" t="n">
        <v>12</v>
      </c>
      <c r="J379" s="19" t="s">
        <v>1371</v>
      </c>
    </row>
    <row r="380" customFormat="false" ht="29.25" hidden="false" customHeight="true" outlineLevel="0" collapsed="false">
      <c r="A380" s="16" t="n">
        <v>47</v>
      </c>
      <c r="B380" s="17" t="s">
        <v>1374</v>
      </c>
      <c r="C380" s="58" t="n">
        <v>46277</v>
      </c>
      <c r="D380" s="58" t="n">
        <v>46300</v>
      </c>
      <c r="E380" s="54" t="n">
        <v>20</v>
      </c>
      <c r="F380" s="18" t="n">
        <v>441252.18</v>
      </c>
      <c r="G380" s="66" t="s">
        <v>1375</v>
      </c>
      <c r="H380" s="16" t="s">
        <v>1264</v>
      </c>
      <c r="I380" s="54" t="n">
        <v>15</v>
      </c>
      <c r="J380" s="19" t="s">
        <v>1376</v>
      </c>
    </row>
    <row r="381" customFormat="false" ht="29.25" hidden="false" customHeight="true" outlineLevel="0" collapsed="false">
      <c r="A381" s="16" t="n">
        <v>48</v>
      </c>
      <c r="B381" s="17" t="s">
        <v>1316</v>
      </c>
      <c r="C381" s="58" t="n">
        <v>46286</v>
      </c>
      <c r="D381" s="58" t="n">
        <v>46291</v>
      </c>
      <c r="E381" s="54" t="n">
        <v>4</v>
      </c>
      <c r="F381" s="18" t="n">
        <v>26471.87</v>
      </c>
      <c r="G381" s="66" t="s">
        <v>1377</v>
      </c>
      <c r="H381" s="16" t="s">
        <v>1264</v>
      </c>
      <c r="I381" s="54" t="n">
        <v>23</v>
      </c>
      <c r="J381" s="19" t="s">
        <v>1378</v>
      </c>
    </row>
    <row r="382" customFormat="false" ht="29.25" hidden="false" customHeight="true" outlineLevel="0" collapsed="false">
      <c r="A382" s="16" t="n">
        <v>49</v>
      </c>
      <c r="B382" s="17" t="s">
        <v>1379</v>
      </c>
      <c r="C382" s="58" t="n">
        <v>46292</v>
      </c>
      <c r="D382" s="58" t="n">
        <v>46326</v>
      </c>
      <c r="E382" s="54" t="n">
        <v>30</v>
      </c>
      <c r="F382" s="18" t="n">
        <v>149928.13</v>
      </c>
      <c r="G382" s="66" t="s">
        <v>1380</v>
      </c>
      <c r="H382" s="16" t="s">
        <v>1264</v>
      </c>
      <c r="I382" s="54" t="n">
        <v>23</v>
      </c>
      <c r="J382" s="19" t="s">
        <v>1381</v>
      </c>
    </row>
    <row r="383" customFormat="false" ht="29.25" hidden="false" customHeight="true" outlineLevel="0" collapsed="false">
      <c r="A383" s="16" t="n">
        <v>50</v>
      </c>
      <c r="B383" s="17" t="s">
        <v>1382</v>
      </c>
      <c r="C383" s="58" t="n">
        <v>46299</v>
      </c>
      <c r="D383" s="58" t="n">
        <v>46314</v>
      </c>
      <c r="E383" s="54" t="n">
        <v>14</v>
      </c>
      <c r="F383" s="18" t="n">
        <v>295996.37</v>
      </c>
      <c r="G383" s="66" t="s">
        <v>1383</v>
      </c>
      <c r="H383" s="16" t="s">
        <v>1264</v>
      </c>
      <c r="I383" s="54" t="n">
        <v>15</v>
      </c>
      <c r="J383" s="19" t="s">
        <v>1328</v>
      </c>
    </row>
    <row r="384" customFormat="false" ht="29.25" hidden="false" customHeight="true" outlineLevel="0" collapsed="false">
      <c r="A384" s="16" t="n">
        <v>51</v>
      </c>
      <c r="B384" s="17" t="s">
        <v>1384</v>
      </c>
      <c r="C384" s="58" t="n">
        <v>46299</v>
      </c>
      <c r="D384" s="58" t="n">
        <v>46314</v>
      </c>
      <c r="E384" s="54" t="n">
        <v>14</v>
      </c>
      <c r="F384" s="18" t="n">
        <v>0</v>
      </c>
      <c r="G384" s="66" t="s">
        <v>1385</v>
      </c>
      <c r="H384" s="16" t="s">
        <v>1264</v>
      </c>
      <c r="I384" s="54" t="n">
        <v>15</v>
      </c>
      <c r="J384" s="19" t="s">
        <v>1371</v>
      </c>
    </row>
    <row r="385" customFormat="false" ht="29.25" hidden="false" customHeight="true" outlineLevel="0" collapsed="false">
      <c r="A385" s="16" t="n">
        <v>52</v>
      </c>
      <c r="B385" s="17" t="s">
        <v>1386</v>
      </c>
      <c r="C385" s="58" t="n">
        <v>46300</v>
      </c>
      <c r="D385" s="58" t="n">
        <v>46315</v>
      </c>
      <c r="E385" s="54" t="n">
        <v>12</v>
      </c>
      <c r="F385" s="18" t="n">
        <v>0</v>
      </c>
      <c r="G385" s="66" t="s">
        <v>1387</v>
      </c>
      <c r="H385" s="16" t="s">
        <v>1282</v>
      </c>
      <c r="I385" s="54" t="n">
        <v>13</v>
      </c>
      <c r="J385" s="19" t="s">
        <v>1371</v>
      </c>
    </row>
    <row r="386" customFormat="false" ht="29.25" hidden="false" customHeight="true" outlineLevel="0" collapsed="false">
      <c r="A386" s="16" t="n">
        <v>53</v>
      </c>
      <c r="B386" s="17" t="s">
        <v>1388</v>
      </c>
      <c r="C386" s="58" t="n">
        <v>46301</v>
      </c>
      <c r="D386" s="58" t="n">
        <v>46319</v>
      </c>
      <c r="E386" s="54" t="n">
        <v>16</v>
      </c>
      <c r="F386" s="18" t="n">
        <v>701992.11</v>
      </c>
      <c r="G386" s="66" t="s">
        <v>1389</v>
      </c>
      <c r="H386" s="16" t="s">
        <v>1264</v>
      </c>
      <c r="I386" s="54" t="n">
        <v>15</v>
      </c>
      <c r="J386" s="19" t="s">
        <v>1376</v>
      </c>
    </row>
    <row r="387" customFormat="false" ht="18" hidden="false" customHeight="true" outlineLevel="0" collapsed="false">
      <c r="A387" s="16" t="n">
        <v>54</v>
      </c>
      <c r="B387" s="17" t="s">
        <v>1390</v>
      </c>
      <c r="C387" s="58" t="n">
        <v>46303</v>
      </c>
      <c r="D387" s="58" t="n">
        <v>46324</v>
      </c>
      <c r="E387" s="54" t="n">
        <v>19</v>
      </c>
      <c r="F387" s="18" t="n">
        <v>260739.93</v>
      </c>
      <c r="G387" s="66" t="s">
        <v>1391</v>
      </c>
      <c r="H387" s="16" t="s">
        <v>1264</v>
      </c>
      <c r="I387" s="54" t="n">
        <v>15</v>
      </c>
      <c r="J387" s="19" t="s">
        <v>1376</v>
      </c>
    </row>
    <row r="388" customFormat="false" ht="29.25" hidden="false" customHeight="true" outlineLevel="0" collapsed="false">
      <c r="A388" s="16" t="n">
        <v>55</v>
      </c>
      <c r="B388" s="17" t="s">
        <v>1392</v>
      </c>
      <c r="C388" s="58" t="n">
        <v>46315</v>
      </c>
      <c r="D388" s="58" t="n">
        <v>46330</v>
      </c>
      <c r="E388" s="54" t="n">
        <v>14</v>
      </c>
      <c r="F388" s="18" t="n">
        <v>443958.8</v>
      </c>
      <c r="G388" s="66" t="s">
        <v>1393</v>
      </c>
      <c r="H388" s="16" t="s">
        <v>1264</v>
      </c>
      <c r="I388" s="54" t="n">
        <v>0</v>
      </c>
      <c r="J388" s="19" t="s">
        <v>1326</v>
      </c>
    </row>
    <row r="389" customFormat="false" ht="29.25" hidden="false" customHeight="true" outlineLevel="0" collapsed="false">
      <c r="A389" s="16" t="n">
        <v>56</v>
      </c>
      <c r="B389" s="17" t="s">
        <v>1394</v>
      </c>
      <c r="C389" s="58" t="n">
        <v>46315</v>
      </c>
      <c r="D389" s="58" t="n">
        <v>46330</v>
      </c>
      <c r="E389" s="54" t="n">
        <v>14</v>
      </c>
      <c r="F389" s="18" t="n">
        <v>0</v>
      </c>
      <c r="G389" s="66" t="s">
        <v>1395</v>
      </c>
      <c r="H389" s="16" t="s">
        <v>1264</v>
      </c>
      <c r="I389" s="54" t="n">
        <v>0</v>
      </c>
      <c r="J389" s="19" t="s">
        <v>1396</v>
      </c>
    </row>
    <row r="390" customFormat="false" ht="29.25" hidden="false" customHeight="true" outlineLevel="0" collapsed="false">
      <c r="A390" s="16" t="n">
        <v>57</v>
      </c>
      <c r="B390" s="17" t="s">
        <v>1374</v>
      </c>
      <c r="C390" s="58" t="n">
        <v>46317</v>
      </c>
      <c r="D390" s="58" t="n">
        <v>46323</v>
      </c>
      <c r="E390" s="54" t="n">
        <v>6</v>
      </c>
      <c r="F390" s="18" t="n">
        <v>441252.18</v>
      </c>
      <c r="G390" s="66" t="s">
        <v>1397</v>
      </c>
      <c r="H390" s="16" t="s">
        <v>1264</v>
      </c>
      <c r="I390" s="54" t="n">
        <v>0</v>
      </c>
      <c r="J390" s="19" t="s">
        <v>1398</v>
      </c>
    </row>
    <row r="391" customFormat="false" ht="29.25" hidden="false" customHeight="true" outlineLevel="0" collapsed="false">
      <c r="A391" s="16" t="n">
        <v>58</v>
      </c>
      <c r="B391" s="17" t="s">
        <v>1399</v>
      </c>
      <c r="C391" s="58" t="n">
        <v>46317</v>
      </c>
      <c r="D391" s="58" t="n">
        <v>46331</v>
      </c>
      <c r="E391" s="54" t="n">
        <v>13</v>
      </c>
      <c r="F391" s="18" t="n">
        <v>0</v>
      </c>
      <c r="G391" s="66" t="s">
        <v>1400</v>
      </c>
      <c r="H391" s="16" t="s">
        <v>1264</v>
      </c>
      <c r="I391" s="54" t="n">
        <v>0</v>
      </c>
      <c r="J391" s="19" t="s">
        <v>1396</v>
      </c>
    </row>
    <row r="392" customFormat="false" ht="29.25" hidden="false" customHeight="true" outlineLevel="0" collapsed="false">
      <c r="A392" s="16" t="n">
        <v>59</v>
      </c>
      <c r="B392" s="17" t="s">
        <v>1388</v>
      </c>
      <c r="C392" s="58" t="n">
        <v>46324</v>
      </c>
      <c r="D392" s="58" t="n">
        <v>46337</v>
      </c>
      <c r="E392" s="54" t="n">
        <v>12</v>
      </c>
      <c r="F392" s="18" t="n">
        <v>701992.11</v>
      </c>
      <c r="G392" s="66" t="s">
        <v>1401</v>
      </c>
      <c r="H392" s="16" t="s">
        <v>1264</v>
      </c>
      <c r="I392" s="54" t="n">
        <v>0</v>
      </c>
      <c r="J392" s="19" t="s">
        <v>1398</v>
      </c>
    </row>
    <row r="393" customFormat="false" ht="18" hidden="false" customHeight="true" outlineLevel="0" collapsed="false">
      <c r="A393" s="16" t="n">
        <v>60</v>
      </c>
      <c r="B393" s="17" t="s">
        <v>1402</v>
      </c>
      <c r="C393" s="58" t="n">
        <v>46326</v>
      </c>
      <c r="D393" s="58" t="n">
        <v>46330</v>
      </c>
      <c r="E393" s="54" t="n">
        <v>5</v>
      </c>
      <c r="F393" s="18" t="n">
        <v>260739.93</v>
      </c>
      <c r="G393" s="66" t="s">
        <v>1403</v>
      </c>
      <c r="H393" s="16" t="s">
        <v>1264</v>
      </c>
      <c r="I393" s="54" t="n">
        <v>15</v>
      </c>
      <c r="J393" s="19" t="s">
        <v>1376</v>
      </c>
    </row>
    <row r="394" customFormat="false" ht="18" hidden="false" customHeight="true" outlineLevel="0" collapsed="false">
      <c r="A394" s="16" t="n">
        <v>61</v>
      </c>
      <c r="B394" s="17" t="s">
        <v>1390</v>
      </c>
      <c r="C394" s="58" t="n">
        <v>46327</v>
      </c>
      <c r="D394" s="58" t="n">
        <v>46343</v>
      </c>
      <c r="E394" s="54" t="n">
        <v>15</v>
      </c>
      <c r="F394" s="18" t="n">
        <v>260739.93</v>
      </c>
      <c r="G394" s="66" t="s">
        <v>1404</v>
      </c>
      <c r="H394" s="16" t="s">
        <v>1264</v>
      </c>
      <c r="I394" s="54" t="n">
        <v>0</v>
      </c>
      <c r="J394" s="19" t="s">
        <v>1398</v>
      </c>
    </row>
    <row r="395" customFormat="false" ht="29.25" hidden="false" customHeight="true" outlineLevel="0" collapsed="false">
      <c r="A395" s="16" t="n">
        <v>62</v>
      </c>
      <c r="B395" s="17" t="s">
        <v>1405</v>
      </c>
      <c r="C395" s="58" t="n">
        <v>46327</v>
      </c>
      <c r="D395" s="58" t="n">
        <v>46327</v>
      </c>
      <c r="E395" s="54" t="n">
        <v>1</v>
      </c>
      <c r="F395" s="18" t="n">
        <v>0</v>
      </c>
      <c r="G395" s="66" t="s">
        <v>1406</v>
      </c>
      <c r="H395" s="16" t="s">
        <v>1264</v>
      </c>
      <c r="I395" s="54" t="n">
        <v>23</v>
      </c>
      <c r="J395" s="19" t="s">
        <v>1407</v>
      </c>
    </row>
    <row r="396" customFormat="false" ht="29.25" hidden="false" customHeight="true" outlineLevel="0" collapsed="false">
      <c r="A396" s="16" t="n">
        <v>63</v>
      </c>
      <c r="B396" s="17" t="s">
        <v>1408</v>
      </c>
      <c r="C396" s="58" t="n">
        <v>46328</v>
      </c>
      <c r="D396" s="58" t="n">
        <v>46329</v>
      </c>
      <c r="E396" s="54" t="n">
        <v>2</v>
      </c>
      <c r="F396" s="18" t="n">
        <v>0</v>
      </c>
      <c r="G396" s="66" t="s">
        <v>1409</v>
      </c>
      <c r="H396" s="16" t="s">
        <v>1282</v>
      </c>
      <c r="I396" s="54" t="n">
        <v>19</v>
      </c>
      <c r="J396" s="19" t="s">
        <v>1407</v>
      </c>
    </row>
    <row r="397" customFormat="false" ht="29.25" hidden="false" customHeight="true" outlineLevel="0" collapsed="false">
      <c r="A397" s="16" t="n">
        <v>64</v>
      </c>
      <c r="B397" s="17" t="s">
        <v>1410</v>
      </c>
      <c r="C397" s="58" t="n">
        <v>46331</v>
      </c>
      <c r="D397" s="58" t="n">
        <v>46337</v>
      </c>
      <c r="E397" s="54" t="n">
        <v>6</v>
      </c>
      <c r="F397" s="18" t="n">
        <v>340967.6</v>
      </c>
      <c r="G397" s="66" t="s">
        <v>1411</v>
      </c>
      <c r="H397" s="16" t="s">
        <v>1264</v>
      </c>
      <c r="I397" s="54" t="n">
        <v>15</v>
      </c>
      <c r="J397" s="19" t="s">
        <v>1376</v>
      </c>
    </row>
    <row r="398" customFormat="false" ht="29.25" hidden="false" customHeight="true" outlineLevel="0" collapsed="false">
      <c r="A398" s="16" t="n">
        <v>65</v>
      </c>
      <c r="B398" s="17" t="s">
        <v>1412</v>
      </c>
      <c r="C398" s="58" t="n">
        <v>46335</v>
      </c>
      <c r="D398" s="58" t="n">
        <v>46340</v>
      </c>
      <c r="E398" s="54" t="n">
        <v>5</v>
      </c>
      <c r="F398" s="18" t="n">
        <v>44773.92</v>
      </c>
      <c r="G398" s="66" t="s">
        <v>1413</v>
      </c>
      <c r="H398" s="16" t="s">
        <v>1264</v>
      </c>
      <c r="I398" s="54" t="n">
        <v>17</v>
      </c>
      <c r="J398" s="19" t="s">
        <v>1414</v>
      </c>
    </row>
    <row r="399" customFormat="false" ht="29.25" hidden="false" customHeight="true" outlineLevel="0" collapsed="false">
      <c r="A399" s="16" t="n">
        <v>66</v>
      </c>
      <c r="B399" s="17" t="s">
        <v>1415</v>
      </c>
      <c r="C399" s="58" t="n">
        <v>46337</v>
      </c>
      <c r="D399" s="58" t="n">
        <v>46340</v>
      </c>
      <c r="E399" s="54" t="n">
        <v>3</v>
      </c>
      <c r="F399" s="18" t="n">
        <v>22386.96</v>
      </c>
      <c r="G399" s="66" t="s">
        <v>1416</v>
      </c>
      <c r="H399" s="16" t="s">
        <v>1264</v>
      </c>
      <c r="I399" s="54" t="n">
        <v>17</v>
      </c>
      <c r="J399" s="19" t="s">
        <v>1414</v>
      </c>
    </row>
    <row r="400" customFormat="false" ht="18" hidden="false" customHeight="true" outlineLevel="0" collapsed="false">
      <c r="A400" s="16" t="n">
        <v>67</v>
      </c>
      <c r="B400" s="17" t="s">
        <v>1417</v>
      </c>
      <c r="C400" s="58" t="n">
        <v>46338</v>
      </c>
      <c r="D400" s="58" t="n">
        <v>46342</v>
      </c>
      <c r="E400" s="54" t="n">
        <v>4</v>
      </c>
      <c r="F400" s="18" t="n">
        <v>156708.71</v>
      </c>
      <c r="G400" s="66" t="s">
        <v>1418</v>
      </c>
      <c r="H400" s="16" t="s">
        <v>1264</v>
      </c>
      <c r="I400" s="54" t="n">
        <v>15</v>
      </c>
      <c r="J400" s="19" t="s">
        <v>1414</v>
      </c>
    </row>
    <row r="401" customFormat="false" ht="18" hidden="false" customHeight="true" outlineLevel="0" collapsed="false">
      <c r="A401" s="16" t="n">
        <v>68</v>
      </c>
      <c r="B401" s="17" t="s">
        <v>1402</v>
      </c>
      <c r="C401" s="58" t="n">
        <v>46344</v>
      </c>
      <c r="D401" s="58" t="n">
        <v>46349</v>
      </c>
      <c r="E401" s="54" t="n">
        <v>5</v>
      </c>
      <c r="F401" s="18" t="n">
        <v>260739.93</v>
      </c>
      <c r="G401" s="66" t="s">
        <v>1419</v>
      </c>
      <c r="H401" s="16" t="s">
        <v>1264</v>
      </c>
      <c r="I401" s="54" t="n">
        <v>0</v>
      </c>
      <c r="J401" s="19" t="s">
        <v>1398</v>
      </c>
    </row>
    <row r="402" customFormat="false" ht="29.25" hidden="false" customHeight="true" outlineLevel="0" collapsed="false">
      <c r="A402" s="16" t="n">
        <v>69</v>
      </c>
      <c r="B402" s="17" t="s">
        <v>1410</v>
      </c>
      <c r="C402" s="58" t="n">
        <v>46350</v>
      </c>
      <c r="D402" s="58" t="n">
        <v>46356</v>
      </c>
      <c r="E402" s="54" t="n">
        <v>6</v>
      </c>
      <c r="F402" s="18" t="n">
        <v>340967.6</v>
      </c>
      <c r="G402" s="66" t="s">
        <v>1420</v>
      </c>
      <c r="H402" s="16" t="s">
        <v>1264</v>
      </c>
      <c r="I402" s="54" t="n">
        <v>0</v>
      </c>
      <c r="J402" s="19" t="s">
        <v>1398</v>
      </c>
    </row>
    <row r="403" customFormat="false" ht="29.25" hidden="false" customHeight="true" outlineLevel="0" collapsed="false">
      <c r="A403" s="16" t="n">
        <v>70</v>
      </c>
      <c r="B403" s="17" t="s">
        <v>1412</v>
      </c>
      <c r="C403" s="58" t="n">
        <v>46354</v>
      </c>
      <c r="D403" s="58" t="n">
        <v>46358</v>
      </c>
      <c r="E403" s="54" t="n">
        <v>5</v>
      </c>
      <c r="F403" s="18" t="n">
        <v>44773.92</v>
      </c>
      <c r="G403" s="66" t="s">
        <v>1421</v>
      </c>
      <c r="H403" s="16" t="s">
        <v>1264</v>
      </c>
      <c r="I403" s="54" t="n">
        <v>0</v>
      </c>
      <c r="J403" s="19" t="s">
        <v>1422</v>
      </c>
    </row>
    <row r="404" customFormat="false" ht="29.25" hidden="false" customHeight="true" outlineLevel="0" collapsed="false">
      <c r="A404" s="16" t="n">
        <v>71</v>
      </c>
      <c r="B404" s="17" t="s">
        <v>1415</v>
      </c>
      <c r="C404" s="58" t="n">
        <v>46356</v>
      </c>
      <c r="D404" s="58" t="n">
        <v>46358</v>
      </c>
      <c r="E404" s="54" t="n">
        <v>3</v>
      </c>
      <c r="F404" s="18" t="n">
        <v>22386.96</v>
      </c>
      <c r="G404" s="66" t="s">
        <v>1423</v>
      </c>
      <c r="H404" s="16" t="s">
        <v>1264</v>
      </c>
      <c r="I404" s="54" t="n">
        <v>5</v>
      </c>
      <c r="J404" s="19" t="s">
        <v>1422</v>
      </c>
    </row>
    <row r="405" customFormat="false" ht="18" hidden="false" customHeight="true" outlineLevel="0" collapsed="false">
      <c r="A405" s="16" t="n">
        <v>72</v>
      </c>
      <c r="B405" s="17" t="s">
        <v>1417</v>
      </c>
      <c r="C405" s="58" t="n">
        <v>46357</v>
      </c>
      <c r="D405" s="58" t="n">
        <v>46359</v>
      </c>
      <c r="E405" s="54" t="n">
        <v>3</v>
      </c>
      <c r="F405" s="18" t="n">
        <v>156708.71</v>
      </c>
      <c r="G405" s="66" t="s">
        <v>1424</v>
      </c>
      <c r="H405" s="16" t="s">
        <v>1264</v>
      </c>
      <c r="I405" s="54" t="n">
        <v>0</v>
      </c>
      <c r="J405" s="19" t="s">
        <v>1422</v>
      </c>
    </row>
    <row r="406" customFormat="false" ht="18" hidden="false" customHeight="true" outlineLevel="0" collapsed="false">
      <c r="A406" s="16" t="n">
        <v>73</v>
      </c>
      <c r="B406" s="17" t="s">
        <v>1425</v>
      </c>
      <c r="C406" s="58" t="n">
        <v>46359</v>
      </c>
      <c r="D406" s="58" t="n">
        <v>46359</v>
      </c>
      <c r="E406" s="54" t="n">
        <v>0</v>
      </c>
      <c r="F406" s="18" t="n">
        <v>0</v>
      </c>
      <c r="G406" s="66" t="s">
        <v>1426</v>
      </c>
      <c r="H406" s="16" t="s">
        <v>1264</v>
      </c>
      <c r="I406" s="54" t="n">
        <v>0</v>
      </c>
      <c r="J406" s="19" t="s">
        <v>1427</v>
      </c>
    </row>
    <row r="407" customFormat="false" ht="18" hidden="false" customHeight="true" outlineLevel="0" collapsed="false">
      <c r="A407" s="16" t="n">
        <v>74</v>
      </c>
      <c r="B407" s="17" t="s">
        <v>1428</v>
      </c>
      <c r="C407" s="58" t="n">
        <v>46361</v>
      </c>
      <c r="D407" s="58" t="n">
        <v>46364</v>
      </c>
      <c r="E407" s="54" t="n">
        <v>4</v>
      </c>
      <c r="F407" s="18" t="n">
        <v>64302.97</v>
      </c>
      <c r="G407" s="66" t="s">
        <v>1226</v>
      </c>
      <c r="H407" s="16" t="s">
        <v>1264</v>
      </c>
      <c r="I407" s="54" t="n">
        <v>0</v>
      </c>
      <c r="J407" s="19" t="s">
        <v>1427</v>
      </c>
    </row>
    <row r="408" customFormat="false" ht="18" hidden="false" customHeight="true" outlineLevel="0" collapsed="false">
      <c r="A408" s="16" t="n">
        <v>75</v>
      </c>
      <c r="B408" s="17" t="s">
        <v>1429</v>
      </c>
      <c r="C408" s="58" t="n">
        <v>46365</v>
      </c>
      <c r="D408" s="58" t="n">
        <v>46372</v>
      </c>
      <c r="E408" s="54" t="n">
        <v>7</v>
      </c>
      <c r="F408" s="18" t="n">
        <v>100152.99</v>
      </c>
      <c r="G408" s="66" t="s">
        <v>1430</v>
      </c>
      <c r="H408" s="16" t="s">
        <v>1264</v>
      </c>
      <c r="I408" s="54" t="n">
        <v>0</v>
      </c>
      <c r="J408" s="19" t="s">
        <v>1431</v>
      </c>
    </row>
    <row r="409" customFormat="false" ht="18" hidden="false" customHeight="true" outlineLevel="0" collapsed="false">
      <c r="A409" s="16" t="n">
        <v>76</v>
      </c>
      <c r="B409" s="17" t="s">
        <v>1432</v>
      </c>
      <c r="C409" s="58" t="n">
        <v>46365</v>
      </c>
      <c r="D409" s="58" t="n">
        <v>46372</v>
      </c>
      <c r="E409" s="54" t="n">
        <v>7</v>
      </c>
      <c r="F409" s="18" t="n">
        <v>100152.99</v>
      </c>
      <c r="G409" s="66" t="s">
        <v>1433</v>
      </c>
      <c r="H409" s="16" t="s">
        <v>1264</v>
      </c>
      <c r="I409" s="54" t="n">
        <v>0</v>
      </c>
      <c r="J409" s="19" t="s">
        <v>1431</v>
      </c>
    </row>
    <row r="410" customFormat="false" ht="18" hidden="false" customHeight="true" outlineLevel="0" collapsed="false">
      <c r="A410" s="16" t="n">
        <v>77</v>
      </c>
      <c r="B410" s="17" t="s">
        <v>1434</v>
      </c>
      <c r="C410" s="58" t="n">
        <v>46372</v>
      </c>
      <c r="D410" s="58" t="n">
        <v>46372</v>
      </c>
      <c r="E410" s="54" t="n">
        <v>0</v>
      </c>
      <c r="F410" s="18" t="n">
        <v>0</v>
      </c>
      <c r="G410" s="66" t="s">
        <v>1435</v>
      </c>
      <c r="H410" s="16" t="s">
        <v>1264</v>
      </c>
      <c r="I410" s="54" t="n">
        <v>7</v>
      </c>
      <c r="J410" s="19" t="s">
        <v>1272</v>
      </c>
    </row>
    <row r="411" customFormat="false" ht="18" hidden="false" customHeight="true" outlineLevel="0" collapsed="false">
      <c r="A411" s="16" t="n">
        <v>78</v>
      </c>
      <c r="B411" s="17" t="s">
        <v>1436</v>
      </c>
      <c r="C411" s="58" t="n">
        <v>46372</v>
      </c>
      <c r="D411" s="58" t="n">
        <v>46372</v>
      </c>
      <c r="E411" s="54" t="n">
        <v>0</v>
      </c>
      <c r="F411" s="18" t="n">
        <v>0</v>
      </c>
      <c r="G411" s="66" t="s">
        <v>1437</v>
      </c>
      <c r="H411" s="16" t="s">
        <v>1264</v>
      </c>
      <c r="I411" s="54" t="n">
        <v>7</v>
      </c>
      <c r="J411" s="19" t="s">
        <v>1272</v>
      </c>
    </row>
    <row r="412" customFormat="false" ht="29.25" hidden="false" customHeight="true" outlineLevel="0" collapsed="false">
      <c r="A412" s="16" t="n">
        <v>79</v>
      </c>
      <c r="B412" s="17" t="s">
        <v>1438</v>
      </c>
      <c r="C412" s="58" t="n">
        <v>46373</v>
      </c>
      <c r="D412" s="58" t="n">
        <v>46380</v>
      </c>
      <c r="E412" s="54" t="n">
        <v>7</v>
      </c>
      <c r="F412" s="18" t="n">
        <v>50000</v>
      </c>
      <c r="G412" s="66" t="s">
        <v>1030</v>
      </c>
      <c r="H412" s="16" t="s">
        <v>1264</v>
      </c>
      <c r="I412" s="54" t="n">
        <v>0</v>
      </c>
      <c r="J412" s="19" t="s">
        <v>1439</v>
      </c>
    </row>
    <row r="413" customFormat="false" ht="18" hidden="false" customHeight="true" outlineLevel="0" collapsed="false">
      <c r="A413" s="16" t="n">
        <v>80</v>
      </c>
      <c r="B413" s="17" t="s">
        <v>1440</v>
      </c>
      <c r="C413" s="58" t="n">
        <v>46373</v>
      </c>
      <c r="D413" s="58" t="n">
        <v>46380</v>
      </c>
      <c r="E413" s="54" t="n">
        <v>7</v>
      </c>
      <c r="F413" s="18" t="n">
        <v>0</v>
      </c>
      <c r="G413" s="66" t="s">
        <v>1187</v>
      </c>
      <c r="H413" s="16" t="s">
        <v>1264</v>
      </c>
      <c r="I413" s="54" t="n">
        <v>0</v>
      </c>
      <c r="J413" s="19" t="s">
        <v>1441</v>
      </c>
    </row>
    <row r="414" customFormat="false" ht="18" hidden="false" customHeight="true" outlineLevel="0" collapsed="false">
      <c r="A414" s="16" t="n">
        <v>81</v>
      </c>
      <c r="B414" s="17" t="s">
        <v>1442</v>
      </c>
      <c r="C414" s="58" t="n">
        <v>46380</v>
      </c>
      <c r="D414" s="58" t="n">
        <v>46380</v>
      </c>
      <c r="E414" s="54" t="n">
        <v>0</v>
      </c>
      <c r="F414" s="18" t="n">
        <v>0</v>
      </c>
      <c r="G414" s="66" t="s">
        <v>1443</v>
      </c>
      <c r="H414" s="16" t="s">
        <v>1268</v>
      </c>
      <c r="I414" s="54" t="n">
        <v>0</v>
      </c>
      <c r="J414" s="19" t="s">
        <v>1269</v>
      </c>
    </row>
    <row r="415" customFormat="false" ht="29.25" hidden="false" customHeight="true" outlineLevel="0" collapsed="false">
      <c r="A415" s="23"/>
      <c r="B415" s="23" t="s">
        <v>1444</v>
      </c>
      <c r="C415" s="23"/>
      <c r="D415" s="23"/>
      <c r="E415" s="23"/>
      <c r="F415" s="35" t="n">
        <f aca="false">SUM(F333:F414)</f>
        <v>8110296.62</v>
      </c>
      <c r="G415" s="23"/>
      <c r="H415" s="23"/>
      <c r="I415" s="23"/>
      <c r="J415" s="19" t="s">
        <v>1445</v>
      </c>
    </row>
  </sheetData>
  <mergeCells count="370">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7:J47"/>
    <mergeCell ref="I48:J48"/>
    <mergeCell ref="I49:J49"/>
    <mergeCell ref="I50:J50"/>
    <mergeCell ref="I51:J51"/>
    <mergeCell ref="I53:J53"/>
    <mergeCell ref="I54:J54"/>
    <mergeCell ref="I55:J55"/>
    <mergeCell ref="A57:J57"/>
    <mergeCell ref="A58:J58"/>
    <mergeCell ref="G84:I84"/>
    <mergeCell ref="G85:I85"/>
    <mergeCell ref="G86:I86"/>
    <mergeCell ref="G87:I87"/>
    <mergeCell ref="G88:I88"/>
    <mergeCell ref="G89:I89"/>
    <mergeCell ref="G90:I90"/>
    <mergeCell ref="G91:I91"/>
    <mergeCell ref="G92:I92"/>
    <mergeCell ref="G93:I93"/>
    <mergeCell ref="G94:I94"/>
    <mergeCell ref="G95:I95"/>
    <mergeCell ref="G96:I96"/>
    <mergeCell ref="G97:I97"/>
    <mergeCell ref="G98:I98"/>
    <mergeCell ref="G99:I99"/>
    <mergeCell ref="G100:I100"/>
    <mergeCell ref="G102:I102"/>
    <mergeCell ref="G103:I103"/>
    <mergeCell ref="G104:I104"/>
    <mergeCell ref="G105:I105"/>
    <mergeCell ref="G106:I106"/>
    <mergeCell ref="G107:I107"/>
    <mergeCell ref="A109:J109"/>
    <mergeCell ref="A110:J110"/>
    <mergeCell ref="A154:J154"/>
    <mergeCell ref="A155:J155"/>
    <mergeCell ref="C156:D156"/>
    <mergeCell ref="E156:F156"/>
    <mergeCell ref="G156:H156"/>
    <mergeCell ref="C157:D157"/>
    <mergeCell ref="E157:F157"/>
    <mergeCell ref="G157:H157"/>
    <mergeCell ref="C158:D158"/>
    <mergeCell ref="E158:F158"/>
    <mergeCell ref="G158:H158"/>
    <mergeCell ref="C159:D159"/>
    <mergeCell ref="E159:F159"/>
    <mergeCell ref="G159:H159"/>
    <mergeCell ref="C160:D160"/>
    <mergeCell ref="E160:F160"/>
    <mergeCell ref="G160:H160"/>
    <mergeCell ref="C161:D161"/>
    <mergeCell ref="E161:F161"/>
    <mergeCell ref="G161:H161"/>
    <mergeCell ref="C162:D162"/>
    <mergeCell ref="E162:F162"/>
    <mergeCell ref="G162:H162"/>
    <mergeCell ref="C163:D163"/>
    <mergeCell ref="E163:F163"/>
    <mergeCell ref="G163:H163"/>
    <mergeCell ref="C164:D164"/>
    <mergeCell ref="E164:F164"/>
    <mergeCell ref="G164:H164"/>
    <mergeCell ref="C165:D165"/>
    <mergeCell ref="E165:F165"/>
    <mergeCell ref="G165:H165"/>
    <mergeCell ref="C166:D166"/>
    <mergeCell ref="E166:F166"/>
    <mergeCell ref="G166:H166"/>
    <mergeCell ref="C167:D167"/>
    <mergeCell ref="E167:F167"/>
    <mergeCell ref="G167:H167"/>
    <mergeCell ref="C168:D168"/>
    <mergeCell ref="E168:F168"/>
    <mergeCell ref="G168:H168"/>
    <mergeCell ref="C169:D169"/>
    <mergeCell ref="E169:F169"/>
    <mergeCell ref="G169:H169"/>
    <mergeCell ref="C170:D170"/>
    <mergeCell ref="E170:F170"/>
    <mergeCell ref="G170:H170"/>
    <mergeCell ref="C171:D171"/>
    <mergeCell ref="E171:F171"/>
    <mergeCell ref="G171:H171"/>
    <mergeCell ref="C172:D172"/>
    <mergeCell ref="E172:F172"/>
    <mergeCell ref="G172:H172"/>
    <mergeCell ref="C173:D173"/>
    <mergeCell ref="E173:F173"/>
    <mergeCell ref="G173:H173"/>
    <mergeCell ref="C174:D174"/>
    <mergeCell ref="E174:F174"/>
    <mergeCell ref="G174:H174"/>
    <mergeCell ref="C175:D175"/>
    <mergeCell ref="E175:F175"/>
    <mergeCell ref="G175:H175"/>
    <mergeCell ref="C176:D176"/>
    <mergeCell ref="E176:F176"/>
    <mergeCell ref="G176:H176"/>
    <mergeCell ref="C177:D177"/>
    <mergeCell ref="E177:F177"/>
    <mergeCell ref="G177:H177"/>
    <mergeCell ref="C178:D178"/>
    <mergeCell ref="E178:F178"/>
    <mergeCell ref="G178:H178"/>
    <mergeCell ref="C179:D179"/>
    <mergeCell ref="E179:F179"/>
    <mergeCell ref="G179:H179"/>
    <mergeCell ref="C180:D180"/>
    <mergeCell ref="E180:F180"/>
    <mergeCell ref="G180:H180"/>
    <mergeCell ref="C181:D181"/>
    <mergeCell ref="E181:F181"/>
    <mergeCell ref="G181:H181"/>
    <mergeCell ref="C182:D182"/>
    <mergeCell ref="E182:F182"/>
    <mergeCell ref="G182:H182"/>
    <mergeCell ref="C183:D183"/>
    <mergeCell ref="E183:F183"/>
    <mergeCell ref="G183:H183"/>
    <mergeCell ref="C184:D184"/>
    <mergeCell ref="E184:F184"/>
    <mergeCell ref="G184:H184"/>
    <mergeCell ref="C185:D185"/>
    <mergeCell ref="E185:F185"/>
    <mergeCell ref="G185:H185"/>
    <mergeCell ref="C186:D186"/>
    <mergeCell ref="E186:F186"/>
    <mergeCell ref="G186:H186"/>
    <mergeCell ref="C187:D187"/>
    <mergeCell ref="E187:F187"/>
    <mergeCell ref="G187:H187"/>
    <mergeCell ref="C188:D188"/>
    <mergeCell ref="E188:F188"/>
    <mergeCell ref="G188:H188"/>
    <mergeCell ref="C189:D189"/>
    <mergeCell ref="E189:F189"/>
    <mergeCell ref="G189:H189"/>
    <mergeCell ref="C190:D190"/>
    <mergeCell ref="E190:F190"/>
    <mergeCell ref="G190:H190"/>
    <mergeCell ref="C191:D191"/>
    <mergeCell ref="E191:F191"/>
    <mergeCell ref="G191:H191"/>
    <mergeCell ref="C192:D192"/>
    <mergeCell ref="E192:F192"/>
    <mergeCell ref="G192:H192"/>
    <mergeCell ref="C193:D193"/>
    <mergeCell ref="E193:F193"/>
    <mergeCell ref="G193:H193"/>
    <mergeCell ref="C194:D194"/>
    <mergeCell ref="E194:F194"/>
    <mergeCell ref="G194:H194"/>
    <mergeCell ref="C195:D195"/>
    <mergeCell ref="E195:F195"/>
    <mergeCell ref="G195:H195"/>
    <mergeCell ref="C196:D196"/>
    <mergeCell ref="E196:F196"/>
    <mergeCell ref="G196:H196"/>
    <mergeCell ref="C197:D197"/>
    <mergeCell ref="E197:F197"/>
    <mergeCell ref="G197:H197"/>
    <mergeCell ref="C198:D198"/>
    <mergeCell ref="E198:F198"/>
    <mergeCell ref="G198:H198"/>
    <mergeCell ref="C199:D199"/>
    <mergeCell ref="E199:F199"/>
    <mergeCell ref="G199:H199"/>
    <mergeCell ref="C200:D200"/>
    <mergeCell ref="E200:F200"/>
    <mergeCell ref="G200:H200"/>
    <mergeCell ref="C201:D201"/>
    <mergeCell ref="E201:F201"/>
    <mergeCell ref="G201:H201"/>
    <mergeCell ref="C202:D202"/>
    <mergeCell ref="E202:F202"/>
    <mergeCell ref="G202:H202"/>
    <mergeCell ref="C203:D203"/>
    <mergeCell ref="E203:F203"/>
    <mergeCell ref="G203:H203"/>
    <mergeCell ref="C204:D204"/>
    <mergeCell ref="E204:F204"/>
    <mergeCell ref="G204:H204"/>
    <mergeCell ref="C205:D205"/>
    <mergeCell ref="E205:F205"/>
    <mergeCell ref="G205:H205"/>
    <mergeCell ref="C206:D206"/>
    <mergeCell ref="E206:F206"/>
    <mergeCell ref="G206:H206"/>
    <mergeCell ref="C207:D207"/>
    <mergeCell ref="E207:F207"/>
    <mergeCell ref="G207:H207"/>
    <mergeCell ref="C208:D208"/>
    <mergeCell ref="E208:F208"/>
    <mergeCell ref="G208:H208"/>
    <mergeCell ref="C209:D209"/>
    <mergeCell ref="E209:F209"/>
    <mergeCell ref="G209:H209"/>
    <mergeCell ref="C210:D210"/>
    <mergeCell ref="E210:F210"/>
    <mergeCell ref="G210:H210"/>
    <mergeCell ref="C211:D211"/>
    <mergeCell ref="E211:F211"/>
    <mergeCell ref="G211:H211"/>
    <mergeCell ref="C212:D212"/>
    <mergeCell ref="E212:F212"/>
    <mergeCell ref="G212:H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A330:J330"/>
    <mergeCell ref="A331:J33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3" manualBreakCount="13">
    <brk id="26" man="true" max="16383" min="0"/>
    <brk id="44" man="true" max="16383" min="0"/>
    <brk id="56" man="true" max="16383" min="0"/>
    <brk id="67" man="true" max="16383" min="0"/>
    <brk id="101" man="true" max="16383" min="0"/>
    <brk id="125" man="true" max="16383" min="0"/>
    <brk id="153" man="true" max="16383" min="0"/>
    <brk id="172" man="true" max="16383" min="0"/>
    <brk id="189" man="true" max="16383" min="0"/>
    <brk id="212" man="true" max="16383" min="0"/>
    <brk id="235" man="true" max="16383" min="0"/>
    <brk id="329" man="true" max="16383" min="0"/>
    <brk id="375"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1446</v>
      </c>
    </row>
    <row r="2" customFormat="false" ht="15.75" hidden="false" customHeight="true" outlineLevel="0" collapsed="false">
      <c r="A2" s="9" t="s">
        <v>1447</v>
      </c>
    </row>
    <row r="3" customFormat="false" ht="15" hidden="false" customHeight="true" outlineLevel="0" collapsed="false">
      <c r="A3" s="10" t="s">
        <v>1448</v>
      </c>
    </row>
    <row r="4" customFormat="false" ht="30" hidden="false" customHeight="true" outlineLevel="0" collapsed="false">
      <c r="A4" s="67" t="s">
        <v>1449</v>
      </c>
    </row>
    <row r="5" customFormat="false" ht="19.5" hidden="false" customHeight="true" outlineLevel="0" collapsed="false">
      <c r="A5" s="68"/>
      <c r="B5" s="68"/>
      <c r="C5" s="69" t="s">
        <v>1450</v>
      </c>
      <c r="D5" s="69"/>
      <c r="E5" s="69"/>
      <c r="F5" s="69"/>
      <c r="G5" s="69"/>
    </row>
    <row r="6" customFormat="false" ht="31.5" hidden="false" customHeight="true" outlineLevel="0" collapsed="false">
      <c r="A6" s="13" t="s">
        <v>35</v>
      </c>
      <c r="B6" s="13" t="s">
        <v>36</v>
      </c>
      <c r="C6" s="13" t="s">
        <v>37</v>
      </c>
      <c r="D6" s="13" t="s">
        <v>38</v>
      </c>
      <c r="E6" s="13" t="s">
        <v>39</v>
      </c>
      <c r="F6" s="13" t="s">
        <v>40</v>
      </c>
      <c r="G6" s="13" t="s">
        <v>1451</v>
      </c>
    </row>
    <row r="7" customFormat="false" ht="21.75" hidden="false" customHeight="true" outlineLevel="0" collapsed="false">
      <c r="A7" s="70" t="s">
        <v>1452</v>
      </c>
      <c r="B7" s="70"/>
      <c r="C7" s="70"/>
      <c r="D7" s="70"/>
      <c r="E7" s="70"/>
      <c r="F7" s="70"/>
      <c r="G7" s="70"/>
    </row>
    <row r="8" customFormat="false" ht="45" hidden="false" customHeight="true" outlineLevel="0" collapsed="false">
      <c r="A8" s="71" t="n">
        <v>1</v>
      </c>
      <c r="B8" s="72" t="s">
        <v>1453</v>
      </c>
      <c r="C8" s="71" t="s">
        <v>49</v>
      </c>
      <c r="D8" s="73" t="n">
        <v>1</v>
      </c>
      <c r="E8" s="73" t="n">
        <v>816000</v>
      </c>
      <c r="F8" s="74" t="n">
        <v>816000</v>
      </c>
      <c r="G8" s="75"/>
    </row>
    <row r="9" customFormat="false" ht="21.75" hidden="false" customHeight="true" outlineLevel="0" collapsed="false">
      <c r="A9" s="70" t="s">
        <v>54</v>
      </c>
      <c r="B9" s="70"/>
      <c r="C9" s="70"/>
      <c r="D9" s="70"/>
      <c r="E9" s="70"/>
      <c r="F9" s="70"/>
      <c r="G9" s="70"/>
    </row>
    <row r="10" customFormat="false" ht="96.75" hidden="false" customHeight="true" outlineLevel="0" collapsed="false">
      <c r="A10" s="71" t="n">
        <v>2</v>
      </c>
      <c r="B10" s="72" t="s">
        <v>1454</v>
      </c>
      <c r="C10" s="71" t="s">
        <v>49</v>
      </c>
      <c r="D10" s="73" t="n">
        <v>1</v>
      </c>
      <c r="E10" s="73" t="n">
        <v>102000</v>
      </c>
      <c r="F10" s="74" t="n">
        <v>102000</v>
      </c>
      <c r="G10" s="75"/>
    </row>
    <row r="11" customFormat="false" ht="21.75" hidden="false" customHeight="true" outlineLevel="0" collapsed="false">
      <c r="A11" s="70" t="s">
        <v>1455</v>
      </c>
      <c r="B11" s="70"/>
      <c r="C11" s="70"/>
      <c r="D11" s="70"/>
      <c r="E11" s="70"/>
      <c r="F11" s="70"/>
      <c r="G11" s="70"/>
    </row>
    <row r="12" customFormat="false" ht="70.5" hidden="false" customHeight="true" outlineLevel="0" collapsed="false">
      <c r="A12" s="71" t="n">
        <v>3</v>
      </c>
      <c r="B12" s="72" t="s">
        <v>1456</v>
      </c>
      <c r="C12" s="71" t="s">
        <v>49</v>
      </c>
      <c r="D12" s="73" t="n">
        <v>1</v>
      </c>
      <c r="E12" s="73" t="n">
        <v>18000</v>
      </c>
      <c r="F12" s="74" t="n">
        <v>18000</v>
      </c>
      <c r="G12" s="75"/>
    </row>
    <row r="13" customFormat="false" ht="258.75" hidden="false" customHeight="true" outlineLevel="0" collapsed="false">
      <c r="A13" s="71" t="n">
        <v>4</v>
      </c>
      <c r="B13" s="72" t="s">
        <v>1457</v>
      </c>
      <c r="C13" s="71" t="s">
        <v>49</v>
      </c>
      <c r="D13" s="73" t="n">
        <v>1</v>
      </c>
      <c r="E13" s="73" t="n">
        <v>31500</v>
      </c>
      <c r="F13" s="74" t="n">
        <v>31500</v>
      </c>
      <c r="G13" s="75"/>
    </row>
    <row r="14" customFormat="false" ht="14.25" hidden="false" customHeight="false" outlineLevel="0" collapsed="false">
      <c r="A14" s="70" t="s">
        <v>1458</v>
      </c>
      <c r="B14" s="70"/>
      <c r="C14" s="70"/>
      <c r="D14" s="70"/>
      <c r="E14" s="70"/>
      <c r="F14" s="70"/>
      <c r="G14" s="70"/>
    </row>
    <row r="15" customFormat="false" ht="72" hidden="false" customHeight="true" outlineLevel="0" collapsed="false">
      <c r="A15" s="71" t="n">
        <v>5</v>
      </c>
      <c r="B15" s="72" t="s">
        <v>1459</v>
      </c>
      <c r="C15" s="71" t="s">
        <v>1460</v>
      </c>
      <c r="D15" s="73" t="n">
        <v>1050</v>
      </c>
      <c r="E15" s="73" t="n">
        <v>6</v>
      </c>
      <c r="F15" s="74" t="n">
        <v>6300</v>
      </c>
      <c r="G15" s="75"/>
    </row>
    <row r="16" customFormat="false" ht="100.5" hidden="false" customHeight="true" outlineLevel="0" collapsed="false">
      <c r="A16" s="71" t="n">
        <v>6</v>
      </c>
      <c r="B16" s="72" t="s">
        <v>1461</v>
      </c>
      <c r="C16" s="71" t="s">
        <v>1462</v>
      </c>
      <c r="D16" s="73" t="n">
        <v>1050</v>
      </c>
      <c r="E16" s="73" t="n">
        <v>54</v>
      </c>
      <c r="F16" s="74" t="n">
        <v>56700</v>
      </c>
      <c r="G16" s="75"/>
    </row>
    <row r="17" customFormat="false" ht="144" hidden="false" customHeight="true" outlineLevel="0" collapsed="false">
      <c r="A17" s="71" t="n">
        <v>7</v>
      </c>
      <c r="B17" s="72" t="s">
        <v>1463</v>
      </c>
      <c r="C17" s="71" t="s">
        <v>1462</v>
      </c>
      <c r="D17" s="73" t="n">
        <v>1050</v>
      </c>
      <c r="E17" s="73" t="n">
        <v>60</v>
      </c>
      <c r="F17" s="74" t="n">
        <v>63000</v>
      </c>
      <c r="G17" s="75"/>
    </row>
    <row r="18" customFormat="false" ht="14.25" hidden="false" customHeight="false" outlineLevel="0" collapsed="false">
      <c r="A18" s="70" t="s">
        <v>1464</v>
      </c>
      <c r="B18" s="70"/>
      <c r="C18" s="70"/>
      <c r="D18" s="70"/>
      <c r="E18" s="70"/>
      <c r="F18" s="70"/>
      <c r="G18" s="70"/>
    </row>
    <row r="19" customFormat="false" ht="57" hidden="false" customHeight="true" outlineLevel="0" collapsed="false">
      <c r="A19" s="71" t="n">
        <v>8</v>
      </c>
      <c r="B19" s="72" t="s">
        <v>1465</v>
      </c>
      <c r="C19" s="71" t="s">
        <v>1460</v>
      </c>
      <c r="D19" s="73" t="n">
        <v>1050</v>
      </c>
      <c r="E19" s="73" t="n">
        <v>120</v>
      </c>
      <c r="F19" s="74" t="n">
        <v>126000</v>
      </c>
      <c r="G19" s="75"/>
    </row>
    <row r="20" customFormat="false" ht="186.75" hidden="false" customHeight="true" outlineLevel="0" collapsed="false">
      <c r="A20" s="71" t="n">
        <v>9</v>
      </c>
      <c r="B20" s="72" t="s">
        <v>1466</v>
      </c>
      <c r="C20" s="71" t="s">
        <v>1462</v>
      </c>
      <c r="D20" s="73" t="n">
        <v>435.3</v>
      </c>
      <c r="E20" s="73" t="n">
        <v>1920</v>
      </c>
      <c r="F20" s="74" t="n">
        <v>835776</v>
      </c>
      <c r="G20" s="75"/>
    </row>
    <row r="21" customFormat="false" ht="144" hidden="false" customHeight="true" outlineLevel="0" collapsed="false">
      <c r="A21" s="71" t="n">
        <v>10</v>
      </c>
      <c r="B21" s="72" t="s">
        <v>1467</v>
      </c>
      <c r="C21" s="71" t="s">
        <v>1460</v>
      </c>
      <c r="D21" s="73" t="n">
        <v>1050</v>
      </c>
      <c r="E21" s="73" t="n">
        <v>108</v>
      </c>
      <c r="F21" s="74" t="n">
        <v>113400</v>
      </c>
      <c r="G21" s="75"/>
    </row>
    <row r="22" customFormat="false" ht="28.5" hidden="false" customHeight="true" outlineLevel="0" collapsed="false">
      <c r="A22" s="71" t="n">
        <v>11</v>
      </c>
      <c r="B22" s="72" t="s">
        <v>1468</v>
      </c>
      <c r="C22" s="71" t="s">
        <v>1460</v>
      </c>
      <c r="D22" s="73" t="n">
        <v>1773.2</v>
      </c>
      <c r="E22" s="73" t="n">
        <v>120</v>
      </c>
      <c r="F22" s="74" t="n">
        <v>212784</v>
      </c>
      <c r="G22" s="75"/>
    </row>
    <row r="23" customFormat="false" ht="230.25" hidden="false" customHeight="true" outlineLevel="0" collapsed="false">
      <c r="A23" s="71" t="n">
        <v>12</v>
      </c>
      <c r="B23" s="72" t="s">
        <v>1469</v>
      </c>
      <c r="C23" s="71" t="s">
        <v>37</v>
      </c>
      <c r="D23" s="73" t="n">
        <v>3</v>
      </c>
      <c r="E23" s="73" t="n">
        <v>1890000</v>
      </c>
      <c r="F23" s="74" t="n">
        <v>5670000</v>
      </c>
      <c r="G23" s="75"/>
    </row>
    <row r="24" customFormat="false" ht="129" hidden="false" customHeight="true" outlineLevel="0" collapsed="false">
      <c r="A24" s="71" t="n">
        <v>13</v>
      </c>
      <c r="B24" s="72" t="s">
        <v>1470</v>
      </c>
      <c r="C24" s="71" t="s">
        <v>37</v>
      </c>
      <c r="D24" s="73" t="n">
        <v>3</v>
      </c>
      <c r="E24" s="73" t="n">
        <v>204000</v>
      </c>
      <c r="F24" s="74" t="n">
        <v>612000</v>
      </c>
      <c r="G24" s="75"/>
    </row>
    <row r="25" customFormat="false" ht="115.5" hidden="false" customHeight="true" outlineLevel="0" collapsed="false">
      <c r="A25" s="71" t="n">
        <v>14</v>
      </c>
      <c r="B25" s="72" t="s">
        <v>1471</v>
      </c>
      <c r="C25" s="71" t="s">
        <v>49</v>
      </c>
      <c r="D25" s="73" t="n">
        <v>1</v>
      </c>
      <c r="E25" s="73" t="n">
        <v>486000</v>
      </c>
      <c r="F25" s="74" t="n">
        <v>486000</v>
      </c>
      <c r="G25" s="75"/>
    </row>
    <row r="26" customFormat="false" ht="15" hidden="false" customHeight="true" outlineLevel="0" collapsed="false">
      <c r="A26" s="76"/>
      <c r="B26" s="77" t="s">
        <v>1472</v>
      </c>
      <c r="C26" s="76"/>
      <c r="D26" s="76"/>
      <c r="E26" s="76"/>
      <c r="F26" s="78" t="n">
        <f aca="false">SUM(F8:F25)</f>
        <v>9149460</v>
      </c>
      <c r="G26" s="76"/>
    </row>
    <row r="27" customFormat="false" ht="36" hidden="false" customHeight="true" outlineLevel="0" collapsed="false">
      <c r="B27" s="79"/>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1473</v>
      </c>
    </row>
    <row r="2" customFormat="false" ht="15" hidden="false" customHeight="true" outlineLevel="0" collapsed="false">
      <c r="A2" s="80" t="s">
        <v>44</v>
      </c>
      <c r="C2" s="80" t="s">
        <v>1474</v>
      </c>
      <c r="E2" s="80" t="s">
        <v>1475</v>
      </c>
      <c r="G2" s="80" t="s">
        <v>1476</v>
      </c>
      <c r="I2" s="80" t="s">
        <v>1477</v>
      </c>
      <c r="K2" s="80" t="s">
        <v>1478</v>
      </c>
    </row>
    <row r="3" customFormat="false" ht="15" hidden="false" customHeight="true" outlineLevel="0" collapsed="false">
      <c r="A3" s="81" t="s">
        <v>1479</v>
      </c>
      <c r="C3" s="81" t="s">
        <v>1480</v>
      </c>
      <c r="E3" s="81" t="s">
        <v>1481</v>
      </c>
      <c r="G3" s="81" t="s">
        <v>1482</v>
      </c>
      <c r="I3" s="81" t="s">
        <v>1483</v>
      </c>
      <c r="K3" s="81" t="s">
        <v>1484</v>
      </c>
    </row>
    <row r="4" customFormat="false" ht="15" hidden="false" customHeight="true" outlineLevel="0" collapsed="false">
      <c r="A4" s="81" t="s">
        <v>1485</v>
      </c>
      <c r="C4" s="81" t="s">
        <v>1486</v>
      </c>
      <c r="E4" s="81" t="s">
        <v>1487</v>
      </c>
      <c r="G4" s="81" t="s">
        <v>1488</v>
      </c>
      <c r="I4" s="81" t="s">
        <v>1489</v>
      </c>
      <c r="K4" s="81" t="s">
        <v>1490</v>
      </c>
    </row>
    <row r="5" customFormat="false" ht="15" hidden="false" customHeight="true" outlineLevel="0" collapsed="false">
      <c r="A5" s="81" t="s">
        <v>1491</v>
      </c>
      <c r="C5" s="81" t="s">
        <v>1492</v>
      </c>
      <c r="E5" s="81" t="s">
        <v>1493</v>
      </c>
      <c r="G5" s="81" t="s">
        <v>1494</v>
      </c>
      <c r="I5" s="81" t="s">
        <v>1495</v>
      </c>
      <c r="K5" s="81" t="s">
        <v>1496</v>
      </c>
    </row>
    <row r="6" customFormat="false" ht="15" hidden="false" customHeight="true" outlineLevel="0" collapsed="false">
      <c r="A6" s="81" t="s">
        <v>1489</v>
      </c>
      <c r="C6" s="81" t="s">
        <v>52</v>
      </c>
      <c r="E6" s="81" t="s">
        <v>1497</v>
      </c>
      <c r="G6" s="81" t="s">
        <v>1498</v>
      </c>
      <c r="I6" s="81" t="s">
        <v>1499</v>
      </c>
      <c r="K6" s="81" t="s">
        <v>1500</v>
      </c>
    </row>
    <row r="7" customFormat="false" ht="15" hidden="false" customHeight="true" outlineLevel="0" collapsed="false">
      <c r="A7" s="81" t="s">
        <v>53</v>
      </c>
      <c r="C7" s="81" t="s">
        <v>63</v>
      </c>
      <c r="E7" s="81" t="s">
        <v>1501</v>
      </c>
      <c r="G7" s="81" t="s">
        <v>1502</v>
      </c>
      <c r="I7" s="81" t="s">
        <v>1503</v>
      </c>
      <c r="K7" s="81" t="s">
        <v>1504</v>
      </c>
    </row>
    <row r="8" customFormat="false" ht="15" hidden="false" customHeight="true" outlineLevel="0" collapsed="false">
      <c r="A8" s="81" t="s">
        <v>1505</v>
      </c>
      <c r="C8" s="81" t="s">
        <v>1506</v>
      </c>
      <c r="G8" s="81" t="s">
        <v>1507</v>
      </c>
      <c r="I8" s="81" t="s">
        <v>1508</v>
      </c>
      <c r="K8" s="81" t="s">
        <v>1509</v>
      </c>
    </row>
    <row r="9" customFormat="false" ht="15" hidden="false" customHeight="true" outlineLevel="0" collapsed="false">
      <c r="A9" s="81" t="s">
        <v>1510</v>
      </c>
      <c r="C9" s="81" t="s">
        <v>1511</v>
      </c>
      <c r="G9" s="81" t="s">
        <v>1512</v>
      </c>
      <c r="K9" s="81" t="s">
        <v>1513</v>
      </c>
    </row>
    <row r="10" customFormat="false" ht="15" hidden="false" customHeight="true" outlineLevel="0" collapsed="false">
      <c r="A10" s="81" t="s">
        <v>1514</v>
      </c>
      <c r="C10" s="81" t="s">
        <v>1515</v>
      </c>
      <c r="G10" s="81" t="s">
        <v>1516</v>
      </c>
      <c r="K10" s="81" t="s">
        <v>1517</v>
      </c>
    </row>
    <row r="11" customFormat="false" ht="15" hidden="false" customHeight="true" outlineLevel="0" collapsed="false">
      <c r="A11" s="81" t="s">
        <v>1518</v>
      </c>
      <c r="C11" s="81" t="s">
        <v>1519</v>
      </c>
      <c r="G11" s="81" t="s">
        <v>1520</v>
      </c>
    </row>
    <row r="12" customFormat="false" ht="15" hidden="false" customHeight="true" outlineLevel="0" collapsed="false">
      <c r="A12" s="81" t="s">
        <v>1521</v>
      </c>
      <c r="G12" s="81" t="s">
        <v>56</v>
      </c>
    </row>
    <row r="13" customFormat="false" ht="14.25" hidden="false" customHeight="false" outlineLevel="0" collapsed="false">
      <c r="A13" s="82" t="s">
        <v>1522</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2026-09-30T09:03:00Z</dcterms:created>
  <dcterms:modified xsi:type="dcterms:W3CDTF">2026-09-30T09:03:00Z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
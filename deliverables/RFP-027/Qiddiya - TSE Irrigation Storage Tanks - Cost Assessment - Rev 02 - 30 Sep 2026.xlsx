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Superseded Proposal (Ref)" sheetId="8" state="visible" r:id="rId10"/>
    <sheet name="Data" sheetId="9" state="hidden" r:id="rId11"/>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7" name="_xlnm.Print_Titles" vbProcedure="false">'Superseded Proposal (Ref)'!$1:$6</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<sst xmlns="http://schemas.openxmlformats.org/spreadsheetml/2006/main" count="1656" uniqueCount="1116">
  <si>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</si>
  <si>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</si>
  <si>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</si>
  <si>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</si>
  <si>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</si>
  <si>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</si>
  <si>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</si>
  <si>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</si>
  <si>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</si>
  <si>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</si>
  <si>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</si>
  <si>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</si>
  <si>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</si>
  <si>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</si>
  <si>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</si>
  <si>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</si>
  <si>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</si>
  <si>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</si>
  <si>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</si>
  <si>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</si>
  <si>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</si>
  <si>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</si>
  <si>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</si>
  <si>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</si>
  <si>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</si>
  <si>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</si>
  <si>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</si>
  <si>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</si>
  <si>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</si>
  <si>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</si>
  <si>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</si>
  <si>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</si>
  <si>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</si>
  <si>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</si>
  <si>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</si>
  <si>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</si>
  <si>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</si>
  <si>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</si>
  <si>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</si>
  <si>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</si>
  <si>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</si>
  <si>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</si>
  <si>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</si>
  <si>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</si>
  <si>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</si>
  <si>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</si>
  <si>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</si>
  <si>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</si>
  <si>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</si>
  <si>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</si>
  <si>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</si>
  <si>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establishment: the tank site is in the lower plateau, outside the D-18 boundary, so site staff, welfare, water, security, insurance endorsement, mobilisation, demobilisation and close-out are assessed for the site period derived from the Contractor's programme of 29-Sep-2026 ('Programme' tab, D1): mobilisation on 22-Aug-2026 to the end of demobilisation, the end being set by the external readiness milestone of 03-Dec-2026 and the tie-in, sequential testing, commissioning and demobilisation that follow, not by the Contractor's staged deliveries. Design resources are shared with the main Contract. See 'Build-Up' Item 1, 'Programme' Sections 3 and 4 and 'Build-Up Comparison' Section 3.</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</si>
  <si>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</si>
  <si>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</si>
  <si>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</si>
  <si>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</si>
  <si>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</si>
  <si>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</si>
  <si>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</si>
  <si>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</si>
  <si>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</si>
  <si>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</si>
  <si>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Quotation lapsed; scope split not yet confirmed in writing.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</si>
  <si>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</si>
  <si>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</si>
  <si>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</si>
  <si>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</si>
  <si>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</si>
  <si>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</si>
  <si>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supplier attendance that the tank quotation excludes. Power for the whole site period; plant, attendance labour, access equipment and lighting for the erection windows on an efficient-working reading of the Contractor's programme, in which Tank 1 takes the durations programmed for the identical work on Tank 2 - the submitted programme stretches Tank 1 to match staged deliveries, which is the Contractor's risk. No plant schedule has been submitted. See 'Build-Up' Item 5, 'Programme' Sections 3 and 4 and 'Build-Up Comparison'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</si>
  <si>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</si>
  <si>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</si>
  <si>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</si>
  <si>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</si>
  <si>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</si>
  <si>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</si>
  <si>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</si>
  <si>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tank filled and the water re-used for the second, per the Engineer's (KEO) email of 30-Aug-2026; the Contractor's programme tests both tanks in parallel, which is shown beside this basis on the 'Programme' tab and not carried; the sequential test is fitted to the programme there, with Tank 1 tested early on a conditional method assumption and integrated commissioning after both tanks have passed and the tie-in is complete. A third-party factory acceptance test the Contractor is arranging is carried at nil (line 7.23) pending evidence that the Engineer requires it. Excludes the supplier's leak-test supervision (Item 6) and re-testing, which is the Contractor's obligation.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</si>
  <si>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</si>
  <si>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</si>
  <si>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Provisional allowance priced to the RFP specification (GRP or ductile iron above DN150, uPVC below, butterfly isolation valves). The Contractor's procurement tracker of 29-Sep-2026 shows HDPE main-line pipe, a gate valve and a motorised butterfly valve being procured; the substitutions are not approved and are shown for information after line 8.21. No quantities exist: the pipework shop drawings were returned Code C and no take-off has been received.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</si>
  <si>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</si>
  <si>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</si>
  <si>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</si>
  <si>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</si>
  <si>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</si>
  <si>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and unchanged. Assessed rates in column J are calculated on the 'Build-Up' tab; quantities are those submitted. Status 'Provisional' marks an item that depends on a confirmation still outstanding; the list is on the 'Build-Up Comparison' tab, Section 7. The Contractor's programme of 29-Sep-2026 is under the Engineer's approval and is not an agreed basis; the Contractor has been instructed and is on site, the instruction reference not having been supplied to the Cost Consultant.</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</si>
  <si>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</si>
  <si>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</si>
  <si>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on the 'Assessment' tab whose rate is assessed rather than quoted is built up here as quantity x rate, with its basis beside it. Item totals carry to column J of the 'Assessment' tab. Quantities shown in column D as links to the 'Programme' tab are derived from the Contractor's programme of 29-Sep-2026 on the basis carried there (Basis B); the same lines on the programme exactly as submitted (Basis A) are on the 'Programme' tab, Section 4. Rates marked 'assumption' are working assumptions pending the Contractor's substantiation. All amounts exclude VAT.</t>
  </si>
  <si>
    <t xml:space="preserve">ITEM 1 - SITE MOBILISATION, TEMPORARY FACILITIES AND WELFARE</t>
  </si>
  <si>
    <t xml:space="preserve">The tank site is in the lower plateau, outside the D-18 site boundary. Site management, welfare, water, security, insurance cover and close-out are therefore assessed as a separate establishment. Periods are taken from the Contractor's programme of 29-Sep-2026 ('Programme' tab, Section 3): site staff, transport and facilities for the site period D1, mobilisation to the end of demobilisation, with the post-demobilisation completion inspection priced at 1.22 and 1.23. The programme is under the Engineer's approval and is not an agreed basis; the end of the site period is set by the external readiness milestone of 03-Dec-2026 and the tie-in, sequential testing, commissioning and demobilisation that follow, not by the Contractor's staged deliveries. Design and engineering resources are shared with the main Contract (Item 2). Power is in Item 5. The tank supplier's price includes the installer's own mobilisation; the foundations and steel base frames are existing.</t>
  </si>
  <si>
    <t xml:space="preserve">Ref</t>
  </si>
  <si>
    <t xml:space="preserve">Basis</t>
  </si>
  <si>
    <t xml:space="preserve">1.1</t>
  </si>
  <si>
    <t xml:space="preserve">Site engineer - dedicated to the tank site</t>
  </si>
  <si>
    <t xml:space="preserve">month</t>
  </si>
  <si>
    <t xml:space="preserve">Separate site; full-time for the site period D1 on the 'Programme' tab, Section 3 (activity QCD18TSEMOB1240, 22-Aug-2026, to the end of demobilisation, activity QCD18TSEDMOB1020). Assessed market rate, Riyadh, Sep-2026 - assumption pending the Contractor's substantiation</t>
  </si>
  <si>
    <t xml:space="preserve">1.2</t>
  </si>
  <si>
    <t xml:space="preserve">HSE officer - dedicated</t>
  </si>
  <si>
    <t xml:space="preserve">Site period D1 on the 'Programme' tab, Section 3, covering the demobilisation week. Assessed market rate, Riyadh, Sep-2026 - assumption pending the Contractor's substantiation</t>
  </si>
  <si>
    <t xml:space="preserve">1.3</t>
  </si>
  <si>
    <t xml:space="preserve">QA/QC inspector - dedicated (daily inspections, ITPs and WIRs during erection)</t>
  </si>
  <si>
    <t xml:space="preserve">Separate site; full-time for the site period D1 on the 'Programme' tab, Section 3; witnesses the hydrostatic tests. Assessed market rate, Riyadh, Sep-2026 - assumption pending the Contractor's substantiation</t>
  </si>
  <si>
    <t xml:space="preserve">1.4</t>
  </si>
  <si>
    <t xml:space="preserve">Works foreman - dedicated</t>
  </si>
  <si>
    <t xml:space="preserve">1.5</t>
  </si>
  <si>
    <t xml:space="preserve">Storekeeper / timekeeper</t>
  </si>
  <si>
    <t xml:space="preserve">Separate site; materials receipt and attendance records for the site period D1 on the 'Programme' tab, Section 3.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</si>
  <si>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</si>
  <si>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</si>
  <si>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</si>
  <si>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</si>
  <si>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</si>
  <si>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</si>
  <si>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</si>
  <si>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</si>
  <si>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</si>
  <si>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</si>
  <si>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</si>
  <si>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</si>
  <si>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</si>
  <si>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</si>
  <si>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</si>
  <si>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</si>
  <si>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(efficient sequence, Tank 1 base start to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</si>
  <si>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</si>
  <si>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</si>
  <si>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</si>
  <si>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</si>
  <si>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</si>
  <si>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</si>
  <si>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</si>
  <si>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</si>
  <si>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</si>
  <si>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</si>
  <si>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</si>
  <si>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</si>
  <si>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</si>
  <si>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</si>
  <si>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</si>
  <si>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</si>
  <si>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</si>
  <si>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</si>
  <si>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</si>
  <si>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</si>
  <si>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</si>
  <si>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</si>
  <si>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</si>
  <si>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Assumed peak workforce of 15 (dismantling crew, supplier-attendance helpers, supervision).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</si>
  <si>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</si>
  <si>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</si>
  <si>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</si>
  <si>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</si>
  <si>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</si>
  <si>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</si>
  <si>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</si>
  <si>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</si>
  <si>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</si>
  <si>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</si>
  <si>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</si>
  <si>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</si>
  <si>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</si>
  <si>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</si>
  <si>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</si>
  <si>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</si>
  <si>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</si>
  <si>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</si>
  <si>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</si>
  <si>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</si>
  <si>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</si>
  <si>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</si>
  <si>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</si>
  <si>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</si>
  <si>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</si>
  <si>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</si>
  <si>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</si>
  <si>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</si>
  <si>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RFP Scope of Works, work package 3 (bracing and structural integrity) and section 5.3 (documentation and handover).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</si>
  <si>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</si>
  <si>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</si>
  <si>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</si>
  <si>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</si>
  <si>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</si>
  <si>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</si>
  <si>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</si>
  <si>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</si>
  <si>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</si>
  <si>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</si>
  <si>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</si>
  <si>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</si>
  <si>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</si>
  <si>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</si>
  <si>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</si>
  <si>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</si>
  <si>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</si>
  <si>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</si>
  <si>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</si>
  <si>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</si>
  <si>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</si>
  <si>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</si>
  <si>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</si>
  <si>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</si>
  <si>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</si>
  <si>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</si>
  <si>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</si>
  <si>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</si>
  <si>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</si>
  <si>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</si>
  <si>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</si>
  <si>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</si>
  <si>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</si>
  <si>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</si>
  <si>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</si>
  <si>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</si>
  <si>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</si>
  <si>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</si>
  <si>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</si>
  <si>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</si>
  <si>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</si>
  <si>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</si>
  <si>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</si>
  <si>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</si>
  <si>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</si>
  <si>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</si>
  <si>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</si>
  <si>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</si>
  <si>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</si>
  <si>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</si>
  <si>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Covers what the tank supplier's offer (Stalwart technical offer SS-07-26-1516 dated 03-Aug-2026) requires the Contractor to provide free of cost: offloading and hoisting, scaffolding, storage and handling, power, and 4-6 helpers; plus general site support. Boundary: Item 1 is management, welfare and mobilisation; Item 5 is execution plant, access, power and supplier attendance. Plant, attendance and access periods are taken from the erection windows on the 'Programme' tab on the efficient-working basis (Basis B): the submitted programme stretches the Tank 1 erection to match staged panel deliveries (base panels 20 working days against 6 for the identical work on Tank 2), and standby between deliveries is the Contractor's risk and is not included. One boom truck and one telehandler serve both adjacent tanks. Power: the works generator by day to completion of commissioning, the welfare generator continuously to the end of demobilisation. The Engineer's (KEO) email of 30-Aug-2026: suitable Site power is unlikely, so a generator is allowed; the Contractor's methodology uses forklifts, cranes and pallet jacks.</t>
  </si>
  <si>
    <t xml:space="preserve">5.1</t>
  </si>
  <si>
    <t xml:space="preserve">Boom truck (hiab) - offloading and erection support</t>
  </si>
  <si>
    <t xml:space="preserve">Panel-handling windows D4 and D5 on the 'Programme' tab, Section 3 (Basis B); the same windows on the programme as submitted give the Basis A days on that tab.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</si>
  <si>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</si>
  <si>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</si>
  <si>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As 5.1.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</si>
  <si>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</si>
  <si>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</si>
  <si>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</si>
  <si>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</si>
  <si>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</si>
  <si>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</si>
  <si>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</si>
  <si>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</si>
  <si>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</si>
  <si>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</si>
  <si>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</si>
  <si>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</si>
  <si>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</si>
  <si>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</si>
  <si>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</si>
  <si>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</si>
  <si>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</si>
  <si>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</si>
  <si>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</si>
  <si>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</si>
  <si>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</si>
  <si>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</si>
  <si>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</si>
  <si>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</si>
  <si>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Attendance labour for the tank supplier - 5 No. helpers for the erection window</t>
  </si>
  <si>
    <t xml:space="preserve">man-month</t>
  </si>
  <si>
    <t xml:space="preserve">Supplier condition: 4-6 non-skilled labourers for material handling; erection window D3 on the 'Programme' tab, Section 3 (Basis B). The Contractor's histogram shows 85 helper man-weeks but does not say whether the supplier's own erection crews are included, so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</si>
  <si>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</si>
  <si>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</si>
  <si>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</si>
  <si>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</si>
  <si>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</si>
  <si>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5.13</t>
  </si>
  <si>
    <t xml:space="preserve">Fixings, touch-up and miscellaneous consumables</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</si>
  <si>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</si>
  <si>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</si>
  <si>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</si>
  <si>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</si>
  <si>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</si>
  <si>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</si>
  <si>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</si>
  <si>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</si>
  <si>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</si>
  <si>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</si>
  <si>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</si>
  <si>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</si>
  <si>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</si>
  <si>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The Engineer's (KEO) email of 30-Aug-2026: installation and testing will not be in parallel; one tank is filled and the water is re-used for the second by pumping across. This basis is carried. The Contractor's programme tests both tanks in parallel on 09 to 16-Dec-2026, which would need 7,548 m3 of water at once; that basis is shown beside this one on the 'Programme' tab, Section 4 (lines 7.1 to 7.5 and 7.22) and is not carried. The sequential test is fitted to the programme ('Programme' tab, P18 to P22): Tank 1 is tested before the tie-in, within its programme float, on the conditional assumption of an Engineer-approved method with the water retained in Tank 1; the water is transferred once Tank 1 has passed and Tank 2 is ready; component checks follow the tie-in; integrated commissioning follows the last of the tie-in, the Tank 2 test and the component checks. The Contractor arranges the water; the source is being checked by the Employer, so tankered supply is assumed. Excludes the leak-test supervision already in the supplier's price (Item 6) and any re-testing after an unsatisfactory test, which is the Contractor's obligation under RFP Scope of Works 5.1. External pipework testing is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</si>
  <si>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</si>
  <si>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</si>
  <si>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</si>
  <si>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</si>
  <si>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</si>
  <si>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7 days: the 3-working-day transfer at P19 on the 'Programme' tab plus set-up, priming and the test hold;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</si>
  <si>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</si>
  <si>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</si>
  <si>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</si>
  <si>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</si>
  <si>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</si>
  <si>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2 No. x 3 days, the transfer window P19 on the 'Programme' tab. Assessed market rate, Riyadh, Sep-2026 - assumption pending the Contractor's substantiation</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</si>
  <si>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</si>
  <si>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</si>
  <si>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</si>
  <si>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</si>
  <si>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</si>
  <si>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</si>
  <si>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</si>
  <si>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</si>
  <si>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</si>
  <si>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Disinfection and flushing labour,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</si>
  <si>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</si>
  <si>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</si>
  <si>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</si>
  <si>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</si>
  <si>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</si>
  <si>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</si>
  <si>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</si>
  <si>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</si>
  <si>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</si>
  <si>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</si>
  <si>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</si>
  <si>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</si>
  <si>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</si>
  <si>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</si>
  <si>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</si>
  <si>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</si>
  <si>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</si>
  <si>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</si>
  <si>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</si>
  <si>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</si>
  <si>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</si>
  <si>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</si>
  <si>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</si>
  <si>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</si>
  <si>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</si>
  <si>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</si>
  <si>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</si>
  <si>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</si>
  <si>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</si>
  <si>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</si>
  <si>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</si>
  <si>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</si>
  <si>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</si>
  <si>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</si>
  <si>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</si>
  <si>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3 fill days and 1 hold day for Tank 1, 3 transfer days and 1 hold day for Tank 2 (P18 to P20 on the 'Programme' tab).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</si>
  <si>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</si>
  <si>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</si>
  <si>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</si>
  <si>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</si>
  <si>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</si>
  <si>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</si>
  <si>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instrumentation connecting the two tanks to the confirmed tie-in points (RFP Scope of Works, Piping Connections and General Piping Requirements); excluded from both tank suppliers' scopes. Priced to the RFP specification: uPVC Schedule 40 below DN150; GRP or ductile iron with internal lining above DN150; resilient-seated butterfly isolation valves, lever-operated up to DN200 and gearbox-operated above. The Contractor's procurement tracker of 29-Sep-2026 shows different materials being procured (HDPE main line, a gate valve and a motorised butterfly valve); those substitutions are not approved and are shown after line 8.21, not carried. No quantities exist: the pipework shop drawings were returned Code C and are being resubmitted, and no take-off has been received, so the quantities remain assessed from the RFP schematic and are provisional. Unit rates are supplied and installed, inclusive of labour.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</si>
  <si>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</si>
  <si>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</si>
  <si>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</si>
  <si>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</si>
  <si>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</si>
  <si>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</si>
  <si>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</si>
  <si>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</si>
  <si>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</si>
  <si>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</si>
  <si>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</si>
  <si>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</si>
  <si>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</si>
  <si>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</si>
  <si>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</si>
  <si>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</si>
  <si>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</si>
  <si>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</si>
  <si>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</si>
  <si>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</si>
  <si>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</si>
  <si>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</si>
  <si>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</si>
  <si>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</si>
  <si>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</si>
  <si>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</si>
  <si>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</si>
  <si>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</si>
  <si>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</si>
  <si>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</si>
  <si>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</si>
  <si>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</si>
  <si>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</si>
  <si>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</si>
  <si>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</si>
  <si>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</si>
  <si>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</si>
  <si>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</si>
  <si>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</si>
  <si>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</si>
  <si>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</si>
  <si>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</si>
  <si>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</si>
  <si>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</si>
  <si>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</si>
  <si>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</si>
  <si>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</si>
  <si>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</si>
  <si>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</si>
  <si>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</si>
  <si>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</si>
  <si>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</si>
  <si>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</si>
  <si>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</si>
  <si>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</si>
  <si>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</si>
  <si>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</si>
  <si>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</si>
  <si>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</si>
  <si>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</si>
  <si>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</si>
  <si>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</si>
  <si>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</si>
  <si>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</si>
  <si>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</si>
  <si>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</si>
  <si>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</si>
  <si>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</si>
  <si>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</si>
  <si>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</si>
  <si>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</si>
  <si>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</si>
  <si>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</si>
  <si>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</si>
  <si>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</si>
  <si>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the Contractor's baseline programme QC05958-BSL01THF-TSE.xer (data date 01-Jul-2026), issued 29-Sep-2026 with a cost S-curve, cash flow, manpower histogram and two-week look-ahead, is the source of every period on this tab, as set out on the 'Programme' tab. It is under the Engineer's approval (acceptable with minor comments, a procurement schedule required) and is not an agreed basis. Site period D1 on the 'Programme' tab, from mobilisation on 22-Aug-2026 to the end of demobilisation, its end set by the external readiness milestone of 03-Dec-2026 and the tie-in, sequential testing, commissioning and demobilisation that follow; work-consumed resources on an efficient-working sequence in which Tank 1 takes the durations programmed for Tank 2. Supplier delivery terms are 7-9 weeks for the first tank and 12-14 weeks for the second, delivered duty paid from the UAE. The staged delivery is the Contractor's procurement risk: no standby, idle time or prolongation arising from it is assessed. Dates after the look-ahead data date of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</si>
  <si>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</si>
  <si>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</si>
  <si>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covers head-office overheads and profit only; every site-specific cost is priced in the items. The Contractor's cost loading of its programme spreads the proposal including that percentage across activities for progress measurement; it is an allocation, not evidence of cost, and is recorded on the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</si>
  <si>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</si>
  <si>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</si>
  <si>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</si>
  <si>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</si>
  <si>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</si>
  <si>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</si>
  <si>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</si>
  <si>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</si>
  <si>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</si>
  <si>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</si>
  <si>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</si>
  <si>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</si>
  <si>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</si>
  <si>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</si>
  <si>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</si>
  <si>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</si>
  <si>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</si>
  <si>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</si>
  <si>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</si>
  <si>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</si>
  <si>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</si>
  <si>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</si>
  <si>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</si>
  <si>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</si>
  <si>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</si>
  <si>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</si>
  <si>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</si>
  <si>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</si>
  <si>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</si>
  <si>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</si>
  <si>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</si>
  <si>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</si>
  <si>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</si>
  <si>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</si>
  <si>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</si>
  <si>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</si>
  <si>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</si>
  <si>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</si>
  <si>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</si>
  <si>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</si>
  <si>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</si>
  <si>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</si>
  <si>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</si>
  <si>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</si>
  <si>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</si>
  <si>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</si>
  <si>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</si>
  <si>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</si>
  <si>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</si>
  <si>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</si>
  <si>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</si>
  <si>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</si>
  <si>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</si>
  <si>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</si>
  <si>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</si>
  <si>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</si>
  <si>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</si>
  <si>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</si>
  <si>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</si>
  <si>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</si>
  <si>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</si>
  <si>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</si>
  <si>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</si>
  <si>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</si>
  <si>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</si>
  <si>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</si>
  <si>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</si>
  <si>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</si>
  <si>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</si>
  <si>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</si>
  <si>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</si>
  <si>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</si>
  <si>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</si>
  <si>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50 days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</si>
  <si>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</si>
  <si>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</si>
  <si>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50 days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</si>
  <si>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</si>
  <si>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</si>
  <si>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</si>
  <si>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</si>
  <si>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</si>
  <si>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</si>
  <si>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</si>
  <si>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</si>
  <si>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</si>
  <si>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</si>
  <si>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</si>
  <si>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</si>
  <si>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</si>
  <si>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</si>
  <si>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</si>
  <si>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</si>
  <si>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Five helpers for 3 months, a condition of the supplier's quotation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</si>
  <si>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</si>
  <si>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</si>
  <si>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</si>
  <si>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</si>
  <si>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</si>
  <si>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</si>
  <si>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</si>
  <si>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</si>
  <si>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</si>
  <si>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</si>
  <si>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</si>
  <si>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</si>
  <si>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</si>
  <si>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</si>
  <si>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</si>
  <si>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</si>
  <si>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</si>
  <si>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</si>
  <si>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</si>
  <si>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</si>
  <si>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</si>
  <si>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</si>
  <si>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</si>
  <si>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</si>
  <si>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</si>
  <si>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</si>
  <si>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</si>
  <si>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</si>
  <si>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</si>
  <si>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</si>
  <si>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</si>
  <si>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</si>
  <si>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</si>
  <si>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</si>
  <si>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</si>
  <si>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</si>
  <si>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</si>
  <si>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</si>
  <si>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</si>
  <si>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</si>
  <si>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</si>
  <si>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</si>
  <si>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</si>
  <si>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</si>
  <si>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</si>
  <si>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</si>
  <si>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</si>
  <si>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</si>
  <si>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</si>
  <si>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</si>
  <si>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</si>
  <si>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</si>
  <si>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</si>
  <si>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</si>
  <si>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</si>
  <si>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</si>
  <si>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</si>
  <si>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</si>
  <si>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</si>
  <si>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</si>
  <si>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</si>
  <si>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</si>
  <si>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</si>
  <si>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</si>
  <si>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</si>
  <si>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</si>
  <si>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</si>
  <si>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</si>
  <si>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</si>
  <si>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</si>
  <si>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</si>
  <si>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</si>
  <si>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</si>
  <si>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</si>
  <si>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</si>
  <si>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</si>
  <si>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</si>
  <si>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</si>
  <si>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</si>
  <si>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</si>
  <si>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</si>
  <si>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</si>
  <si>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</si>
  <si>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</si>
  <si>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</si>
  <si>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</si>
  <si>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</si>
  <si>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</si>
  <si>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</si>
  <si>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</si>
  <si>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</si>
  <si>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</si>
  <si>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</si>
  <si>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</si>
  <si>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</si>
  <si>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</si>
  <si>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</si>
  <si>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</si>
  <si>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</si>
  <si>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</si>
  <si>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</si>
  <si>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</si>
  <si>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</si>
  <si>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</si>
  <si>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</si>
  <si>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</si>
  <si>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</si>
  <si>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</si>
  <si>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</si>
  <si>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</si>
  <si>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</si>
  <si>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</si>
  <si>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</si>
  <si>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</si>
  <si>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</si>
  <si>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</si>
  <si>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</si>
  <si>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</si>
  <si>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</si>
  <si>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</si>
  <si>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</si>
  <si>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</si>
  <si>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</si>
  <si>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</si>
  <si>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</si>
  <si>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</si>
  <si>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</si>
  <si>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</si>
  <si>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</si>
  <si>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</si>
  <si>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</si>
  <si>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</si>
  <si>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</si>
  <si>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</si>
  <si>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</si>
  <si>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</si>
  <si>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</si>
  <si>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</si>
  <si>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</si>
  <si>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</si>
  <si>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</si>
  <si>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</si>
  <si>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to read this tab: Section 1 records the status of the programme and of the instruction. Section 2 is the working calendar taken from the programme file. Section 3 sets the programme's windows as submitted (Basis A) beside the basis carried in the assessment (Basis B), every date derived by formula from the activity data in Section 5 and the calendar in Section 2. Section 4 lists each 'Build-Up' line whose quantity is taken from this tab, with its quantity and amount on both bases; the Basis B quantity is the one linked into column D of the 'Build-Up' tab.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</si>
  <si>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</si>
  <si>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</si>
  <si>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</si>
  <si>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Use made of the programme: (i) the site period, which is governed by the external milestone 'SAJCO Readiness for Tie-In Connections' on 03-Dec-2026 and the tie-in, commissioning and demobilisation that follow it, is taken as submitted; (ii) the erection windows, which the submitted programme stretches to match staged panel deliveries, are re-derived on an efficient-working basis because delivery staging is the Contractor's procurement risk and buys no plant, labour or hire time; (iii) testing is carried on the Engineer's basis of 30-Aug-2026 (one tank filled, water re-used for the second) and shown to fit inside the submitted completion dates. Slippage against the baseline shown in the look-ahead (Tank 1 base panels forecast to start 30-Sep-2026 against 12-Sep-2026 programmed) is delivery-driven and adds nothing to the assessment. Dates after the look-ahead data date of 28-Sep-2026 are forecasts, not actuals.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</si>
  <si>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</si>
  <si>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</si>
  <si>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</si>
  <si>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</si>
  <si>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</si>
  <si>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</si>
  <si>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</si>
  <si>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</si>
  <si>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</si>
  <si>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</si>
  <si>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t>
  </si>
  <si>
    <t xml:space="preserve">C3</t>
  </si>
  <si>
    <t xml:space="preserve">Calendar days per month used to convert periods to months</t>
  </si>
  <si>
    <t xml:space="preserve">Average month (365 days / 12); months are rounded to one decimal place</t>
  </si>
  <si>
    <t xml:space="preserve">3. DURATION BASES - A: THE PROGRAMME AS SUBMITTED; B: THE BASIS CARRIED IN THE ASSESSMENT</t>
  </si>
  <si>
    <t xml:space="preserve">Basis A reproduces the submitted programme. Basis B is the basis carried: the site period as submitted, because its end is fixed by the external readiness milestone of 03-Dec-2026 and the tie-in, commissioning and demobilisation that follow, which the Contractor's delivery staging consumes but does not extend; and an efficient-working erection sequence for the work-consumed resources (plant, attendance labour, access equipment, lighting, containers), in which Tank 1 takes the durations the Contractor programmed for the identical work on Tank 2, the Tank 2 base panels start when the Tank 1 wall panels are complete (the submitted programme itself starts Tank 2 two working days before the Tank 1 walls finish), and the activity logic is the programme's own (bracing starts 2 working days after the walls and finishes 5 working days after them; the roof follows the bracing; the mechanical works finish 3 working days after the roof). The efficient sequence is an illustrative counterfactual used only to size those resources; it is not a forecast of the Contractor's progress. Working days are on the calendar in Section 2.</t>
  </si>
  <si>
    <t xml:space="preserve">Window</t>
  </si>
  <si>
    <t xml:space="preserve">Start - Basis A</t>
  </si>
  <si>
    <t xml:space="preserve">Finish - Basis A</t>
  </si>
  <si>
    <t xml:space="preserve">Days - A</t>
  </si>
  <si>
    <t xml:space="preserve">Start - Basis B</t>
  </si>
  <si>
    <t xml:space="preserve">Finish - Basis B</t>
  </si>
  <si>
    <t xml:space="preserve">Days - B</t>
  </si>
  <si>
    <t xml:space="preserve">Derivation and source</t>
  </si>
  <si>
    <t xml:space="preserve">P1</t>
  </si>
  <si>
    <t xml:space="preserve">Mobilisation and site establishment (calendar days)</t>
  </si>
  <si>
    <t xml:space="preserve">Activities QCD18TSEMOB1240 and QCD18TSEMOB1250, 22 to 26-Aug-2026, QC05958-BSL01THF-TSE.xer. Same on both bases;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</si>
  <si>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</si>
  <si>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</si>
  <si>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t>
  </si>
  <si>
    <t xml:space="preserve">P3</t>
  </si>
  <si>
    <t xml:space="preserve">Tank 1 - base panels (working days)</t>
  </si>
  <si>
    <t xml:space="preserve">A: activity QCD18TSECONT1INS1020, 12-Sep to 05-Oct-2026 (20 working days, paced by the partial delivery QCD18TSEPRC1120, 08-Sep to 03-Oct-2026). B: the same start; duration as the Contractor programmed for the identical work on Tank 2 (activity QCD18TSECONT2INS1020, 6 working days). The look-ahead forecasts the actual start as 30-Sep-2026: delivery-driven, the Contractor's risk</t>
  </si>
  <si>
    <t xml:space="preserve">P4</t>
  </si>
  <si>
    <t xml:space="preserve">Tank 1 - wall panels (working days)</t>
  </si>
  <si>
    <t xml:space="preserve">A: activity QCD18TSECONT1INS1030, 06 to 24-Oct-2026 (16 working days, paced by the wall-panel delivery QCD18TSEPRC1170). B: follows the base panels (finish-to-start, as programmed); duration as Tank 2 (QCD18TSECONT2INS1030, 12 working days)</t>
  </si>
  <si>
    <t xml:space="preserve">P5</t>
  </si>
  <si>
    <t xml:space="preserve">Tank 1 - bracing (working days)</t>
  </si>
  <si>
    <t xml:space="preserve">A: activity QCD18TSECONT1INS1060, 08 to 29-Oct-2026. B: the programme's own logic for the Tank 2 bracing (QCD18TSECONT2INS1060): starts 2 working days after the walls start and finishes 5 working days after the walls finish</t>
  </si>
  <si>
    <t xml:space="preserve">P6</t>
  </si>
  <si>
    <t xml:space="preserve">Tank 1 - roof supports and ladder (working days)</t>
  </si>
  <si>
    <t xml:space="preserve">A: activity QCD18TSECONT1INS1040, 31-Oct to 04-Nov-2026. B: follows the bracing (finish-to-start, as programmed); 5 working days on both tanks</t>
  </si>
  <si>
    <t xml:space="preserve">P7</t>
  </si>
  <si>
    <t xml:space="preserve">Tank 1 - roof panels (working days)</t>
  </si>
  <si>
    <t xml:space="preserve">A: activity QCD18TSECONT1INS1050, 05 to 11-Nov-2026. B: follows the roof supports; 6 working days on both tanks</t>
  </si>
  <si>
    <t xml:space="preserve">P8</t>
  </si>
  <si>
    <t xml:space="preserve">Tank 1 - mechanical works: nozzles, level transmitter, pipes and fittings (working days)</t>
  </si>
  <si>
    <t xml:space="preserve">A: activities QCD18TSECONT1MW2050, 2060 and 2055, 09 to 16-Nov-2026. B: the programme's own logic for Tank 2 (nozzles finish 2 working days after the roof; pipes and fittings finish 3 working days after the roof)</t>
  </si>
  <si>
    <t xml:space="preserve">P9</t>
  </si>
  <si>
    <t xml:space="preserve">Tank 2 - base panels (working days)</t>
  </si>
  <si>
    <t xml:space="preserve">A: activity QCD18TSECONT2INS1020, 22 to 28-Oct-2026, started 2 working days after the Tank 2 delivery begins (QCD18TSEPRC1210, 20-Oct-2026) - delivery-driven. B: assumption - the erection crew moves to the Tank 2 base when the Tank 1 walls are complete, consistent with the submitted overlap (Tank 2 base 22-Oct against Tank 1 walls finishing 24-Oct) and with the histogram peak in the week ending 30-Oct-2026 when the two tanks overlap. Materials assumed available: delivery staging is the Contractor's risk</t>
  </si>
  <si>
    <t xml:space="preserve">P10</t>
  </si>
  <si>
    <t xml:space="preserve">Tank 2 - wall panels (working days)</t>
  </si>
  <si>
    <t xml:space="preserve">Activity QCD18TSECONT2INS1030, 29-Oct to 11-Nov-2026, 12 working days; B follows the Tank 2 base panels</t>
  </si>
  <si>
    <t xml:space="preserve">P11</t>
  </si>
  <si>
    <t xml:space="preserve">Tank 2 - bracing (working days)</t>
  </si>
  <si>
    <t xml:space="preserve">Activity QCD18TSECONT2INS1060, 01 to 17-Nov-2026; B applies the same logic to the B wall dates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</si>
  <si>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</si>
  <si>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</si>
  <si>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</si>
  <si>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</si>
  <si>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</si>
  <si>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</si>
  <si>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</si>
  <si>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</si>
  <si>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 B applies the same logic to the B roof date</t>
  </si>
  <si>
    <t xml:space="preserve">P15</t>
  </si>
  <si>
    <t xml:space="preserve">Milestone - SAJCO readiness for the tie-in connections (external)</t>
  </si>
  <si>
    <t xml:space="preserve">-</t>
  </si>
  <si>
    <t xml:space="preserve">Activity QCD18TSECONIF2050, 03-Dec-2026, zero duration. An interface milestone outside the Contractor's control; not advanced on Basis B because no evidence supports an earlier readiness.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</si>
  <si>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</si>
  <si>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</si>
  <si>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 Same on both bases</t>
  </si>
  <si>
    <t xml:space="preserve">P17</t>
  </si>
  <si>
    <t xml:space="preserve">Testing and commissioning as programmed - both tanks in parallel (working days)</t>
  </si>
  <si>
    <t xml:space="preserve">Basis A only: activities QCD18TSECONTCT12050 and QCD18TSECONTCT22030, 09 to 16-Dec-2026, 7 working days each, in parallel, with two simultaneous fills. Not carried: the Engineer's (KEO) email of 30-Aug-2026 states that installation and testing will not be in parallel and that one tank is filled and the water re-used for the second. The sequential sequence carried on Basis B is at P18 to P22; the same sequence fitted to the submitted erection dates is the sensitivity S1 below</t>
  </si>
  <si>
    <t xml:space="preserve">P18</t>
  </si>
  <si>
    <t xml:space="preserve">Hydrostatic test - Tank 1, before the tie-in (working days)</t>
  </si>
  <si>
    <t xml:space="preserve">Basis B: starts the working day after the Tank 1 mechanical works and takes the 7 working days the Contractor programmed per tank (the only programme evidence of a test duration). Assumptions: Tank 1 internals flushed and nozzles blind-flanged (RFP Scope of Works work packages 4 and 5); fill by tankered supply pending the Employer's confirmation of a local source; the water is retained in Tank 1 until Tank 2 is ready - losses are the 10 per cent top-up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</si>
  <si>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</si>
  <si>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</si>
  <si>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and interior flushed - RFP Scope of Works work package 4). Pumped tank to tank through temporary hoses with the tank outlet valves isolated; the tie-in to the pump room is not needed for the transfer. 3 working days is an assessed assumption pending the Contractor's method statement: 3,774 m3 at about 130 m3 per hour over 10-hour shifts, a 150 mm self-priming diesel pump against a low head (adjacent tanks at the same level, about 4 m static plus hose friction) - 'Build-Up' lines 7.2 to 7.4</t>
  </si>
  <si>
    <t xml:space="preserve">P20</t>
  </si>
  <si>
    <t xml:space="preserve">Hydrostatic test - Tank 2 (working days)</t>
  </si>
  <si>
    <t xml:space="preserve">Follows the transfer; 7 working days as programmed per tank</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</si>
  <si>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</si>
  <si>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</si>
  <si>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 its two 7-working-day 'Testing &amp; Commissioning' activities cover the hydrostatic test and the commissioning of each tank together - so the sequential basis separates 7 working days per hydrostatic test (the programmed figure) from 3 plus 3 working days for the checks and the integrated commissioning (assessed). Programme durations are in any case not of themselves payable</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</si>
  <si>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</si>
  <si>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</si>
  <si>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3 working days is an assessed assumption on the same footing as P21</t>
  </si>
  <si>
    <t xml:space="preserve">P22</t>
  </si>
  <si>
    <t xml:space="preserve">Completion of testing and commissioning - both tanks</t>
  </si>
  <si>
    <t xml:space="preserve">A: completion milestones QCD18TSEOMS1040 and 1050, 16-Dec-2026, with parallel testing. B: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</si>
  <si>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</si>
  <si>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</si>
  <si>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</si>
  <si>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on the 'Build-Up' tab</t>
  </si>
  <si>
    <t xml:space="preserve">D1</t>
  </si>
  <si>
    <t xml:space="preserve">Site period - mobilisation start to demobilisation finish (calendar days)</t>
  </si>
  <si>
    <t xml:space="preserve">Site staff, workforce transport, welfare cabins, WC, water tank and deliveries, the continuous 30 kVA welfare generator, the site pick-up and the watchman run for this period, which includes the demobilisation week so that supervision, HSE and welfare cover the demobilisation. A: the programme as submitted, 22-Aug to 24-Dec-2026. B: the end is set by the external readiness milestone of 03-Dec-2026 and the tie-in, sequential testing, commissioning and demobilisation that follow it,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</si>
  <si>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</si>
  <si>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</si>
  <si>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</si>
  <si>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</si>
  <si>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</si>
  <si>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Supplier-attendance helpers, power tools and lighting towers are needed while erection is in progress. A: 12-Sep to 03-Dec-2026, stretched by staged deliveries. B: the efficient sequence</t>
  </si>
  <si>
    <t xml:space="preserve">D4</t>
  </si>
  <si>
    <t xml:space="preserve">Panel-handling plant, segment 1 - first panels on site to the later of the Tank 1 roof and the Tank 2 walls (working days)</t>
  </si>
  <si>
    <t xml:space="preserve">Boom truck and telehandler days: one hired unit of each serves both adjacent tanks, so overlapping activities are counted once. The panel-handling activities are the deliveries and the base, wall, roof-support and roof installations; bracing and mechanical works need none. Segment 1 is the continuous union of those activities: on A, from the first delivery (QCD18TSEPRC1120, 08-Sep-2026) through the Tank 1 base and walls, the Tank 2 delivery, base and walls and the Tank 1 roof, without a gap (checked activity by activity in Section 5); on B, from the Tank 1 base start through the Tank 2 walls, the Tank 1 roof falling inside. No delivery is charged on B: materials are assumed available</t>
  </si>
  <si>
    <t xml:space="preserve">D5</t>
  </si>
  <si>
    <t xml:space="preserve">Panel-handling plant, segment 2 - Tank 2 roof supports and roof panels (working days)</t>
  </si>
  <si>
    <t xml:space="preserve">Second segment after the Tank 2 bracing; the bracing days between the two segments are not charged</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</si>
  <si>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</si>
  <si>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</si>
  <si>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</si>
  <si>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</si>
  <si>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</si>
  <si>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A: first delivery 08-Sep-2026 to Tank 2 roof finish 30-Nov-2026. B: efficient sequence; storage between staged deliveries is the Contractor's risk</t>
  </si>
  <si>
    <t xml:space="preserve">Sensitivities - not carried; same durations and dependencies as P18 to P23</t>
  </si>
  <si>
    <t xml:space="preserve">S1</t>
  </si>
  <si>
    <t xml:space="preserve">Sequential testing on the submitted erection dates - Tank 1 test after its mechanical works, transfer after Tank 2 mechanical works, Tank 2 test, then integrated commissioning (calendar days from mobilisation)</t>
  </si>
  <si>
    <t xml:space="preserve">Tank 1 test 17 to 24-Nov-2026 within its float; transfer 05 to 07-Dec after the Tank 2 mechanical works; Tank 2 test 08 to 15-Dec; integrated commissioning 16 to 19-Dec-2026, three working days after the Contractor's 16-Dec-2026 completion milestone. Shows that the Engineer's sequential requirement extends the submitted programme unless the Contractor re-sequences; not carried</t>
  </si>
  <si>
    <t xml:space="preserve">S2</t>
  </si>
  <si>
    <t xml:space="preserve">Basis B if the Tank 1 test cannot precede the tie-in - Tank 1 test after the tie-in, transfer, Tank 2 test, integrated commissioning, demobilisation (calendar days from mobilisation)</t>
  </si>
  <si>
    <t xml:space="preserve">Tank 1 test 09 to 16-Dec-2026; transfer 17 to 20-Dec; Tank 2 test 21 to 28-Dec; component checks 09 to 12-Dec in parallel; integrated commissioning 29 to 31-Dec-2026; demobilisation 02 to 09-Jan-2027 (Fridays and the calendar exception excluded). The additional site days against D1 (Basis B) are shown at S3</t>
  </si>
  <si>
    <t xml:space="preserve">S3</t>
  </si>
  <si>
    <t xml:space="preserve">S2 - effect on the carried assessment (additional calendar days; additional amount in SAR, excluding Overhead and Profit)</t>
  </si>
  <si>
    <t xml:space="preserve">Additional site days multiplied by the monthly rates of the lines priced on the site period D1 ('Build-Up' 1.1 to 1.8, 1.10, 1.12, 1.13, 5.8, 5.9) and on the works period D2 (5.7), with two extra water deliveries a week, months rounded as in Section 4. Not carried: it applies only if the Engineer does not accept the early Tank 1 test</t>
  </si>
  <si>
    <t xml:space="preserve">4. 'BUILD-UP' LINES WHOSE QUANTITY IS TAKEN FROM THIS TAB - BOTH BASES SIDE BY SIDE</t>
  </si>
  <si>
    <t xml:space="preserve">Rates are those on the 'Build-Up' tab. Column G (Basis B) is linked into column D of the 'Build-Up' tab and is the quantity carried; column F (Basis A) shows what the same rate would give on the programme exactly as submitted. Lines not listed here are unchanged from the previous revision because the programme does not inform them (mobilisation trips, design resources, scaffold area, consumables, commissioning staff and pipework quantities); their basis is stated on the 'Build-Up' tab.</t>
  </si>
  <si>
    <t xml:space="preserve">'Build-Up' line</t>
  </si>
  <si>
    <t xml:space="preserve">Qty - previous revision</t>
  </si>
  <si>
    <t xml:space="preserve">Qty - Basis A</t>
  </si>
  <si>
    <t xml:space="preserve">Qty - Basis B (carried)</t>
  </si>
  <si>
    <t xml:space="preserve">Amount - Basis A (SAR)</t>
  </si>
  <si>
    <t xml:space="preserve">Amount - Basis B (SAR)</t>
  </si>
  <si>
    <t xml:space="preserve">Derivation</t>
  </si>
  <si>
    <t xml:space="preserve">Site period D1 in months, including the demobilisation week; the post-demobilisation completion inspection is line 1.22</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</si>
  <si>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</si>
  <si>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</si>
  <si>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</si>
  <si>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</si>
  <si>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</si>
  <si>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Panel-handling windows D4 and D5, working days</t>
  </si>
  <si>
    <t xml:space="preserve">As 5.1</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</si>
  <si>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</si>
  <si>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</si>
  <si>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</si>
  <si>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</si>
  <si>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</si>
  <si>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5 No. helpers for the erection window D3 in months. The histogram's 85 helper man-weeks (19.6 man-months) are not adopted: the workbook does not say whether the supplier's erection crews, whose cost is inside the Item 6 price, are included</t>
  </si>
  <si>
    <t xml:space="preserve">Erection window D3 in months</t>
  </si>
  <si>
    <t xml:space="preserve">2 No. lighting towers for the erection window D3 in months</t>
  </si>
  <si>
    <t xml:space="preserve">A: both tanks filled at once for parallel testing (7,548 m3, RFP Scope of Works section 1). B: one fill, water re-used for the second tank - the Engineer's (KEO) email of 30-Aug-2026</t>
  </si>
  <si>
    <t xml:space="preserve">Transfer pump: not needed on A; 7 days on B (P19 transfer plus set-up and hold)</t>
  </si>
  <si>
    <t xml:space="preserve">Transfer hoses: not needed on A; 1 week on B</t>
  </si>
  <si>
    <t xml:space="preserve">Transfer labour: not needed on A; 2 No. x 3 days on B (P19)</t>
  </si>
  <si>
    <t xml:space="preserve">Top-up at 10 per cent of the water filled: of two fills on A, of one fill on B (retention in Tank 1 between P18 and P19)</t>
  </si>
  <si>
    <t xml:space="preserve">A: the programmed 7-working-day parallel testing and commissioning activity plus one day at the hold. B: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</si>
  <si>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 for the 7-day programmed activity; B for the component checks P21 and the integrated commissioning P21b (6 days)</t>
  </si>
  <si>
    <t xml:space="preserve">Tie-in P16 working days plus one day of integrated commissioning, both bases</t>
  </si>
  <si>
    <t xml:space="preserve">Tanker and pump standby: 3 fill days and 1 hold day for Tank 1, 3 transfer days and 1 hold day for Tank 2; the same on both bases because the programme's parallel testing would need the same standby for two simultaneous fills</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</si>
  <si>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</si>
  <si>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</si>
  <si>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</si>
  <si>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</si>
  <si>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</si>
  <si>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</si>
  <si>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</si>
  <si>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</si>
  <si>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</si>
  <si>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Basis B is the 'Assessment' tab total (row 21). Basis A replaces the listed lines with their Basis A amounts and applies the Overhead and Profit once, as on the 'Assessment' tab</t>
  </si>
  <si>
    <t xml:space="preserve">5. ACTIVITY DATA - QC05958-BSL01THF-TSE.xer, PROJECT 'QC05958-BSL01THF-TSE-FINAL', DATA DATE 01-JUL-2026</t>
  </si>
  <si>
    <t xml:space="preserve">All 81 activities as submitted, sorted by start date; names and sections are reproduced as they appear in the programme file. Working days are on each activity's own calendar: '6-day, 10 h' is the calendar 'QIC 6 Days 10 Hrs', '5-day, 10 h' is 'QIC 5 Days 10 Hrs' and '7-day, 10 h' is 'QIC 7 Days 10 Hrs' or 'QIC 7D/10H'. 'Cost loaded' is the Contractor's allocation of its proposal of SAR 8,110,296.62 including 5 per cent Overhead and Profit to the single cost resource 'TSE Tank Cost'; it is an allocation for progress measurement, not evidence of the cost of any activity.</t>
  </si>
  <si>
    <t xml:space="preserve">Activity (as named in the programme)</t>
  </si>
  <si>
    <t xml:space="preserve">Start</t>
  </si>
  <si>
    <t xml:space="preserve">Finish</t>
  </si>
  <si>
    <t xml:space="preserve">Working days</t>
  </si>
  <si>
    <t xml:space="preserve">Cost loaded (SAR, incl. 5% OHP)</t>
  </si>
  <si>
    <t xml:space="preserve">Activity ID</t>
  </si>
  <si>
    <t xml:space="preserve">Calendar</t>
  </si>
  <si>
    <t xml:space="preserve">Total float (days)</t>
  </si>
  <si>
    <t xml:space="preserve">GRP TSE Tank - Supplier identifcation</t>
  </si>
  <si>
    <t xml:space="preserve">QCD18TSEMOB1020</t>
  </si>
  <si>
    <t xml:space="preserve">6-day, 10 h</t>
  </si>
  <si>
    <t xml:space="preserve">MOBILIZATION / Supplier Identification &amp; Evaluation</t>
  </si>
  <si>
    <t xml:space="preserve">Project Start</t>
  </si>
  <si>
    <t xml:space="preserve">QCD18TSEMS1000</t>
  </si>
  <si>
    <t xml:space="preserve">7-day, 10 h</t>
  </si>
  <si>
    <t xml:space="preserve">MILESTONES</t>
  </si>
  <si>
    <t xml:space="preserve">Issuance of Engineer's Instruction</t>
  </si>
  <si>
    <t xml:space="preserve">QCD18TSEOMS1020</t>
  </si>
  <si>
    <t xml:space="preserve">MILESTONES / Other Milestones</t>
  </si>
  <si>
    <t xml:space="preserve">GRP TSE Tank - Supplier Evaluation &amp; Proposal</t>
  </si>
  <si>
    <t xml:space="preserve">QCD18TSEMOB1030</t>
  </si>
  <si>
    <t xml:space="preserve">Preparation &amp; Submission of MOS - TSE Tank Dismantling</t>
  </si>
  <si>
    <t xml:space="preserve">QCD18TSEMOB1040</t>
  </si>
  <si>
    <t xml:space="preserve">MOBILIZATION / Project Deliverables &amp; Submittals / Project Submittals / Submissions of Submittals</t>
  </si>
  <si>
    <t xml:space="preserve">Preparation &amp; Submission of MOS - TSE Tank Installation</t>
  </si>
  <si>
    <t xml:space="preserve">QCD18TSEMOB1050</t>
  </si>
  <si>
    <t xml:space="preserve">Approval of MOS - TSE Tank Dismantling</t>
  </si>
  <si>
    <t xml:space="preserve">QCD18TSEMOB1060</t>
  </si>
  <si>
    <t xml:space="preserve">5-day, 10 h</t>
  </si>
  <si>
    <t xml:space="preserve">MOBILIZATION / Project Deliverables &amp; Submittals / Project Submittals / Approval of Submittals</t>
  </si>
  <si>
    <t xml:space="preserve">Approval of MOS - TSE Tank Installation</t>
  </si>
  <si>
    <t xml:space="preserve">QCD18TSEMOB1070</t>
  </si>
  <si>
    <t xml:space="preserve">Preparation &amp; Submission of Health &amp; Safety Managment Plan</t>
  </si>
  <si>
    <t xml:space="preserve">QCD18TSEMOB1080</t>
  </si>
  <si>
    <t xml:space="preserve">MOBILIZATION / Project Deliverables &amp; Submittals / Project Deliverables / Submissions of Deliverables</t>
  </si>
  <si>
    <t xml:space="preserve">Preparation &amp; Submission of CEMP Plan</t>
  </si>
  <si>
    <t xml:space="preserve">QCD18TSEMOB1090</t>
  </si>
  <si>
    <t xml:space="preserve">Preparation &amp; Submission of Project Execution Plan</t>
  </si>
  <si>
    <t xml:space="preserve">QCD18TSEMOB1100</t>
  </si>
  <si>
    <t xml:space="preserve">Preparation &amp; Submission of Project Mobilization Plan</t>
  </si>
  <si>
    <t xml:space="preserve">QCD18TSEMOB1110</t>
  </si>
  <si>
    <t xml:space="preserve">Preparation &amp; Submission of Project Quality Plan</t>
  </si>
  <si>
    <t xml:space="preserve">QCD18TSEMOB1120</t>
  </si>
  <si>
    <t xml:space="preserve">Preparation &amp; Submission of MOS - Pipe Installation</t>
  </si>
  <si>
    <t xml:space="preserve">QCD18TSEMOB1130</t>
  </si>
  <si>
    <t xml:space="preserve">Preparation &amp; Submission of MOS - Tie in Connections</t>
  </si>
  <si>
    <t xml:space="preserve">QCD18TSEMOB1140</t>
  </si>
  <si>
    <t xml:space="preserve">Preparation &amp; Submission of ITP</t>
  </si>
  <si>
    <t xml:space="preserve">QCD18TSEMOB1150</t>
  </si>
  <si>
    <t xml:space="preserve">Vendor/Supplier PQD Submission</t>
  </si>
  <si>
    <t xml:space="preserve">QCD18TSEPRC1020</t>
  </si>
  <si>
    <t xml:space="preserve">PROCUREMENT / Long Lead Item / GRP Material / Vendor / Supplier Approval</t>
  </si>
  <si>
    <t xml:space="preserve">Submisison of MAR</t>
  </si>
  <si>
    <t xml:space="preserve">QCD18TSEPRC1030</t>
  </si>
  <si>
    <t xml:space="preserve">PROCUREMENT / Long Lead Item / GRP Material / Material Approval</t>
  </si>
  <si>
    <t xml:space="preserve">Preparation &amp; Submission of Vendor/Supplier PQD</t>
  </si>
  <si>
    <t xml:space="preserve">QCD18TSEPRC1090</t>
  </si>
  <si>
    <t xml:space="preserve">PROCUREMENT / Short Lead Item / Pipes,Valves &amp; Accessories / Vendor / Supplier Approval</t>
  </si>
  <si>
    <t xml:space="preserve">Vendor/Supplier PQD Approval</t>
  </si>
  <si>
    <t xml:space="preserve">QCD18TSEPRC1040</t>
  </si>
  <si>
    <t xml:space="preserve">Approval of MAR</t>
  </si>
  <si>
    <t xml:space="preserve">QCD18TSEPRC1050</t>
  </si>
  <si>
    <t xml:space="preserve">Issuance of Purchase Order</t>
  </si>
  <si>
    <t xml:space="preserve">QCD18TSEPRC1060</t>
  </si>
  <si>
    <t xml:space="preserve">PROCUREMENT / Long Lead Item / GRP Material / PO Issuance</t>
  </si>
  <si>
    <t xml:space="preserve">Approval of Vendor/Supplier PQD</t>
  </si>
  <si>
    <t xml:space="preserve">QCD18TSEPRC1100</t>
  </si>
  <si>
    <t xml:space="preserve">Submission of Shop Drawings</t>
  </si>
  <si>
    <t xml:space="preserve">QCD18TSEENG1240</t>
  </si>
  <si>
    <t xml:space="preserve">ENGINEERING / Shop Drawings</t>
  </si>
  <si>
    <t xml:space="preserve">Manufacturing of Material</t>
  </si>
  <si>
    <t xml:space="preserve">QCD18TSEPRC1070</t>
  </si>
  <si>
    <t xml:space="preserve">PROCUREMENT / Long Lead Item / GRP Material / Manufacturing &amp; Delivery / TSE Tank-02</t>
  </si>
  <si>
    <t xml:space="preserve">QCD18TSEPRC1080</t>
  </si>
  <si>
    <t xml:space="preserve">PROCUREMENT / Long Lead Item / GRP Material / Manufacturing &amp; Delivery / TSE Tank-01</t>
  </si>
  <si>
    <t xml:space="preserve">Approval of Project Quality Plan</t>
  </si>
  <si>
    <t xml:space="preserve">QCD18TSEMOB1160</t>
  </si>
  <si>
    <t xml:space="preserve">MOBILIZATION / Project Deliverables &amp; Submittals / Project Deliverables / Aprroval of Deliverables</t>
  </si>
  <si>
    <t xml:space="preserve">Approval of Shop Drawings</t>
  </si>
  <si>
    <t xml:space="preserve">QCD18TSEENG1250</t>
  </si>
  <si>
    <t xml:space="preserve">Approval of Health &amp; Safety Managment Plan</t>
  </si>
  <si>
    <t xml:space="preserve">QCD18TSEMOB1170</t>
  </si>
  <si>
    <t xml:space="preserve">Approval of Project Execution Plan</t>
  </si>
  <si>
    <t xml:space="preserve">QCD18TSEMOB1180</t>
  </si>
  <si>
    <t xml:space="preserve">Approval of Project Mobilization Plan</t>
  </si>
  <si>
    <t xml:space="preserve">QCD18TSEMOB1190</t>
  </si>
  <si>
    <t xml:space="preserve">Approval of MOS - Pipe Installation</t>
  </si>
  <si>
    <t xml:space="preserve">QCD18TSEMOB1200</t>
  </si>
  <si>
    <t xml:space="preserve">Approval of MOS - Tie in Connections</t>
  </si>
  <si>
    <t xml:space="preserve">QCD18TSEMOB1210</t>
  </si>
  <si>
    <t xml:space="preserve">Approval of CEMP Plan</t>
  </si>
  <si>
    <t xml:space="preserve">QCD18TSEMOB1220</t>
  </si>
  <si>
    <t xml:space="preserve">Approval of ITP</t>
  </si>
  <si>
    <t xml:space="preserve">QCD18TSEMOB1230</t>
  </si>
  <si>
    <t xml:space="preserve">Mobilization of Manpower &amp; Equipment</t>
  </si>
  <si>
    <t xml:space="preserve">QCD18TSEMOB1240</t>
  </si>
  <si>
    <t xml:space="preserve">MOBILIZATION / Manpower &amp; Equipment Mobilization</t>
  </si>
  <si>
    <t xml:space="preserve">Site Establishment &amp; Temporaray Welfare Facilities</t>
  </si>
  <si>
    <t xml:space="preserve">QCD18TSEMOB1250</t>
  </si>
  <si>
    <t xml:space="preserve">MOBILIZATION / Welfare Facilities</t>
  </si>
  <si>
    <t xml:space="preserve">QCD18TSEPRC1110</t>
  </si>
  <si>
    <t xml:space="preserve">PROCUREMENT / Short Lead Item / Pipes,Valves &amp; Accessories / Material Approval</t>
  </si>
  <si>
    <t xml:space="preserve">Removal &amp; Disposal of Roof panels &amp; Structure</t>
  </si>
  <si>
    <t xml:space="preserve">QCD18TSECONDSM1020</t>
  </si>
  <si>
    <t xml:space="preserve">CONSTRUCTION / Dismantling of Existing TSE Tank</t>
  </si>
  <si>
    <t xml:space="preserve">Removal &amp; Disposal of Side Panels</t>
  </si>
  <si>
    <t xml:space="preserve">QCD18TSECONDSM1040</t>
  </si>
  <si>
    <t xml:space="preserve">QCD18TSEPRC1140</t>
  </si>
  <si>
    <t xml:space="preserve">Removal &amp; Disposal of base Panels</t>
  </si>
  <si>
    <t xml:space="preserve">QCD18TSECONDSM1030</t>
  </si>
  <si>
    <t xml:space="preserve">Survey &amp; Leveling verfication for the existing foundation</t>
  </si>
  <si>
    <t xml:space="preserve">QCD18TSECONSL1050</t>
  </si>
  <si>
    <t xml:space="preserve">CONSTRUCTION / Survey &amp; Levelling (Existing Foundations)</t>
  </si>
  <si>
    <t xml:space="preserve">Partial Delivery of material TSE Tank - 01  (Base panels)</t>
  </si>
  <si>
    <t xml:space="preserve">QCD18TSEPRC1120</t>
  </si>
  <si>
    <t xml:space="preserve">Submission of MIR for TSE Tank - 01  (Base panels)</t>
  </si>
  <si>
    <t xml:space="preserve">QCD18TSEPRC1130</t>
  </si>
  <si>
    <t xml:space="preserve">PROCUREMENT / Long Lead Item / GRP Material / Material Inspection / TSE Tank-01</t>
  </si>
  <si>
    <t xml:space="preserve">Approval of MIR for TSE Tank - 01  (Base panels)</t>
  </si>
  <si>
    <t xml:space="preserve">QCD18TSEPRC1150</t>
  </si>
  <si>
    <t xml:space="preserve">Installation of Base Panels with Internal lining &amp; food grade joint sealent</t>
  </si>
  <si>
    <t xml:space="preserve">QCD18TSECONT1INS1020</t>
  </si>
  <si>
    <t xml:space="preserve">CONSTRUCTION / TSE Tank -01 / Tank Installation</t>
  </si>
  <si>
    <t xml:space="preserve">QCD18TSEPRC1160</t>
  </si>
  <si>
    <t xml:space="preserve">PROCUREMENT / Short Lead Item / Pipes,Valves &amp; Accessories / PO Issuance</t>
  </si>
  <si>
    <t xml:space="preserve">Manufacturing of Material &amp; delivery</t>
  </si>
  <si>
    <t xml:space="preserve">QCD18TSEPRC1190</t>
  </si>
  <si>
    <t xml:space="preserve">PROCUREMENT / Short Lead Item / Pipes,Valves &amp; Accessories / Manufacturing &amp; Delivery</t>
  </si>
  <si>
    <t xml:space="preserve">Partial Delievery of wall panels + associated material TSE Tank - 01</t>
  </si>
  <si>
    <t xml:space="preserve">QCD18TSEPRC1170</t>
  </si>
  <si>
    <t xml:space="preserve">Submission of MIR of wall panels + associated material TSE Tank - 01</t>
  </si>
  <si>
    <t xml:space="preserve">QCD18TSEPRC1180</t>
  </si>
  <si>
    <t xml:space="preserve">Approval of MIR of wall panels + associated material TSE Tank - 01</t>
  </si>
  <si>
    <t xml:space="preserve">QCD18TSEPRC1200</t>
  </si>
  <si>
    <t xml:space="preserve">Installation of Wall Panels with Internal lining &amp; food grade joint sealent</t>
  </si>
  <si>
    <t xml:space="preserve">QCD18TSECONT1INS1030</t>
  </si>
  <si>
    <t xml:space="preserve">Installation of Bracing</t>
  </si>
  <si>
    <t xml:space="preserve">QCD18TSECONT1INS1060</t>
  </si>
  <si>
    <t xml:space="preserve">Delievery of TSE Tanks -02 (Base+Wall Panel + associated material)</t>
  </si>
  <si>
    <t xml:space="preserve">QCD18TSEPRC1210</t>
  </si>
  <si>
    <t xml:space="preserve">Submission of MIR  TSE Tanks -02 (Base+Wall Panel + associated material)</t>
  </si>
  <si>
    <t xml:space="preserve">QCD18TSEPRC1220</t>
  </si>
  <si>
    <t xml:space="preserve">PROCUREMENT / Long Lead Item / GRP Material / Material Inspection / TSE Tank-02</t>
  </si>
  <si>
    <t xml:space="preserve">QCD18TSECONT2INS1020</t>
  </si>
  <si>
    <t xml:space="preserve">CONSTRUCTION / TSE Tank -02 / Tank Installation</t>
  </si>
  <si>
    <t xml:space="preserve">Approval of MIR  TSE Tanks -02 (Base+Wall Panel + associated material)</t>
  </si>
  <si>
    <t xml:space="preserve">QCD18TSEPRC1230</t>
  </si>
  <si>
    <t xml:space="preserve">QCD18TSECONT2INS1030</t>
  </si>
  <si>
    <t xml:space="preserve">Installation of Roof Supports &amp; Ladder</t>
  </si>
  <si>
    <t xml:space="preserve">QCD18TSECONT1INS1040</t>
  </si>
  <si>
    <t xml:space="preserve">QCD18TSECONT2INS1060</t>
  </si>
  <si>
    <t xml:space="preserve">Submission of MIR for Pipe, Vlaves &amp; Accessories</t>
  </si>
  <si>
    <t xml:space="preserve">QCD18TSEPRC1240</t>
  </si>
  <si>
    <t xml:space="preserve">PROCUREMENT / Short Lead Item / Pipes,Valves &amp; Accessories / Material Inspection</t>
  </si>
  <si>
    <t xml:space="preserve">Approval of MIR for  Pipe, Vlaves &amp; Accessories</t>
  </si>
  <si>
    <t xml:space="preserve">QCD18TSEPRC1250</t>
  </si>
  <si>
    <t xml:space="preserve">Installation of Roof Panels with Internal lining &amp; food grade joint sealent</t>
  </si>
  <si>
    <t xml:space="preserve">QCD18TSECONT1INS1050</t>
  </si>
  <si>
    <t xml:space="preserve">Installation of Inlet/Outlet, Overflow &amp; Drain Nozzles, Internals &amp; Blind Flanges</t>
  </si>
  <si>
    <t xml:space="preserve">QCD18TSECONT1MW2050</t>
  </si>
  <si>
    <t xml:space="preserve">CONSTRUCTION / TSE Tank -01 / Mechanical Works</t>
  </si>
  <si>
    <t xml:space="preserve">Installation of Level Trabsmitter / Remote level indication.</t>
  </si>
  <si>
    <t xml:space="preserve">QCD18TSECONT1MW2060</t>
  </si>
  <si>
    <t xml:space="preserve">Installation of Pipes &amp; Fittings</t>
  </si>
  <si>
    <t xml:space="preserve">QCD18TSECONT1MW2055</t>
  </si>
  <si>
    <t xml:space="preserve">QCD18TSECONT2INS1040</t>
  </si>
  <si>
    <t xml:space="preserve">QCD18TSECONT2INS1050</t>
  </si>
  <si>
    <t xml:space="preserve">QCD18TSECONT2MW2030</t>
  </si>
  <si>
    <t xml:space="preserve">CONSTRUCTION / TSE Tank -02 / Mechanical Works</t>
  </si>
  <si>
    <t xml:space="preserve">QCD18TSECONT2MW2040</t>
  </si>
  <si>
    <t xml:space="preserve">QCD18TSECONT2MW2020</t>
  </si>
  <si>
    <t xml:space="preserve">SAJCO Readiness for Tie-In Connections</t>
  </si>
  <si>
    <t xml:space="preserve">QCD18TSECONIF2050</t>
  </si>
  <si>
    <t xml:space="preserve">CONSTRUCTION / Tie in Interface</t>
  </si>
  <si>
    <t xml:space="preserve">Tie in Connections with Existing Pump Room</t>
  </si>
  <si>
    <t xml:space="preserve">QCD18TSECONTC2040</t>
  </si>
  <si>
    <t xml:space="preserve">Testing &amp; Commissioning-TSE TanK-01</t>
  </si>
  <si>
    <t xml:space="preserve">QCD18TSECONTCT12050</t>
  </si>
  <si>
    <t xml:space="preserve">CONSTRUCTION / Testing &amp; Commissioning</t>
  </si>
  <si>
    <t xml:space="preserve">Testing &amp; Commissioning-TSE TanK-02</t>
  </si>
  <si>
    <t xml:space="preserve">QCD18TSECONTCT22030</t>
  </si>
  <si>
    <t xml:space="preserve">Completion of TSE Tank - 01</t>
  </si>
  <si>
    <t xml:space="preserve">QCD18TSEOMS1040</t>
  </si>
  <si>
    <t xml:space="preserve">Completion of TSE Tank - 02</t>
  </si>
  <si>
    <t xml:space="preserve">QCD18TSEOMS1050</t>
  </si>
  <si>
    <t xml:space="preserve">Demobilization of Manpower, Equipment &amp; Temporary Facilities</t>
  </si>
  <si>
    <t xml:space="preserve">QCD18TSEDMOB1020</t>
  </si>
  <si>
    <t xml:space="preserve">DEMOBILIZATION &amp; CLOSEOUT / Manpower, Equipment &amp; Temp. Facilities</t>
  </si>
  <si>
    <t xml:space="preserve">As Built Drawing &amp; Closeout documents</t>
  </si>
  <si>
    <t xml:space="preserve">QCD18TSEDMOB3020</t>
  </si>
  <si>
    <t xml:space="preserve">DEMOBILIZATION &amp; CLOSEOUT / Closeout</t>
  </si>
  <si>
    <t xml:space="preserve">Project Finish</t>
  </si>
  <si>
    <t xml:space="preserve">QCD18TSEMS1010</t>
  </si>
  <si>
    <t xml:space="preserve">Total cost loaded</t>
  </si>
  <si>
    <t xml:space="preserve">Equals the Contractor's proposal of SAR 8,110,296.62 including Overhead and Profit</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</si>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</sst>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7">
    <numFmt numFmtId="164" formatCode="General"/>
    <numFmt numFmtId="165" formatCode="#,##0.00"/>
    <numFmt numFmtId="166" formatCode="0.0%"/>
    <numFmt numFmtId="167" formatCode="#,##0"/>
    <numFmt numFmtId="168" formatCode="dd\-mmm\-yyyy"/>
    <numFmt numFmtId="169" formatCode="0.0"/>
    <numFmt numFmtId="170"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0"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0"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2 No. TSE irrigation storage tanks, dismantling of damaged Tank-1, associated pipework and testing. Result: the proposal of SAR " &amp; TEXT(F21,"#,##0.00") &amp; " is assessed at SAR " &amp; TEXT(K21,"#,##0.00") &amp; ",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 &amp; TEXT(6921685.64,"#,##0.00") &amp; ")."</f>
        <v>Purpose: to value the Contractor's revised proposal ref. SAMACO-RRFP-000001 dated 13-Aug-2026 for the 2 No. TSE irrigation storage tanks, dismantling of damaged Tank-1, associated pipework and testing. Result: the proposal of SAR 8,110,296.62 is assessed at SAR 6,959,217.89,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57.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323210.56</v>
      </c>
      <c r="K8" s="20" t="n">
        <f aca="false">I8*J8</f>
        <v>323210.56</v>
      </c>
      <c r="L8" s="19" t="s">
        <v>51</v>
      </c>
      <c r="M8" s="21" t="s">
        <v>52</v>
      </c>
      <c r="N8" s="21" t="s">
        <v>53</v>
      </c>
      <c r="O8" s="18" t="n">
        <f aca="false">F8-K8</f>
        <v>356789.44</v>
      </c>
      <c r="P8" s="22" t="n">
        <f aca="false">IF(K8=0,"",(F8-K8)/K8)</f>
        <v>1.10389165502513</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50000</v>
      </c>
      <c r="K10" s="20" t="n">
        <f aca="false">I10*J10</f>
        <v>50000</v>
      </c>
      <c r="L10" s="19" t="s">
        <v>57</v>
      </c>
      <c r="M10" s="21" t="s">
        <v>52</v>
      </c>
      <c r="N10" s="21" t="s">
        <v>53</v>
      </c>
      <c r="O10" s="18" t="n">
        <f aca="false">F10-K10</f>
        <v>35000</v>
      </c>
      <c r="P10" s="22" t="n">
        <f aca="false">IF(K10=0,"",(F10-K10)/K10)</f>
        <v>0.7</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66"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132"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296010</v>
      </c>
      <c r="K14" s="20" t="n">
        <f aca="false">I14*J14</f>
        <v>296010</v>
      </c>
      <c r="L14" s="19" t="s">
        <v>69</v>
      </c>
      <c r="M14" s="21" t="s">
        <v>52</v>
      </c>
      <c r="N14" s="21" t="s">
        <v>53</v>
      </c>
      <c r="O14" s="18" t="n">
        <f aca="false">F14-K14</f>
        <v>208182.02</v>
      </c>
      <c r="P14" s="22" t="n">
        <f aca="false">IF(K14=0,"",(F14-K14)/K14)</f>
        <v>0.703293875206919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70.2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54553</v>
      </c>
      <c r="K17" s="20" t="n">
        <f aca="false">I17*J17</f>
        <v>109106</v>
      </c>
      <c r="L17" s="19" t="s">
        <v>77</v>
      </c>
      <c r="M17" s="21" t="s">
        <v>52</v>
      </c>
      <c r="N17" s="21" t="s">
        <v>78</v>
      </c>
      <c r="O17" s="18" t="n">
        <f aca="false">F17-K17</f>
        <v>317294</v>
      </c>
      <c r="P17" s="22" t="n">
        <f aca="false">IF(K17=0,"",(F17-K17)/K17)</f>
        <v>2.90812604256411</v>
      </c>
    </row>
    <row r="18" customFormat="false" ht="105.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6627826.56</v>
      </c>
      <c r="L19" s="23"/>
      <c r="M19" s="23"/>
      <c r="N19" s="23"/>
      <c r="O19" s="24" t="n">
        <f aca="false">F19-K19</f>
        <v>1096265.46</v>
      </c>
      <c r="P19" s="26" t="n">
        <f aca="false">IF(K19=0,"",(F19-K19)/K19)</f>
        <v>0.165403462217334</v>
      </c>
    </row>
    <row r="20" customFormat="false" ht="70.5" hidden="false" customHeight="true" outlineLevel="0" collapsed="false">
      <c r="A20" s="27"/>
      <c r="B20" s="27" t="s">
        <v>83</v>
      </c>
      <c r="C20" s="27"/>
      <c r="D20" s="27"/>
      <c r="E20" s="27"/>
      <c r="F20" s="28" t="n">
        <v>386204.6</v>
      </c>
      <c r="G20" s="27"/>
      <c r="H20" s="27"/>
      <c r="I20" s="27"/>
      <c r="J20" s="27"/>
      <c r="K20" s="29" t="n">
        <f aca="false">ROUND(K19*0.05,2)</f>
        <v>331391.33</v>
      </c>
      <c r="L20" s="30" t="s">
        <v>84</v>
      </c>
      <c r="M20" s="27"/>
      <c r="N20" s="27"/>
      <c r="O20" s="28" t="n">
        <f aca="false">F20-K20</f>
        <v>54813.27</v>
      </c>
      <c r="P20" s="31" t="n">
        <f aca="false">IF(K20=0,"",(F20-K20)/K20)</f>
        <v>0.165403452166356</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6959217.89</v>
      </c>
      <c r="L21" s="23"/>
      <c r="M21" s="23"/>
      <c r="N21" s="23"/>
      <c r="O21" s="24" t="n">
        <f aca="false">F21-K21</f>
        <v>1151078.73</v>
      </c>
      <c r="P21" s="26" t="n">
        <f aca="false">IF(K21=0,"",(F21-K21)/K21)</f>
        <v>0.165403461738716</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54" hidden="false" customHeight="true" outlineLevel="0" collapsed="false">
      <c r="A24" s="11" t="str">
        <f aca="false">"Changes from Rev 01 dated 17-Sep-2026 (SAR 6,921,685.64): every time-related period re-based from an assumed 3-month site period to the Contractor's programme of 29-Sep-2026 - site staff and facilities for the site period to the end of demobilisation (Item 1 and the generators in Item 5), plant, attendance and access equipment on the efficient-working erection windows (Item 5); Item 7 re-sequenced with the Engineer's sequential basis carried, commissioning staff reconciled to that sequence and a nil line added for the third-party factory test; Item 8 re-described to the RFP specification with the Contractor's procured materials shown alongside; the Contractor's cost loading, cash flow and manpower histogram recorded as evidence on the 'Build-Up Comparison' tab. No rate has moved. Net effect: SAR " &amp; TEXT(K21-6921685.64,"#,##0.00;-#,##0.00") &amp; " (" &amp; TEXT((K21-6921685.64)/6921685.64,"0.0%;-0.0%") &amp; ")."</f>
        <v>Changes from Rev 01 dated 17-Sep-2026 (SAR 6,921,685.64): every time-related period re-based from an assumed 3-month site period to the Contractor's programme of 29-Sep-2026 - site staff and facilities for the site period to the end of demobilisation (Item 1 and the generators in Item 5), plant, attendance and access equipment on the efficient-working erection windows (Item 5); Item 7 re-sequenced with the Engineer's sequential basis carried, commissioning staff reconciled to that sequence and a nil line added for the third-party factory test; Item 8 re-described to the RFP specification with the Contractor's procured materials shown alongside; the Contractor's cost loading, cash flow and manpower histogram recorded as evidence on the 'Build-Up Comparison' tab. No rate has moved. Net effect: SAR 37,532.25 (0.5%).</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67.5" hidden="false" customHeight="true" outlineLevel="0" collapsed="false">
      <c r="A9" s="16" t="s">
        <v>94</v>
      </c>
      <c r="B9" s="17" t="s">
        <v>95</v>
      </c>
      <c r="C9" s="16" t="s">
        <v>96</v>
      </c>
      <c r="D9" s="18" t="n">
        <f aca="false">Programme!$G$60</f>
        <v>4.1</v>
      </c>
      <c r="E9" s="18" t="n">
        <v>12000</v>
      </c>
      <c r="F9" s="18" t="n">
        <f aca="false">D9*E9</f>
        <v>49200</v>
      </c>
      <c r="G9" s="19" t="s">
        <v>97</v>
      </c>
    </row>
    <row r="10" customFormat="false" ht="42" hidden="false" customHeight="true" outlineLevel="0" collapsed="false">
      <c r="A10" s="16" t="s">
        <v>98</v>
      </c>
      <c r="B10" s="17" t="s">
        <v>99</v>
      </c>
      <c r="C10" s="16" t="s">
        <v>96</v>
      </c>
      <c r="D10" s="18" t="n">
        <f aca="false">Programme!$G$61</f>
        <v>4.1</v>
      </c>
      <c r="E10" s="18" t="n">
        <v>10000</v>
      </c>
      <c r="F10" s="18" t="n">
        <f aca="false">D10*E10</f>
        <v>41000</v>
      </c>
      <c r="G10" s="19" t="s">
        <v>100</v>
      </c>
    </row>
    <row r="11" customFormat="false" ht="54.75" hidden="false" customHeight="true" outlineLevel="0" collapsed="false">
      <c r="A11" s="16" t="s">
        <v>101</v>
      </c>
      <c r="B11" s="17" t="s">
        <v>102</v>
      </c>
      <c r="C11" s="16" t="s">
        <v>96</v>
      </c>
      <c r="D11" s="18" t="n">
        <f aca="false">Programme!$G$62</f>
        <v>4.1</v>
      </c>
      <c r="E11" s="18" t="n">
        <v>10000</v>
      </c>
      <c r="F11" s="18" t="n">
        <f aca="false">D11*E11</f>
        <v>41000</v>
      </c>
      <c r="G11" s="19" t="s">
        <v>103</v>
      </c>
    </row>
    <row r="12" customFormat="false" ht="42" hidden="false" customHeight="true" outlineLevel="0" collapsed="false">
      <c r="A12" s="16" t="s">
        <v>104</v>
      </c>
      <c r="B12" s="17" t="s">
        <v>105</v>
      </c>
      <c r="C12" s="16" t="s">
        <v>96</v>
      </c>
      <c r="D12" s="18" t="n">
        <f aca="false">Programme!$G$63</f>
        <v>4.1</v>
      </c>
      <c r="E12" s="18" t="n">
        <v>8000</v>
      </c>
      <c r="F12" s="18" t="n">
        <f aca="false">D12*E12</f>
        <v>32800</v>
      </c>
      <c r="G12" s="19" t="s">
        <v>100</v>
      </c>
    </row>
    <row r="13" customFormat="false" ht="54.75" hidden="false" customHeight="true" outlineLevel="0" collapsed="false">
      <c r="A13" s="16" t="s">
        <v>106</v>
      </c>
      <c r="B13" s="17" t="s">
        <v>107</v>
      </c>
      <c r="C13" s="16" t="s">
        <v>96</v>
      </c>
      <c r="D13" s="18" t="n">
        <f aca="false">Programme!$G$64</f>
        <v>4.1</v>
      </c>
      <c r="E13" s="18" t="n">
        <v>4000</v>
      </c>
      <c r="F13" s="18" t="n">
        <f aca="false">D13*E13</f>
        <v>16400</v>
      </c>
      <c r="G13" s="19" t="s">
        <v>108</v>
      </c>
    </row>
    <row r="14" customFormat="false" ht="54.75" hidden="false" customHeight="true" outlineLevel="0" collapsed="false">
      <c r="A14" s="16" t="s">
        <v>109</v>
      </c>
      <c r="B14" s="17" t="s">
        <v>110</v>
      </c>
      <c r="C14" s="16" t="s">
        <v>96</v>
      </c>
      <c r="D14" s="18" t="n">
        <f aca="false">Programme!$G$65</f>
        <v>4.1</v>
      </c>
      <c r="E14" s="18" t="n">
        <v>2200</v>
      </c>
      <c r="F14" s="18" t="n">
        <f aca="false">D14*E14</f>
        <v>9020</v>
      </c>
      <c r="G14" s="19" t="s">
        <v>111</v>
      </c>
    </row>
    <row r="15" customFormat="false" ht="54.75" hidden="false" customHeight="true" outlineLevel="0" collapsed="false">
      <c r="A15" s="16" t="s">
        <v>112</v>
      </c>
      <c r="B15" s="17" t="s">
        <v>113</v>
      </c>
      <c r="C15" s="16" t="s">
        <v>96</v>
      </c>
      <c r="D15" s="18" t="n">
        <f aca="false">Programme!$G$66</f>
        <v>4.1</v>
      </c>
      <c r="E15" s="18" t="n">
        <v>2200</v>
      </c>
      <c r="F15" s="18" t="n">
        <f aca="false">D15*E15</f>
        <v>9020</v>
      </c>
      <c r="G15" s="19" t="s">
        <v>111</v>
      </c>
    </row>
    <row r="16" customFormat="false" ht="54.75" hidden="false" customHeight="true" outlineLevel="0" collapsed="false">
      <c r="A16" s="16" t="s">
        <v>114</v>
      </c>
      <c r="B16" s="17" t="s">
        <v>115</v>
      </c>
      <c r="C16" s="16" t="s">
        <v>96</v>
      </c>
      <c r="D16" s="18" t="n">
        <f aca="false">Programme!$G$67</f>
        <v>4.1</v>
      </c>
      <c r="E16" s="18" t="n">
        <v>1300</v>
      </c>
      <c r="F16" s="18" t="n">
        <f aca="false">D16*E16</f>
        <v>5330</v>
      </c>
      <c r="G16" s="19" t="s">
        <v>111</v>
      </c>
    </row>
    <row r="17" customFormat="false" ht="54.75" hidden="false" customHeight="true" outlineLevel="0" collapsed="false">
      <c r="A17" s="16" t="s">
        <v>116</v>
      </c>
      <c r="B17" s="17" t="s">
        <v>117</v>
      </c>
      <c r="C17" s="16" t="s">
        <v>118</v>
      </c>
      <c r="D17" s="18" t="n">
        <f aca="false">Programme!$G$68</f>
        <v>36</v>
      </c>
      <c r="E17" s="18" t="n">
        <v>350</v>
      </c>
      <c r="F17" s="18" t="n">
        <f aca="false">D17*E17</f>
        <v>12600</v>
      </c>
      <c r="G17" s="19" t="s">
        <v>119</v>
      </c>
    </row>
    <row r="18" customFormat="false" ht="54.75" hidden="false" customHeight="true" outlineLevel="0" collapsed="false">
      <c r="A18" s="16" t="s">
        <v>120</v>
      </c>
      <c r="B18" s="17" t="s">
        <v>121</v>
      </c>
      <c r="C18" s="16" t="s">
        <v>96</v>
      </c>
      <c r="D18" s="18" t="n">
        <f aca="false">Programme!$G$69</f>
        <v>4.1</v>
      </c>
      <c r="E18" s="18" t="n">
        <v>350</v>
      </c>
      <c r="F18" s="18" t="n">
        <f aca="false">D18*E18</f>
        <v>1435</v>
      </c>
      <c r="G18" s="19" t="s">
        <v>111</v>
      </c>
    </row>
    <row r="19" customFormat="false" ht="54.75" hidden="false" customHeight="true" outlineLevel="0" collapsed="false">
      <c r="A19" s="16" t="s">
        <v>122</v>
      </c>
      <c r="B19" s="17" t="s">
        <v>123</v>
      </c>
      <c r="C19" s="16" t="s">
        <v>124</v>
      </c>
      <c r="D19" s="18" t="n">
        <f aca="false">Programme!$G$70</f>
        <v>4</v>
      </c>
      <c r="E19" s="18" t="n">
        <v>1200</v>
      </c>
      <c r="F19" s="18" t="n">
        <f aca="false">D19*E19</f>
        <v>4800</v>
      </c>
      <c r="G19" s="19" t="s">
        <v>125</v>
      </c>
    </row>
    <row r="20" customFormat="false" ht="54.75" hidden="false" customHeight="true" outlineLevel="0" collapsed="false">
      <c r="A20" s="16" t="s">
        <v>126</v>
      </c>
      <c r="B20" s="17" t="s">
        <v>127</v>
      </c>
      <c r="C20" s="16" t="s">
        <v>96</v>
      </c>
      <c r="D20" s="18" t="n">
        <f aca="false">Programme!$G$71</f>
        <v>4.1</v>
      </c>
      <c r="E20" s="18" t="n">
        <v>4000</v>
      </c>
      <c r="F20" s="18" t="n">
        <f aca="false">D20*E20</f>
        <v>16400</v>
      </c>
      <c r="G20" s="19" t="s">
        <v>128</v>
      </c>
    </row>
    <row r="21" customFormat="false" ht="67.5" hidden="false" customHeight="true" outlineLevel="0" collapsed="false">
      <c r="A21" s="16" t="s">
        <v>129</v>
      </c>
      <c r="B21" s="17" t="s">
        <v>130</v>
      </c>
      <c r="C21" s="16" t="s">
        <v>96</v>
      </c>
      <c r="D21" s="18" t="n">
        <f aca="false">Programme!$G$72</f>
        <v>4.1</v>
      </c>
      <c r="E21" s="18" t="n">
        <v>4500</v>
      </c>
      <c r="F21" s="18" t="n">
        <f aca="false">D21*E21</f>
        <v>18450</v>
      </c>
      <c r="G21" s="19" t="s">
        <v>131</v>
      </c>
    </row>
    <row r="22" customFormat="false" ht="54.75" hidden="false" customHeight="true" outlineLevel="0" collapsed="false">
      <c r="A22" s="16" t="s">
        <v>132</v>
      </c>
      <c r="B22" s="17" t="s">
        <v>133</v>
      </c>
      <c r="C22" s="16" t="s">
        <v>134</v>
      </c>
      <c r="D22" s="18" t="n">
        <v>5</v>
      </c>
      <c r="E22" s="18" t="n">
        <v>1250</v>
      </c>
      <c r="F22" s="18" t="n">
        <f aca="false">D22*E22</f>
        <v>6250</v>
      </c>
      <c r="G22" s="19" t="s">
        <v>135</v>
      </c>
    </row>
    <row r="23" customFormat="false" ht="54.75" hidden="false" customHeight="true" outlineLevel="0" collapsed="false">
      <c r="A23" s="16" t="s">
        <v>136</v>
      </c>
      <c r="B23" s="17" t="s">
        <v>137</v>
      </c>
      <c r="C23" s="16" t="s">
        <v>134</v>
      </c>
      <c r="D23" s="18" t="n">
        <v>5</v>
      </c>
      <c r="E23" s="18" t="n">
        <v>1250</v>
      </c>
      <c r="F23" s="18" t="n">
        <f aca="false">D23*E23</f>
        <v>6250</v>
      </c>
      <c r="G23" s="19" t="s">
        <v>138</v>
      </c>
    </row>
    <row r="24" customFormat="false" ht="29.25" hidden="false" customHeight="true" outlineLevel="0" collapsed="false">
      <c r="A24" s="16" t="s">
        <v>139</v>
      </c>
      <c r="B24" s="17" t="s">
        <v>140</v>
      </c>
      <c r="C24" s="16" t="s">
        <v>141</v>
      </c>
      <c r="D24" s="18" t="n">
        <v>12</v>
      </c>
      <c r="E24" s="18" t="n">
        <v>150</v>
      </c>
      <c r="F24" s="18" t="n">
        <f aca="false">D24*E24</f>
        <v>1800</v>
      </c>
      <c r="G24" s="19" t="s">
        <v>142</v>
      </c>
    </row>
    <row r="25" customFormat="false" ht="66" hidden="false" customHeight="true" outlineLevel="0" collapsed="false">
      <c r="A25" s="16" t="s">
        <v>143</v>
      </c>
      <c r="B25" s="17" t="s">
        <v>144</v>
      </c>
      <c r="C25" s="16" t="s">
        <v>145</v>
      </c>
      <c r="D25" s="18" t="n">
        <v>1</v>
      </c>
      <c r="E25" s="18" t="n">
        <v>13000</v>
      </c>
      <c r="F25" s="18" t="n">
        <f aca="false">D25*E25</f>
        <v>13000</v>
      </c>
      <c r="G25" s="19" t="s">
        <v>146</v>
      </c>
    </row>
    <row r="26" customFormat="false" ht="54.75" hidden="false" customHeight="true" outlineLevel="0" collapsed="false">
      <c r="A26" s="16" t="s">
        <v>147</v>
      </c>
      <c r="B26" s="17" t="s">
        <v>148</v>
      </c>
      <c r="C26" s="16" t="s">
        <v>72</v>
      </c>
      <c r="D26" s="18" t="n">
        <v>15</v>
      </c>
      <c r="E26" s="18" t="n">
        <v>350</v>
      </c>
      <c r="F26" s="18" t="n">
        <f aca="false">D26*E26</f>
        <v>5250</v>
      </c>
      <c r="G26" s="19" t="s">
        <v>149</v>
      </c>
    </row>
    <row r="27" customFormat="false" ht="51.75" hidden="false" customHeight="true" outlineLevel="0" collapsed="false">
      <c r="A27" s="16" t="s">
        <v>150</v>
      </c>
      <c r="B27" s="17" t="s">
        <v>151</v>
      </c>
      <c r="C27" s="16" t="s">
        <v>72</v>
      </c>
      <c r="D27" s="18" t="n">
        <v>12</v>
      </c>
      <c r="E27" s="18" t="n">
        <v>150</v>
      </c>
      <c r="F27" s="18" t="n">
        <f aca="false">D27*E27</f>
        <v>1800</v>
      </c>
      <c r="G27" s="19" t="s">
        <v>152</v>
      </c>
    </row>
    <row r="28" customFormat="false" ht="54.75" hidden="false" customHeight="true" outlineLevel="0" collapsed="false">
      <c r="A28" s="16" t="s">
        <v>153</v>
      </c>
      <c r="B28" s="17" t="s">
        <v>154</v>
      </c>
      <c r="C28" s="16" t="s">
        <v>72</v>
      </c>
      <c r="D28" s="18" t="n">
        <v>12</v>
      </c>
      <c r="E28" s="18" t="n">
        <v>1479.63</v>
      </c>
      <c r="F28" s="18" t="n">
        <f aca="false">D28*E28</f>
        <v>17755.56</v>
      </c>
      <c r="G28" s="19" t="s">
        <v>155</v>
      </c>
    </row>
    <row r="29" customFormat="false" ht="51.75" hidden="false" customHeight="true" outlineLevel="0" collapsed="false">
      <c r="A29" s="16" t="s">
        <v>156</v>
      </c>
      <c r="B29" s="17" t="s">
        <v>157</v>
      </c>
      <c r="C29" s="16" t="s">
        <v>158</v>
      </c>
      <c r="D29" s="18" t="n">
        <v>100</v>
      </c>
      <c r="E29" s="18" t="n">
        <v>100</v>
      </c>
      <c r="F29" s="18" t="n">
        <f aca="false">D29*E29</f>
        <v>10000</v>
      </c>
      <c r="G29" s="19" t="s">
        <v>159</v>
      </c>
    </row>
    <row r="30" customFormat="false" ht="118.5" hidden="false" customHeight="true" outlineLevel="0" collapsed="false">
      <c r="A30" s="16" t="s">
        <v>160</v>
      </c>
      <c r="B30" s="17" t="s">
        <v>161</v>
      </c>
      <c r="C30" s="16" t="s">
        <v>162</v>
      </c>
      <c r="D30" s="18" t="n">
        <v>3</v>
      </c>
      <c r="E30" s="18" t="n">
        <v>550</v>
      </c>
      <c r="F30" s="18" t="n">
        <f aca="false">D30*E30</f>
        <v>1650</v>
      </c>
      <c r="G30" s="19" t="s">
        <v>163</v>
      </c>
    </row>
    <row r="31" customFormat="false" ht="45" hidden="false" customHeight="true" outlineLevel="0" collapsed="false">
      <c r="A31" s="16" t="s">
        <v>164</v>
      </c>
      <c r="B31" s="17" t="s">
        <v>165</v>
      </c>
      <c r="C31" s="16" t="s">
        <v>162</v>
      </c>
      <c r="D31" s="18" t="n">
        <v>4</v>
      </c>
      <c r="E31" s="18" t="n">
        <v>500</v>
      </c>
      <c r="F31" s="18" t="n">
        <f aca="false">D31*E31</f>
        <v>2000</v>
      </c>
      <c r="G31" s="19" t="s">
        <v>142</v>
      </c>
    </row>
    <row r="32" customFormat="false" ht="19.5" hidden="false" customHeight="true" outlineLevel="0" collapsed="false">
      <c r="A32" s="34"/>
      <c r="B32" s="23" t="s">
        <v>166</v>
      </c>
      <c r="C32" s="34"/>
      <c r="D32" s="34"/>
      <c r="E32" s="34"/>
      <c r="F32" s="35" t="n">
        <f aca="false">SUM(F9:F31)</f>
        <v>323210.56</v>
      </c>
      <c r="G32" s="34"/>
    </row>
    <row r="34" customFormat="false" ht="21" hidden="false" customHeight="true" outlineLevel="0" collapsed="false">
      <c r="A34" s="15" t="s">
        <v>167</v>
      </c>
      <c r="B34" s="15"/>
      <c r="C34" s="15"/>
      <c r="D34" s="15"/>
      <c r="E34" s="15"/>
      <c r="F34" s="15"/>
      <c r="G34" s="15"/>
    </row>
    <row r="35" customFormat="false" ht="31.5" hidden="false" customHeight="true" outlineLevel="0" collapsed="false">
      <c r="A35" s="11" t="s">
        <v>168</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169</v>
      </c>
      <c r="B37" s="17" t="s">
        <v>170</v>
      </c>
      <c r="C37" s="16" t="s">
        <v>96</v>
      </c>
      <c r="D37" s="18" t="n">
        <v>2</v>
      </c>
      <c r="E37" s="18" t="n">
        <v>15000</v>
      </c>
      <c r="F37" s="18" t="n">
        <f aca="false">D37*E37</f>
        <v>30000</v>
      </c>
      <c r="G37" s="19" t="s">
        <v>171</v>
      </c>
    </row>
    <row r="38" customFormat="false" ht="54.75" hidden="false" customHeight="true" outlineLevel="0" collapsed="false">
      <c r="A38" s="16" t="s">
        <v>172</v>
      </c>
      <c r="B38" s="17" t="s">
        <v>173</v>
      </c>
      <c r="C38" s="16" t="s">
        <v>96</v>
      </c>
      <c r="D38" s="18" t="n">
        <v>1.5</v>
      </c>
      <c r="E38" s="18" t="n">
        <v>8000</v>
      </c>
      <c r="F38" s="18" t="n">
        <f aca="false">D38*E38</f>
        <v>12000</v>
      </c>
      <c r="G38" s="19" t="s">
        <v>174</v>
      </c>
    </row>
    <row r="39" customFormat="false" ht="90.75" hidden="false" customHeight="true" outlineLevel="0" collapsed="false">
      <c r="A39" s="16" t="s">
        <v>175</v>
      </c>
      <c r="B39" s="17" t="s">
        <v>176</v>
      </c>
      <c r="C39" s="16" t="s">
        <v>177</v>
      </c>
      <c r="D39" s="18" t="n">
        <v>4</v>
      </c>
      <c r="E39" s="18" t="n">
        <v>1500</v>
      </c>
      <c r="F39" s="18" t="n">
        <f aca="false">D39*E39</f>
        <v>6000</v>
      </c>
      <c r="G39" s="19" t="s">
        <v>178</v>
      </c>
    </row>
    <row r="40" customFormat="false" ht="36" hidden="false" customHeight="true" outlineLevel="0" collapsed="false">
      <c r="A40" s="16" t="s">
        <v>179</v>
      </c>
      <c r="B40" s="17" t="s">
        <v>180</v>
      </c>
      <c r="C40" s="16" t="s">
        <v>162</v>
      </c>
      <c r="D40" s="18" t="n">
        <v>4</v>
      </c>
      <c r="E40" s="18" t="n">
        <v>500</v>
      </c>
      <c r="F40" s="18" t="n">
        <f aca="false">D40*E40</f>
        <v>2000</v>
      </c>
      <c r="G40" s="19" t="s">
        <v>142</v>
      </c>
    </row>
    <row r="41" customFormat="false" ht="19.5" hidden="false" customHeight="true" outlineLevel="0" collapsed="false">
      <c r="A41" s="34"/>
      <c r="B41" s="23" t="s">
        <v>181</v>
      </c>
      <c r="C41" s="34"/>
      <c r="D41" s="34"/>
      <c r="E41" s="34"/>
      <c r="F41" s="35" t="n">
        <f aca="false">SUM(F37:F40)</f>
        <v>50000</v>
      </c>
      <c r="G41" s="34"/>
    </row>
    <row r="43" customFormat="false" ht="21" hidden="false" customHeight="true" outlineLevel="0" collapsed="false">
      <c r="A43" s="15" t="s">
        <v>182</v>
      </c>
      <c r="B43" s="15"/>
      <c r="C43" s="15"/>
      <c r="D43" s="15"/>
      <c r="E43" s="15"/>
      <c r="F43" s="15"/>
      <c r="G43" s="15"/>
    </row>
    <row r="44" customFormat="false" ht="31.5" hidden="false" customHeight="true" outlineLevel="0" collapsed="false">
      <c r="A44" s="11" t="s">
        <v>183</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184</v>
      </c>
      <c r="B46" s="17" t="s">
        <v>185</v>
      </c>
      <c r="C46" s="16" t="s">
        <v>145</v>
      </c>
      <c r="D46" s="18" t="n">
        <v>1</v>
      </c>
      <c r="E46" s="18" t="n">
        <v>71000</v>
      </c>
      <c r="F46" s="18" t="n">
        <f aca="false">D46*E46</f>
        <v>71000</v>
      </c>
      <c r="G46" s="19" t="s">
        <v>186</v>
      </c>
    </row>
    <row r="47" customFormat="false" ht="19.5" hidden="false" customHeight="true" outlineLevel="0" collapsed="false">
      <c r="A47" s="34"/>
      <c r="B47" s="23" t="s">
        <v>187</v>
      </c>
      <c r="C47" s="34"/>
      <c r="D47" s="34"/>
      <c r="E47" s="34"/>
      <c r="F47" s="35" t="n">
        <f aca="false">SUM(F46:F46)</f>
        <v>71000</v>
      </c>
      <c r="G47" s="34"/>
    </row>
    <row r="48" customFormat="false" ht="14.25" hidden="false" customHeight="false" outlineLevel="0" collapsed="false">
      <c r="B48" s="36" t="s">
        <v>188</v>
      </c>
    </row>
    <row r="49" customFormat="false" ht="29.25" hidden="false" customHeight="true" outlineLevel="0" collapsed="false">
      <c r="A49" s="16" t="s">
        <v>189</v>
      </c>
      <c r="B49" s="17" t="s">
        <v>190</v>
      </c>
      <c r="C49" s="16" t="s">
        <v>141</v>
      </c>
      <c r="D49" s="18" t="n">
        <v>72</v>
      </c>
      <c r="E49" s="18" t="n">
        <v>150</v>
      </c>
      <c r="F49" s="18" t="n">
        <f aca="false">D49*E49</f>
        <v>10800</v>
      </c>
      <c r="G49" s="19" t="s">
        <v>142</v>
      </c>
    </row>
    <row r="50" customFormat="false" ht="29.25" hidden="false" customHeight="true" outlineLevel="0" collapsed="false">
      <c r="A50" s="16" t="s">
        <v>191</v>
      </c>
      <c r="B50" s="17" t="s">
        <v>192</v>
      </c>
      <c r="C50" s="16" t="s">
        <v>141</v>
      </c>
      <c r="D50" s="18" t="n">
        <v>12</v>
      </c>
      <c r="E50" s="18" t="n">
        <v>250</v>
      </c>
      <c r="F50" s="18" t="n">
        <f aca="false">D50*E50</f>
        <v>3000</v>
      </c>
      <c r="G50" s="19" t="s">
        <v>142</v>
      </c>
    </row>
    <row r="51" customFormat="false" ht="29.25" hidden="false" customHeight="true" outlineLevel="0" collapsed="false">
      <c r="A51" s="16" t="s">
        <v>193</v>
      </c>
      <c r="B51" s="17" t="s">
        <v>194</v>
      </c>
      <c r="C51" s="16" t="s">
        <v>162</v>
      </c>
      <c r="D51" s="18" t="n">
        <v>12</v>
      </c>
      <c r="E51" s="18" t="n">
        <v>2500</v>
      </c>
      <c r="F51" s="18" t="n">
        <f aca="false">D51*E51</f>
        <v>30000</v>
      </c>
      <c r="G51" s="19" t="s">
        <v>142</v>
      </c>
    </row>
    <row r="52" customFormat="false" ht="29.25" hidden="false" customHeight="true" outlineLevel="0" collapsed="false">
      <c r="A52" s="16" t="s">
        <v>195</v>
      </c>
      <c r="B52" s="17" t="s">
        <v>196</v>
      </c>
      <c r="C52" s="16" t="s">
        <v>72</v>
      </c>
      <c r="D52" s="18" t="n">
        <v>200</v>
      </c>
      <c r="E52" s="18" t="n">
        <v>10</v>
      </c>
      <c r="F52" s="18" t="n">
        <f aca="false">D52*E52</f>
        <v>2000</v>
      </c>
      <c r="G52" s="19" t="s">
        <v>142</v>
      </c>
    </row>
    <row r="53" customFormat="false" ht="29.25" hidden="false" customHeight="true" outlineLevel="0" collapsed="false">
      <c r="A53" s="16" t="s">
        <v>197</v>
      </c>
      <c r="B53" s="17" t="s">
        <v>198</v>
      </c>
      <c r="C53" s="16" t="s">
        <v>199</v>
      </c>
      <c r="D53" s="18" t="n">
        <v>1</v>
      </c>
      <c r="E53" s="18" t="n">
        <v>1500</v>
      </c>
      <c r="F53" s="18" t="n">
        <f aca="false">D53*E53</f>
        <v>1500</v>
      </c>
      <c r="G53" s="19" t="s">
        <v>142</v>
      </c>
    </row>
    <row r="54" customFormat="false" ht="29.25" hidden="false" customHeight="true" outlineLevel="0" collapsed="false">
      <c r="A54" s="16" t="s">
        <v>200</v>
      </c>
      <c r="B54" s="17" t="s">
        <v>201</v>
      </c>
      <c r="C54" s="16" t="s">
        <v>202</v>
      </c>
      <c r="D54" s="18" t="n">
        <v>1</v>
      </c>
      <c r="E54" s="18" t="n">
        <v>1500</v>
      </c>
      <c r="F54" s="18" t="n">
        <f aca="false">D54*E54</f>
        <v>1500</v>
      </c>
      <c r="G54" s="19" t="s">
        <v>142</v>
      </c>
    </row>
    <row r="55" customFormat="false" ht="29.25" hidden="false" customHeight="true" outlineLevel="0" collapsed="false">
      <c r="A55" s="16" t="s">
        <v>203</v>
      </c>
      <c r="B55" s="17" t="s">
        <v>204</v>
      </c>
      <c r="C55" s="16" t="s">
        <v>162</v>
      </c>
      <c r="D55" s="18" t="n">
        <v>3</v>
      </c>
      <c r="E55" s="18" t="n">
        <v>500</v>
      </c>
      <c r="F55" s="18" t="n">
        <f aca="false">D55*E55</f>
        <v>1500</v>
      </c>
      <c r="G55" s="19" t="s">
        <v>142</v>
      </c>
    </row>
    <row r="56" customFormat="false" ht="29.25" hidden="false" customHeight="true" outlineLevel="0" collapsed="false">
      <c r="A56" s="16" t="s">
        <v>205</v>
      </c>
      <c r="B56" s="17" t="s">
        <v>206</v>
      </c>
      <c r="C56" s="16" t="s">
        <v>207</v>
      </c>
      <c r="D56" s="18" t="n">
        <v>30</v>
      </c>
      <c r="E56" s="18" t="n">
        <v>10</v>
      </c>
      <c r="F56" s="18" t="n">
        <f aca="false">D56*E56</f>
        <v>300</v>
      </c>
      <c r="G56" s="19" t="s">
        <v>142</v>
      </c>
    </row>
    <row r="57" customFormat="false" ht="29.25" hidden="false" customHeight="true" outlineLevel="0" collapsed="false">
      <c r="A57" s="16" t="s">
        <v>208</v>
      </c>
      <c r="B57" s="17" t="s">
        <v>209</v>
      </c>
      <c r="C57" s="16" t="s">
        <v>141</v>
      </c>
      <c r="D57" s="18" t="n">
        <v>6</v>
      </c>
      <c r="E57" s="18" t="n">
        <v>150</v>
      </c>
      <c r="F57" s="18" t="n">
        <f aca="false">D57*E57</f>
        <v>900</v>
      </c>
      <c r="G57" s="19" t="s">
        <v>142</v>
      </c>
    </row>
    <row r="58" customFormat="false" ht="29.25" hidden="false" customHeight="true" outlineLevel="0" collapsed="false">
      <c r="A58" s="16" t="s">
        <v>210</v>
      </c>
      <c r="B58" s="17" t="s">
        <v>211</v>
      </c>
      <c r="C58" s="16" t="s">
        <v>72</v>
      </c>
      <c r="D58" s="18" t="n">
        <v>8</v>
      </c>
      <c r="E58" s="18" t="n">
        <v>400</v>
      </c>
      <c r="F58" s="18" t="n">
        <f aca="false">D58*E58</f>
        <v>3200</v>
      </c>
      <c r="G58" s="19" t="s">
        <v>142</v>
      </c>
    </row>
    <row r="59" customFormat="false" ht="29.25" hidden="false" customHeight="true" outlineLevel="0" collapsed="false">
      <c r="A59" s="16" t="s">
        <v>212</v>
      </c>
      <c r="B59" s="17" t="s">
        <v>213</v>
      </c>
      <c r="C59" s="16" t="s">
        <v>162</v>
      </c>
      <c r="D59" s="18" t="n">
        <v>4</v>
      </c>
      <c r="E59" s="18" t="n">
        <v>500</v>
      </c>
      <c r="F59" s="18" t="n">
        <f aca="false">D59*E59</f>
        <v>2000</v>
      </c>
      <c r="G59" s="19" t="s">
        <v>142</v>
      </c>
    </row>
    <row r="60" customFormat="false" ht="29.25" hidden="false" customHeight="true" outlineLevel="0" collapsed="false">
      <c r="A60" s="16" t="s">
        <v>214</v>
      </c>
      <c r="B60" s="17" t="s">
        <v>215</v>
      </c>
      <c r="C60" s="16" t="s">
        <v>162</v>
      </c>
      <c r="D60" s="18" t="n">
        <v>3</v>
      </c>
      <c r="E60" s="18" t="n">
        <v>800</v>
      </c>
      <c r="F60" s="18" t="n">
        <f aca="false">D60*E60</f>
        <v>2400</v>
      </c>
      <c r="G60" s="19" t="s">
        <v>142</v>
      </c>
    </row>
    <row r="61" customFormat="false" ht="29.25" hidden="false" customHeight="true" outlineLevel="0" collapsed="false">
      <c r="A61" s="16" t="s">
        <v>216</v>
      </c>
      <c r="B61" s="17" t="s">
        <v>217</v>
      </c>
      <c r="C61" s="16" t="s">
        <v>72</v>
      </c>
      <c r="D61" s="18" t="n">
        <v>4</v>
      </c>
      <c r="E61" s="18" t="n">
        <v>400</v>
      </c>
      <c r="F61" s="18" t="n">
        <f aca="false">D61*E61</f>
        <v>1600</v>
      </c>
      <c r="G61" s="19" t="s">
        <v>142</v>
      </c>
    </row>
    <row r="62" customFormat="false" ht="29.25" hidden="false" customHeight="true" outlineLevel="0" collapsed="false">
      <c r="A62" s="16" t="s">
        <v>218</v>
      </c>
      <c r="B62" s="17" t="s">
        <v>219</v>
      </c>
      <c r="C62" s="16" t="s">
        <v>145</v>
      </c>
      <c r="D62" s="18" t="n">
        <v>1</v>
      </c>
      <c r="E62" s="18" t="n">
        <v>1000</v>
      </c>
      <c r="F62" s="18" t="n">
        <f aca="false">D62*E62</f>
        <v>1000</v>
      </c>
      <c r="G62" s="19" t="s">
        <v>142</v>
      </c>
    </row>
    <row r="63" customFormat="false" ht="14.25" hidden="false" customHeight="false" outlineLevel="0" collapsed="false">
      <c r="B63" s="36" t="s">
        <v>220</v>
      </c>
      <c r="F63" s="37" t="n">
        <f aca="false">SUM(F49:F62)</f>
        <v>61700</v>
      </c>
    </row>
    <row r="65" customFormat="false" ht="21" hidden="false" customHeight="true" outlineLevel="0" collapsed="false">
      <c r="A65" s="15" t="s">
        <v>221</v>
      </c>
      <c r="B65" s="15"/>
      <c r="C65" s="15"/>
      <c r="D65" s="15"/>
      <c r="E65" s="15"/>
      <c r="F65" s="15"/>
      <c r="G65" s="15"/>
    </row>
    <row r="66" customFormat="false" ht="45" hidden="false" customHeight="true" outlineLevel="0" collapsed="false">
      <c r="A66" s="11" t="s">
        <v>222</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223</v>
      </c>
      <c r="B68" s="17" t="s">
        <v>224</v>
      </c>
      <c r="C68" s="16" t="s">
        <v>225</v>
      </c>
      <c r="D68" s="18" t="n">
        <v>14</v>
      </c>
      <c r="E68" s="18" t="n">
        <v>450</v>
      </c>
      <c r="F68" s="18" t="n">
        <f aca="false">D68*E68</f>
        <v>6300</v>
      </c>
      <c r="G68" s="19" t="s">
        <v>226</v>
      </c>
    </row>
    <row r="69" customFormat="false" ht="19.5" hidden="false" customHeight="true" outlineLevel="0" collapsed="false">
      <c r="A69" s="34"/>
      <c r="B69" s="23" t="s">
        <v>227</v>
      </c>
      <c r="C69" s="34"/>
      <c r="D69" s="34"/>
      <c r="E69" s="34"/>
      <c r="F69" s="35" t="n">
        <f aca="false">SUM(F68:F68)</f>
        <v>6300</v>
      </c>
      <c r="G69" s="34"/>
    </row>
    <row r="71" customFormat="false" ht="21" hidden="false" customHeight="true" outlineLevel="0" collapsed="false">
      <c r="A71" s="15" t="s">
        <v>228</v>
      </c>
      <c r="B71" s="15"/>
      <c r="C71" s="15"/>
      <c r="D71" s="15"/>
      <c r="E71" s="15"/>
      <c r="F71" s="15"/>
      <c r="G71" s="15"/>
    </row>
    <row r="72" customFormat="false" ht="96" hidden="false" customHeight="true" outlineLevel="0" collapsed="false">
      <c r="A72" s="11" t="s">
        <v>229</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93" hidden="false" customHeight="true" outlineLevel="0" collapsed="false">
      <c r="A74" s="16" t="s">
        <v>230</v>
      </c>
      <c r="B74" s="17" t="s">
        <v>231</v>
      </c>
      <c r="C74" s="16" t="s">
        <v>162</v>
      </c>
      <c r="D74" s="18" t="n">
        <f aca="false">Programme!$G$73</f>
        <v>47</v>
      </c>
      <c r="E74" s="18" t="n">
        <v>1200</v>
      </c>
      <c r="F74" s="18" t="n">
        <f aca="false">D74*E74</f>
        <v>56400</v>
      </c>
      <c r="G74" s="19" t="s">
        <v>232</v>
      </c>
    </row>
    <row r="75" customFormat="false" ht="29.25" hidden="false" customHeight="true" outlineLevel="0" collapsed="false">
      <c r="A75" s="16" t="s">
        <v>233</v>
      </c>
      <c r="B75" s="17" t="s">
        <v>234</v>
      </c>
      <c r="C75" s="16" t="s">
        <v>162</v>
      </c>
      <c r="D75" s="18" t="n">
        <f aca="false">Programme!$G$74</f>
        <v>47</v>
      </c>
      <c r="E75" s="18" t="n">
        <v>900</v>
      </c>
      <c r="F75" s="18" t="n">
        <f aca="false">D75*E75</f>
        <v>42300</v>
      </c>
      <c r="G75" s="19" t="s">
        <v>235</v>
      </c>
    </row>
    <row r="76" customFormat="false" ht="67.5" hidden="false" customHeight="true" outlineLevel="0" collapsed="false">
      <c r="A76" s="16" t="s">
        <v>236</v>
      </c>
      <c r="B76" s="17" t="s">
        <v>237</v>
      </c>
      <c r="C76" s="16" t="s">
        <v>238</v>
      </c>
      <c r="D76" s="18" t="n">
        <v>1024</v>
      </c>
      <c r="E76" s="18" t="n">
        <v>55</v>
      </c>
      <c r="F76" s="18" t="n">
        <f aca="false">D76*E76</f>
        <v>56320</v>
      </c>
      <c r="G76" s="19" t="s">
        <v>239</v>
      </c>
    </row>
    <row r="77" customFormat="false" ht="54.75" hidden="false" customHeight="true" outlineLevel="0" collapsed="false">
      <c r="A77" s="16" t="s">
        <v>240</v>
      </c>
      <c r="B77" s="17" t="s">
        <v>241</v>
      </c>
      <c r="C77" s="16" t="s">
        <v>242</v>
      </c>
      <c r="D77" s="18" t="n">
        <f aca="false">Programme!$G$75</f>
        <v>4</v>
      </c>
      <c r="E77" s="18" t="n">
        <v>1800</v>
      </c>
      <c r="F77" s="18" t="n">
        <f aca="false">D77*E77</f>
        <v>7200</v>
      </c>
      <c r="G77" s="19" t="s">
        <v>243</v>
      </c>
    </row>
    <row r="78" customFormat="false" ht="29.25" hidden="false" customHeight="true" outlineLevel="0" collapsed="false">
      <c r="A78" s="16" t="s">
        <v>244</v>
      </c>
      <c r="B78" s="17" t="s">
        <v>245</v>
      </c>
      <c r="C78" s="16" t="s">
        <v>72</v>
      </c>
      <c r="D78" s="18" t="n">
        <v>4</v>
      </c>
      <c r="E78" s="18" t="n">
        <v>400</v>
      </c>
      <c r="F78" s="18" t="n">
        <f aca="false">D78*E78</f>
        <v>1600</v>
      </c>
      <c r="G78" s="19" t="s">
        <v>142</v>
      </c>
    </row>
    <row r="79" customFormat="false" ht="29.25" hidden="false" customHeight="true" outlineLevel="0" collapsed="false">
      <c r="A79" s="16" t="s">
        <v>246</v>
      </c>
      <c r="B79" s="17" t="s">
        <v>247</v>
      </c>
      <c r="C79" s="16" t="s">
        <v>248</v>
      </c>
      <c r="D79" s="18" t="n">
        <f aca="false">Programme!$G$76</f>
        <v>4</v>
      </c>
      <c r="E79" s="18" t="n">
        <v>350</v>
      </c>
      <c r="F79" s="18" t="n">
        <f aca="false">D79*E79</f>
        <v>1400</v>
      </c>
      <c r="G79" s="19" t="s">
        <v>249</v>
      </c>
    </row>
    <row r="80" customFormat="false" ht="67.5" hidden="false" customHeight="true" outlineLevel="0" collapsed="false">
      <c r="A80" s="16" t="s">
        <v>250</v>
      </c>
      <c r="B80" s="17" t="s">
        <v>251</v>
      </c>
      <c r="C80" s="16" t="s">
        <v>96</v>
      </c>
      <c r="D80" s="18" t="n">
        <f aca="false">Programme!$G$77</f>
        <v>3.8</v>
      </c>
      <c r="E80" s="18" t="n">
        <v>11000</v>
      </c>
      <c r="F80" s="18" t="n">
        <f aca="false">D80*E80</f>
        <v>41800</v>
      </c>
      <c r="G80" s="19" t="s">
        <v>252</v>
      </c>
    </row>
    <row r="81" customFormat="false" ht="54.75" hidden="false" customHeight="true" outlineLevel="0" collapsed="false">
      <c r="A81" s="16" t="s">
        <v>253</v>
      </c>
      <c r="B81" s="17" t="s">
        <v>254</v>
      </c>
      <c r="C81" s="16" t="s">
        <v>96</v>
      </c>
      <c r="D81" s="18" t="n">
        <f aca="false">Programme!$G$78</f>
        <v>4.1</v>
      </c>
      <c r="E81" s="18" t="n">
        <v>6000</v>
      </c>
      <c r="F81" s="18" t="n">
        <f aca="false">D81*E81</f>
        <v>24600</v>
      </c>
      <c r="G81" s="19" t="s">
        <v>255</v>
      </c>
    </row>
    <row r="82" customFormat="false" ht="42" hidden="false" customHeight="true" outlineLevel="0" collapsed="false">
      <c r="A82" s="16" t="s">
        <v>256</v>
      </c>
      <c r="B82" s="17" t="s">
        <v>257</v>
      </c>
      <c r="C82" s="16" t="s">
        <v>96</v>
      </c>
      <c r="D82" s="18" t="n">
        <f aca="false">Programme!$G$79</f>
        <v>4.1</v>
      </c>
      <c r="E82" s="18" t="n">
        <v>3000</v>
      </c>
      <c r="F82" s="18" t="n">
        <f aca="false">D82*E82</f>
        <v>12300</v>
      </c>
      <c r="G82" s="19" t="s">
        <v>258</v>
      </c>
    </row>
    <row r="83" customFormat="false" ht="93" hidden="false" customHeight="true" outlineLevel="0" collapsed="false">
      <c r="A83" s="16" t="s">
        <v>259</v>
      </c>
      <c r="B83" s="17" t="s">
        <v>260</v>
      </c>
      <c r="C83" s="16" t="s">
        <v>261</v>
      </c>
      <c r="D83" s="18" t="n">
        <f aca="false">Programme!$G$80</f>
        <v>10.5</v>
      </c>
      <c r="E83" s="18" t="n">
        <v>3000</v>
      </c>
      <c r="F83" s="18" t="n">
        <f aca="false">D83*E83</f>
        <v>31500</v>
      </c>
      <c r="G83" s="19" t="s">
        <v>262</v>
      </c>
    </row>
    <row r="84" customFormat="false" ht="42" hidden="false" customHeight="true" outlineLevel="0" collapsed="false">
      <c r="A84" s="16" t="s">
        <v>263</v>
      </c>
      <c r="B84" s="17" t="s">
        <v>264</v>
      </c>
      <c r="C84" s="16" t="s">
        <v>96</v>
      </c>
      <c r="D84" s="18" t="n">
        <f aca="false">Programme!$G$81</f>
        <v>2.1</v>
      </c>
      <c r="E84" s="18" t="n">
        <v>2500</v>
      </c>
      <c r="F84" s="18" t="n">
        <f aca="false">D84*E84</f>
        <v>5250</v>
      </c>
      <c r="G84" s="19" t="s">
        <v>265</v>
      </c>
    </row>
    <row r="85" customFormat="false" ht="29.25" hidden="false" customHeight="true" outlineLevel="0" collapsed="false">
      <c r="A85" s="16" t="s">
        <v>266</v>
      </c>
      <c r="B85" s="17" t="s">
        <v>267</v>
      </c>
      <c r="C85" s="16" t="s">
        <v>202</v>
      </c>
      <c r="D85" s="18" t="n">
        <v>2</v>
      </c>
      <c r="E85" s="18" t="n">
        <v>1500</v>
      </c>
      <c r="F85" s="18" t="n">
        <f aca="false">D85*E85</f>
        <v>3000</v>
      </c>
      <c r="G85" s="19" t="s">
        <v>142</v>
      </c>
    </row>
    <row r="86" customFormat="false" ht="29.25" hidden="false" customHeight="true" outlineLevel="0" collapsed="false">
      <c r="A86" s="16" t="s">
        <v>268</v>
      </c>
      <c r="B86" s="17" t="s">
        <v>269</v>
      </c>
      <c r="C86" s="16" t="s">
        <v>202</v>
      </c>
      <c r="D86" s="18" t="n">
        <v>2</v>
      </c>
      <c r="E86" s="18" t="n">
        <v>2250</v>
      </c>
      <c r="F86" s="18" t="n">
        <f aca="false">D86*E86</f>
        <v>4500</v>
      </c>
      <c r="G86" s="19" t="s">
        <v>142</v>
      </c>
    </row>
    <row r="87" customFormat="false" ht="42" hidden="false" customHeight="true" outlineLevel="0" collapsed="false">
      <c r="A87" s="16" t="s">
        <v>270</v>
      </c>
      <c r="B87" s="17" t="s">
        <v>271</v>
      </c>
      <c r="C87" s="16" t="s">
        <v>248</v>
      </c>
      <c r="D87" s="18" t="n">
        <f aca="false">Programme!$G$82</f>
        <v>4.2</v>
      </c>
      <c r="E87" s="18" t="n">
        <v>1200</v>
      </c>
      <c r="F87" s="18" t="n">
        <f aca="false">D87*E87</f>
        <v>5040</v>
      </c>
      <c r="G87" s="19" t="s">
        <v>272</v>
      </c>
    </row>
    <row r="88" customFormat="false" ht="29.25" hidden="false" customHeight="true" outlineLevel="0" collapsed="false">
      <c r="A88" s="16" t="s">
        <v>273</v>
      </c>
      <c r="B88" s="17" t="s">
        <v>274</v>
      </c>
      <c r="C88" s="16" t="s">
        <v>199</v>
      </c>
      <c r="D88" s="18" t="n">
        <v>2</v>
      </c>
      <c r="E88" s="18" t="n">
        <v>1400</v>
      </c>
      <c r="F88" s="18" t="n">
        <f aca="false">D88*E88</f>
        <v>2800</v>
      </c>
      <c r="G88" s="19" t="s">
        <v>142</v>
      </c>
    </row>
    <row r="89" customFormat="false" ht="19.5" hidden="false" customHeight="true" outlineLevel="0" collapsed="false">
      <c r="A89" s="34"/>
      <c r="B89" s="23" t="s">
        <v>275</v>
      </c>
      <c r="C89" s="34"/>
      <c r="D89" s="34"/>
      <c r="E89" s="34"/>
      <c r="F89" s="35" t="n">
        <f aca="false">SUM(F74:F88)</f>
        <v>296010</v>
      </c>
      <c r="G89" s="34"/>
    </row>
    <row r="91" customFormat="false" ht="21" hidden="false" customHeight="true" outlineLevel="0" collapsed="false">
      <c r="A91" s="15" t="s">
        <v>276</v>
      </c>
      <c r="B91" s="15"/>
      <c r="C91" s="15"/>
      <c r="D91" s="15"/>
      <c r="E91" s="15"/>
      <c r="F91" s="15"/>
      <c r="G91" s="15"/>
    </row>
    <row r="92" customFormat="false" ht="45" hidden="false" customHeight="true" outlineLevel="0" collapsed="false">
      <c r="A92" s="11" t="s">
        <v>277</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278</v>
      </c>
      <c r="B94" s="17" t="s">
        <v>279</v>
      </c>
      <c r="C94" s="16" t="s">
        <v>72</v>
      </c>
      <c r="D94" s="18" t="n">
        <v>1</v>
      </c>
      <c r="E94" s="18" t="n">
        <v>2763500</v>
      </c>
      <c r="F94" s="18" t="n">
        <f aca="false">D94*E94</f>
        <v>2763500</v>
      </c>
      <c r="G94" s="19" t="s">
        <v>280</v>
      </c>
    </row>
    <row r="95" customFormat="false" ht="19.5" hidden="false" customHeight="true" outlineLevel="0" collapsed="false">
      <c r="A95" s="34"/>
      <c r="B95" s="23" t="s">
        <v>281</v>
      </c>
      <c r="C95" s="34"/>
      <c r="D95" s="34"/>
      <c r="E95" s="34"/>
      <c r="F95" s="35" t="n">
        <f aca="false">SUM(F94:F94)</f>
        <v>2763500</v>
      </c>
      <c r="G95" s="34"/>
    </row>
    <row r="97" customFormat="false" ht="21" hidden="false" customHeight="true" outlineLevel="0" collapsed="false">
      <c r="A97" s="15" t="s">
        <v>282</v>
      </c>
      <c r="B97" s="15"/>
      <c r="C97" s="15"/>
      <c r="D97" s="15"/>
      <c r="E97" s="15"/>
      <c r="F97" s="15"/>
      <c r="G97" s="15"/>
    </row>
    <row r="98" customFormat="false" ht="96" hidden="false" customHeight="true" outlineLevel="0" collapsed="false">
      <c r="A98" s="11" t="s">
        <v>283</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284</v>
      </c>
      <c r="B100" s="17" t="s">
        <v>285</v>
      </c>
      <c r="C100" s="16" t="s">
        <v>207</v>
      </c>
      <c r="D100" s="18" t="n">
        <f aca="false">Programme!$G$83</f>
        <v>3774</v>
      </c>
      <c r="E100" s="18" t="n">
        <v>6</v>
      </c>
      <c r="F100" s="18" t="n">
        <f aca="false">D100*E100</f>
        <v>22644</v>
      </c>
      <c r="G100" s="19" t="s">
        <v>286</v>
      </c>
    </row>
    <row r="101" customFormat="false" ht="67.5" hidden="false" customHeight="true" outlineLevel="0" collapsed="false">
      <c r="A101" s="16" t="s">
        <v>287</v>
      </c>
      <c r="B101" s="17" t="s">
        <v>288</v>
      </c>
      <c r="C101" s="16" t="s">
        <v>162</v>
      </c>
      <c r="D101" s="18" t="n">
        <f aca="false">Programme!$G$84</f>
        <v>7</v>
      </c>
      <c r="E101" s="18" t="n">
        <v>500</v>
      </c>
      <c r="F101" s="18" t="n">
        <f aca="false">D101*E101</f>
        <v>3500</v>
      </c>
      <c r="G101" s="19" t="s">
        <v>289</v>
      </c>
    </row>
    <row r="102" customFormat="false" ht="29.25" hidden="false" customHeight="true" outlineLevel="0" collapsed="false">
      <c r="A102" s="16" t="s">
        <v>290</v>
      </c>
      <c r="B102" s="17" t="s">
        <v>291</v>
      </c>
      <c r="C102" s="16" t="s">
        <v>292</v>
      </c>
      <c r="D102" s="18" t="n">
        <f aca="false">Programme!$G$85</f>
        <v>1</v>
      </c>
      <c r="E102" s="18" t="n">
        <v>1000</v>
      </c>
      <c r="F102" s="18" t="n">
        <f aca="false">D102*E102</f>
        <v>1000</v>
      </c>
      <c r="G102" s="19" t="s">
        <v>142</v>
      </c>
    </row>
    <row r="103" customFormat="false" ht="42" hidden="false" customHeight="true" outlineLevel="0" collapsed="false">
      <c r="A103" s="16" t="s">
        <v>293</v>
      </c>
      <c r="B103" s="17" t="s">
        <v>294</v>
      </c>
      <c r="C103" s="16" t="s">
        <v>141</v>
      </c>
      <c r="D103" s="18" t="n">
        <f aca="false">Programme!$G$86</f>
        <v>6</v>
      </c>
      <c r="E103" s="18" t="n">
        <v>150</v>
      </c>
      <c r="F103" s="18" t="n">
        <f aca="false">D103*E103</f>
        <v>900</v>
      </c>
      <c r="G103" s="19" t="s">
        <v>295</v>
      </c>
    </row>
    <row r="104" customFormat="false" ht="42" hidden="false" customHeight="true" outlineLevel="0" collapsed="false">
      <c r="A104" s="16" t="s">
        <v>296</v>
      </c>
      <c r="B104" s="17" t="s">
        <v>297</v>
      </c>
      <c r="C104" s="16" t="s">
        <v>207</v>
      </c>
      <c r="D104" s="18" t="n">
        <f aca="false">Programme!$G$87</f>
        <v>377</v>
      </c>
      <c r="E104" s="18" t="n">
        <v>6</v>
      </c>
      <c r="F104" s="18" t="n">
        <f aca="false">D104*E104</f>
        <v>2262</v>
      </c>
      <c r="G104" s="19" t="s">
        <v>298</v>
      </c>
    </row>
    <row r="105" customFormat="false" ht="29.25" hidden="false" customHeight="true" outlineLevel="0" collapsed="false">
      <c r="A105" s="16" t="s">
        <v>299</v>
      </c>
      <c r="B105" s="17" t="s">
        <v>300</v>
      </c>
      <c r="C105" s="16" t="s">
        <v>301</v>
      </c>
      <c r="D105" s="18" t="n">
        <v>800</v>
      </c>
      <c r="E105" s="18" t="n">
        <v>6</v>
      </c>
      <c r="F105" s="18" t="n">
        <f aca="false">D105*E105</f>
        <v>4800</v>
      </c>
      <c r="G105" s="19" t="s">
        <v>142</v>
      </c>
    </row>
    <row r="106" customFormat="false" ht="29.25" hidden="false" customHeight="true" outlineLevel="0" collapsed="false">
      <c r="A106" s="16" t="s">
        <v>302</v>
      </c>
      <c r="B106" s="17" t="s">
        <v>303</v>
      </c>
      <c r="C106" s="16" t="s">
        <v>292</v>
      </c>
      <c r="D106" s="18" t="n">
        <v>2</v>
      </c>
      <c r="E106" s="18" t="n">
        <v>750</v>
      </c>
      <c r="F106" s="18" t="n">
        <f aca="false">D106*E106</f>
        <v>1500</v>
      </c>
      <c r="G106" s="19" t="s">
        <v>142</v>
      </c>
    </row>
    <row r="107" customFormat="false" ht="29.25" hidden="false" customHeight="true" outlineLevel="0" collapsed="false">
      <c r="A107" s="16" t="s">
        <v>304</v>
      </c>
      <c r="B107" s="17" t="s">
        <v>305</v>
      </c>
      <c r="C107" s="16" t="s">
        <v>141</v>
      </c>
      <c r="D107" s="18" t="n">
        <v>20</v>
      </c>
      <c r="E107" s="18" t="n">
        <v>150</v>
      </c>
      <c r="F107" s="18" t="n">
        <f aca="false">D107*E107</f>
        <v>3000</v>
      </c>
      <c r="G107" s="19" t="s">
        <v>142</v>
      </c>
    </row>
    <row r="108" customFormat="false" ht="29.25" hidden="false" customHeight="true" outlineLevel="0" collapsed="false">
      <c r="A108" s="16" t="s">
        <v>306</v>
      </c>
      <c r="B108" s="17" t="s">
        <v>307</v>
      </c>
      <c r="C108" s="16" t="s">
        <v>301</v>
      </c>
      <c r="D108" s="18" t="n">
        <v>400</v>
      </c>
      <c r="E108" s="18" t="n">
        <v>5</v>
      </c>
      <c r="F108" s="18" t="n">
        <f aca="false">D108*E108</f>
        <v>2000</v>
      </c>
      <c r="G108" s="19" t="s">
        <v>142</v>
      </c>
    </row>
    <row r="109" customFormat="false" ht="29.25" hidden="false" customHeight="true" outlineLevel="0" collapsed="false">
      <c r="A109" s="16" t="s">
        <v>308</v>
      </c>
      <c r="B109" s="17" t="s">
        <v>309</v>
      </c>
      <c r="C109" s="16" t="s">
        <v>202</v>
      </c>
      <c r="D109" s="18" t="n">
        <v>2</v>
      </c>
      <c r="E109" s="18" t="n">
        <v>1850</v>
      </c>
      <c r="F109" s="18" t="n">
        <f aca="false">D109*E109</f>
        <v>3700</v>
      </c>
      <c r="G109" s="19" t="s">
        <v>142</v>
      </c>
    </row>
    <row r="110" customFormat="false" ht="42" hidden="false" customHeight="true" outlineLevel="0" collapsed="false">
      <c r="A110" s="16" t="s">
        <v>310</v>
      </c>
      <c r="B110" s="17" t="s">
        <v>311</v>
      </c>
      <c r="C110" s="16" t="s">
        <v>312</v>
      </c>
      <c r="D110" s="18" t="n">
        <v>6</v>
      </c>
      <c r="E110" s="18" t="n">
        <v>1200</v>
      </c>
      <c r="F110" s="18" t="n">
        <f aca="false">D110*E110</f>
        <v>7200</v>
      </c>
      <c r="G110" s="19" t="s">
        <v>313</v>
      </c>
    </row>
    <row r="111" customFormat="false" ht="29.25" hidden="false" customHeight="true" outlineLevel="0" collapsed="false">
      <c r="A111" s="16" t="s">
        <v>314</v>
      </c>
      <c r="B111" s="17" t="s">
        <v>315</v>
      </c>
      <c r="C111" s="16" t="s">
        <v>316</v>
      </c>
      <c r="D111" s="18" t="n">
        <v>2</v>
      </c>
      <c r="E111" s="18" t="n">
        <v>2400</v>
      </c>
      <c r="F111" s="18" t="n">
        <f aca="false">D111*E111</f>
        <v>4800</v>
      </c>
      <c r="G111" s="19" t="s">
        <v>142</v>
      </c>
    </row>
    <row r="112" customFormat="false" ht="80.25" hidden="false" customHeight="true" outlineLevel="0" collapsed="false">
      <c r="A112" s="16" t="s">
        <v>317</v>
      </c>
      <c r="B112" s="17" t="s">
        <v>318</v>
      </c>
      <c r="C112" s="16" t="s">
        <v>162</v>
      </c>
      <c r="D112" s="18" t="n">
        <f aca="false">Programme!$G$88</f>
        <v>8</v>
      </c>
      <c r="E112" s="18" t="n">
        <v>2000</v>
      </c>
      <c r="F112" s="18" t="n">
        <f aca="false">D112*E112</f>
        <v>16000</v>
      </c>
      <c r="G112" s="19" t="s">
        <v>319</v>
      </c>
    </row>
    <row r="113" customFormat="false" ht="54.75" hidden="false" customHeight="true" outlineLevel="0" collapsed="false">
      <c r="A113" s="16" t="s">
        <v>320</v>
      </c>
      <c r="B113" s="17" t="s">
        <v>321</v>
      </c>
      <c r="C113" s="16" t="s">
        <v>141</v>
      </c>
      <c r="D113" s="18" t="n">
        <f aca="false">Programme!$G$89</f>
        <v>12</v>
      </c>
      <c r="E113" s="18" t="n">
        <v>400</v>
      </c>
      <c r="F113" s="18" t="n">
        <f aca="false">D113*E113</f>
        <v>4800</v>
      </c>
      <c r="G113" s="19" t="s">
        <v>322</v>
      </c>
    </row>
    <row r="114" customFormat="false" ht="29.25" hidden="false" customHeight="true" outlineLevel="0" collapsed="false">
      <c r="A114" s="16" t="s">
        <v>323</v>
      </c>
      <c r="B114" s="17" t="s">
        <v>324</v>
      </c>
      <c r="C114" s="16" t="s">
        <v>162</v>
      </c>
      <c r="D114" s="18" t="n">
        <v>5</v>
      </c>
      <c r="E114" s="18" t="n">
        <v>400</v>
      </c>
      <c r="F114" s="18" t="n">
        <f aca="false">D114*E114</f>
        <v>2000</v>
      </c>
      <c r="G114" s="19" t="s">
        <v>142</v>
      </c>
    </row>
    <row r="115" customFormat="false" ht="54.75" hidden="false" customHeight="true" outlineLevel="0" collapsed="false">
      <c r="A115" s="16" t="s">
        <v>325</v>
      </c>
      <c r="B115" s="17" t="s">
        <v>326</v>
      </c>
      <c r="C115" s="16" t="s">
        <v>162</v>
      </c>
      <c r="D115" s="18" t="n">
        <f aca="false">Programme!$G$90</f>
        <v>5</v>
      </c>
      <c r="E115" s="18" t="n">
        <v>1000</v>
      </c>
      <c r="F115" s="18" t="n">
        <f aca="false">D115*E115</f>
        <v>5000</v>
      </c>
      <c r="G115" s="19" t="s">
        <v>327</v>
      </c>
    </row>
    <row r="116" customFormat="false" ht="29.25" hidden="false" customHeight="true" outlineLevel="0" collapsed="false">
      <c r="A116" s="16" t="s">
        <v>328</v>
      </c>
      <c r="B116" s="17" t="s">
        <v>329</v>
      </c>
      <c r="C116" s="16" t="s">
        <v>162</v>
      </c>
      <c r="D116" s="18" t="n">
        <v>4</v>
      </c>
      <c r="E116" s="18" t="n">
        <v>1000</v>
      </c>
      <c r="F116" s="18" t="n">
        <f aca="false">D116*E116</f>
        <v>4000</v>
      </c>
      <c r="G116" s="19" t="s">
        <v>142</v>
      </c>
    </row>
    <row r="117" customFormat="false" ht="29.25" hidden="false" customHeight="true" outlineLevel="0" collapsed="false">
      <c r="A117" s="16" t="s">
        <v>330</v>
      </c>
      <c r="B117" s="17" t="s">
        <v>331</v>
      </c>
      <c r="C117" s="16" t="s">
        <v>72</v>
      </c>
      <c r="D117" s="18" t="n">
        <v>6</v>
      </c>
      <c r="E117" s="18" t="n">
        <v>750</v>
      </c>
      <c r="F117" s="18" t="n">
        <f aca="false">D117*E117</f>
        <v>4500</v>
      </c>
      <c r="G117" s="19" t="s">
        <v>142</v>
      </c>
    </row>
    <row r="118" customFormat="false" ht="29.25" hidden="false" customHeight="true" outlineLevel="0" collapsed="false">
      <c r="A118" s="16" t="s">
        <v>332</v>
      </c>
      <c r="B118" s="17" t="s">
        <v>333</v>
      </c>
      <c r="C118" s="16" t="s">
        <v>292</v>
      </c>
      <c r="D118" s="18" t="n">
        <v>2</v>
      </c>
      <c r="E118" s="18" t="n">
        <v>750</v>
      </c>
      <c r="F118" s="18" t="n">
        <f aca="false">D118*E118</f>
        <v>1500</v>
      </c>
      <c r="G118" s="19" t="s">
        <v>142</v>
      </c>
    </row>
    <row r="119" customFormat="false" ht="67.5" hidden="false" customHeight="true" outlineLevel="0" collapsed="false">
      <c r="A119" s="16" t="s">
        <v>334</v>
      </c>
      <c r="B119" s="17" t="s">
        <v>335</v>
      </c>
      <c r="C119" s="16" t="s">
        <v>96</v>
      </c>
      <c r="D119" s="18" t="n">
        <v>1</v>
      </c>
      <c r="E119" s="18" t="n">
        <v>6000</v>
      </c>
      <c r="F119" s="18" t="n">
        <f aca="false">D119*E119</f>
        <v>6000</v>
      </c>
      <c r="G119" s="19" t="s">
        <v>336</v>
      </c>
    </row>
    <row r="120" customFormat="false" ht="29.25" hidden="false" customHeight="true" outlineLevel="0" collapsed="false">
      <c r="A120" s="16" t="s">
        <v>337</v>
      </c>
      <c r="B120" s="17" t="s">
        <v>338</v>
      </c>
      <c r="C120" s="16" t="s">
        <v>96</v>
      </c>
      <c r="D120" s="18" t="n">
        <v>0.5</v>
      </c>
      <c r="E120" s="18" t="n">
        <v>8000</v>
      </c>
      <c r="F120" s="18" t="n">
        <f aca="false">D120*E120</f>
        <v>4000</v>
      </c>
      <c r="G120" s="19" t="s">
        <v>142</v>
      </c>
    </row>
    <row r="121" customFormat="false" ht="54.75" hidden="false" customHeight="true" outlineLevel="0" collapsed="false">
      <c r="A121" s="16" t="s">
        <v>339</v>
      </c>
      <c r="B121" s="17" t="s">
        <v>340</v>
      </c>
      <c r="C121" s="16" t="s">
        <v>162</v>
      </c>
      <c r="D121" s="18" t="n">
        <f aca="false">Programme!$G$91</f>
        <v>8</v>
      </c>
      <c r="E121" s="18" t="n">
        <v>500</v>
      </c>
      <c r="F121" s="18" t="n">
        <f aca="false">D121*E121</f>
        <v>4000</v>
      </c>
      <c r="G121" s="19" t="s">
        <v>341</v>
      </c>
    </row>
    <row r="122" customFormat="false" ht="132" hidden="false" customHeight="true" outlineLevel="0" collapsed="false">
      <c r="A122" s="16" t="s">
        <v>342</v>
      </c>
      <c r="B122" s="17" t="s">
        <v>343</v>
      </c>
      <c r="C122" s="16" t="s">
        <v>145</v>
      </c>
      <c r="D122" s="18" t="n">
        <v>0</v>
      </c>
      <c r="E122" s="18" t="n">
        <v>0</v>
      </c>
      <c r="F122" s="18" t="n">
        <f aca="false">D122*E122</f>
        <v>0</v>
      </c>
      <c r="G122" s="19" t="s">
        <v>344</v>
      </c>
    </row>
    <row r="123" customFormat="false" ht="19.5" hidden="false" customHeight="true" outlineLevel="0" collapsed="false">
      <c r="A123" s="34"/>
      <c r="B123" s="23" t="s">
        <v>345</v>
      </c>
      <c r="C123" s="34"/>
      <c r="D123" s="34"/>
      <c r="E123" s="34"/>
      <c r="F123" s="35" t="n">
        <f aca="false">SUM(F100:F122)</f>
        <v>109106</v>
      </c>
      <c r="G123" s="34"/>
    </row>
    <row r="124" customFormat="false" ht="14.25" hidden="false" customHeight="false" outlineLevel="0" collapsed="false">
      <c r="A124" s="38"/>
      <c r="B124" s="39" t="s">
        <v>346</v>
      </c>
      <c r="C124" s="38"/>
      <c r="D124" s="38"/>
      <c r="E124" s="38"/>
      <c r="F124" s="40" t="n">
        <f aca="false">F123/2</f>
        <v>54553</v>
      </c>
      <c r="G124" s="38"/>
    </row>
    <row r="126" customFormat="false" ht="21" hidden="false" customHeight="true" outlineLevel="0" collapsed="false">
      <c r="A126" s="15" t="s">
        <v>347</v>
      </c>
      <c r="B126" s="15"/>
      <c r="C126" s="15"/>
      <c r="D126" s="15"/>
      <c r="E126" s="15"/>
      <c r="F126" s="15"/>
      <c r="G126" s="15"/>
    </row>
    <row r="127" customFormat="false" ht="96" hidden="false" customHeight="true" outlineLevel="0" collapsed="false">
      <c r="A127" s="11" t="s">
        <v>348</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349</v>
      </c>
      <c r="B129" s="17" t="s">
        <v>350</v>
      </c>
      <c r="C129" s="16" t="s">
        <v>351</v>
      </c>
      <c r="D129" s="18" t="n">
        <v>200</v>
      </c>
      <c r="E129" s="18" t="n">
        <v>400</v>
      </c>
      <c r="F129" s="18" t="n">
        <f aca="false">D129*E129</f>
        <v>80000</v>
      </c>
      <c r="G129" s="19" t="s">
        <v>352</v>
      </c>
    </row>
    <row r="130" customFormat="false" ht="105.75" hidden="false" customHeight="true" outlineLevel="0" collapsed="false">
      <c r="A130" s="16" t="s">
        <v>353</v>
      </c>
      <c r="B130" s="17" t="s">
        <v>354</v>
      </c>
      <c r="C130" s="16" t="s">
        <v>351</v>
      </c>
      <c r="D130" s="18" t="n">
        <v>60</v>
      </c>
      <c r="E130" s="18" t="n">
        <v>120</v>
      </c>
      <c r="F130" s="18" t="n">
        <f aca="false">D130*E130</f>
        <v>7200</v>
      </c>
      <c r="G130" s="19" t="s">
        <v>355</v>
      </c>
    </row>
    <row r="131" customFormat="false" ht="80.25" hidden="false" customHeight="true" outlineLevel="0" collapsed="false">
      <c r="A131" s="16" t="s">
        <v>356</v>
      </c>
      <c r="B131" s="17" t="s">
        <v>357</v>
      </c>
      <c r="C131" s="16" t="s">
        <v>72</v>
      </c>
      <c r="D131" s="18" t="n">
        <v>10</v>
      </c>
      <c r="E131" s="18" t="n">
        <v>5500</v>
      </c>
      <c r="F131" s="18" t="n">
        <f aca="false">D131*E131</f>
        <v>55000</v>
      </c>
      <c r="G131" s="19" t="s">
        <v>358</v>
      </c>
    </row>
    <row r="132" customFormat="false" ht="29.25" hidden="false" customHeight="true" outlineLevel="0" collapsed="false">
      <c r="A132" s="16" t="s">
        <v>359</v>
      </c>
      <c r="B132" s="17" t="s">
        <v>360</v>
      </c>
      <c r="C132" s="16" t="s">
        <v>72</v>
      </c>
      <c r="D132" s="18" t="n">
        <v>4</v>
      </c>
      <c r="E132" s="18" t="n">
        <v>2500</v>
      </c>
      <c r="F132" s="18" t="n">
        <f aca="false">D132*E132</f>
        <v>10000</v>
      </c>
      <c r="G132" s="19" t="s">
        <v>142</v>
      </c>
    </row>
    <row r="133" customFormat="false" ht="29.25" hidden="false" customHeight="true" outlineLevel="0" collapsed="false">
      <c r="A133" s="16" t="s">
        <v>361</v>
      </c>
      <c r="B133" s="17" t="s">
        <v>362</v>
      </c>
      <c r="C133" s="16" t="s">
        <v>72</v>
      </c>
      <c r="D133" s="18" t="n">
        <v>8</v>
      </c>
      <c r="E133" s="18" t="n">
        <v>375</v>
      </c>
      <c r="F133" s="18" t="n">
        <f aca="false">D133*E133</f>
        <v>3000</v>
      </c>
      <c r="G133" s="19" t="s">
        <v>142</v>
      </c>
    </row>
    <row r="134" customFormat="false" ht="29.25" hidden="false" customHeight="true" outlineLevel="0" collapsed="false">
      <c r="A134" s="16" t="s">
        <v>363</v>
      </c>
      <c r="B134" s="17" t="s">
        <v>364</v>
      </c>
      <c r="C134" s="16" t="s">
        <v>365</v>
      </c>
      <c r="D134" s="18" t="n">
        <v>2</v>
      </c>
      <c r="E134" s="18" t="n">
        <v>3500</v>
      </c>
      <c r="F134" s="18" t="n">
        <f aca="false">D134*E134</f>
        <v>7000</v>
      </c>
      <c r="G134" s="19" t="s">
        <v>142</v>
      </c>
    </row>
    <row r="135" customFormat="false" ht="29.25" hidden="false" customHeight="true" outlineLevel="0" collapsed="false">
      <c r="A135" s="16" t="s">
        <v>366</v>
      </c>
      <c r="B135" s="17" t="s">
        <v>367</v>
      </c>
      <c r="C135" s="16" t="s">
        <v>72</v>
      </c>
      <c r="D135" s="18" t="n">
        <v>40</v>
      </c>
      <c r="E135" s="18" t="n">
        <v>250</v>
      </c>
      <c r="F135" s="18" t="n">
        <f aca="false">D135*E135</f>
        <v>10000</v>
      </c>
      <c r="G135" s="19" t="s">
        <v>142</v>
      </c>
    </row>
    <row r="136" customFormat="false" ht="29.25" hidden="false" customHeight="true" outlineLevel="0" collapsed="false">
      <c r="A136" s="16" t="s">
        <v>368</v>
      </c>
      <c r="B136" s="17" t="s">
        <v>369</v>
      </c>
      <c r="C136" s="16" t="s">
        <v>72</v>
      </c>
      <c r="D136" s="18" t="n">
        <v>8</v>
      </c>
      <c r="E136" s="18" t="n">
        <v>625</v>
      </c>
      <c r="F136" s="18" t="n">
        <f aca="false">D136*E136</f>
        <v>5000</v>
      </c>
      <c r="G136" s="19" t="s">
        <v>142</v>
      </c>
    </row>
    <row r="137" customFormat="false" ht="39" hidden="false" customHeight="true" outlineLevel="0" collapsed="false">
      <c r="A137" s="16" t="s">
        <v>370</v>
      </c>
      <c r="B137" s="17" t="s">
        <v>371</v>
      </c>
      <c r="C137" s="16" t="s">
        <v>72</v>
      </c>
      <c r="D137" s="18" t="n">
        <v>2</v>
      </c>
      <c r="E137" s="18" t="n">
        <v>3500</v>
      </c>
      <c r="F137" s="18" t="n">
        <f aca="false">D137*E137</f>
        <v>7000</v>
      </c>
      <c r="G137" s="19" t="s">
        <v>142</v>
      </c>
    </row>
    <row r="138" customFormat="false" ht="67.5" hidden="false" customHeight="true" outlineLevel="0" collapsed="false">
      <c r="A138" s="16" t="s">
        <v>372</v>
      </c>
      <c r="B138" s="17" t="s">
        <v>373</v>
      </c>
      <c r="C138" s="16" t="s">
        <v>72</v>
      </c>
      <c r="D138" s="18" t="n">
        <v>2</v>
      </c>
      <c r="E138" s="18" t="n">
        <v>4500</v>
      </c>
      <c r="F138" s="18" t="n">
        <f aca="false">D138*E138</f>
        <v>9000</v>
      </c>
      <c r="G138" s="19" t="s">
        <v>374</v>
      </c>
    </row>
    <row r="139" customFormat="false" ht="42" hidden="false" customHeight="true" outlineLevel="0" collapsed="false">
      <c r="A139" s="16" t="s">
        <v>375</v>
      </c>
      <c r="B139" s="17" t="s">
        <v>376</v>
      </c>
      <c r="C139" s="16" t="s">
        <v>351</v>
      </c>
      <c r="D139" s="18" t="n">
        <v>160</v>
      </c>
      <c r="E139" s="18" t="n">
        <v>25</v>
      </c>
      <c r="F139" s="18" t="n">
        <f aca="false">D139*E139</f>
        <v>4000</v>
      </c>
      <c r="G139" s="19" t="s">
        <v>377</v>
      </c>
    </row>
    <row r="140" customFormat="false" ht="29.25" hidden="false" customHeight="true" outlineLevel="0" collapsed="false">
      <c r="A140" s="16" t="s">
        <v>378</v>
      </c>
      <c r="B140" s="17" t="s">
        <v>379</v>
      </c>
      <c r="C140" s="16" t="s">
        <v>199</v>
      </c>
      <c r="D140" s="18" t="n">
        <v>2</v>
      </c>
      <c r="E140" s="18" t="n">
        <v>2500</v>
      </c>
      <c r="F140" s="18" t="n">
        <f aca="false">D140*E140</f>
        <v>5000</v>
      </c>
      <c r="G140" s="19" t="s">
        <v>142</v>
      </c>
    </row>
    <row r="141" customFormat="false" ht="29.25" hidden="false" customHeight="true" outlineLevel="0" collapsed="false">
      <c r="A141" s="16" t="s">
        <v>380</v>
      </c>
      <c r="B141" s="17" t="s">
        <v>381</v>
      </c>
      <c r="C141" s="16" t="s">
        <v>72</v>
      </c>
      <c r="D141" s="18" t="n">
        <v>2</v>
      </c>
      <c r="E141" s="18" t="n">
        <v>1500</v>
      </c>
      <c r="F141" s="18" t="n">
        <f aca="false">D141*E141</f>
        <v>3000</v>
      </c>
      <c r="G141" s="19" t="s">
        <v>142</v>
      </c>
    </row>
    <row r="142" customFormat="false" ht="54.75" hidden="false" customHeight="true" outlineLevel="0" collapsed="false">
      <c r="A142" s="16" t="s">
        <v>382</v>
      </c>
      <c r="B142" s="17" t="s">
        <v>383</v>
      </c>
      <c r="C142" s="16" t="s">
        <v>72</v>
      </c>
      <c r="D142" s="18" t="n">
        <v>2</v>
      </c>
      <c r="E142" s="18" t="n">
        <v>6000</v>
      </c>
      <c r="F142" s="18" t="n">
        <f aca="false">D142*E142</f>
        <v>12000</v>
      </c>
      <c r="G142" s="19" t="s">
        <v>384</v>
      </c>
    </row>
    <row r="143" customFormat="false" ht="29.25" hidden="false" customHeight="true" outlineLevel="0" collapsed="false">
      <c r="A143" s="16" t="s">
        <v>385</v>
      </c>
      <c r="B143" s="17" t="s">
        <v>386</v>
      </c>
      <c r="C143" s="16" t="s">
        <v>72</v>
      </c>
      <c r="D143" s="18" t="n">
        <v>2</v>
      </c>
      <c r="E143" s="18" t="n">
        <v>4000</v>
      </c>
      <c r="F143" s="18" t="n">
        <f aca="false">D143*E143</f>
        <v>8000</v>
      </c>
      <c r="G143" s="19" t="s">
        <v>142</v>
      </c>
    </row>
    <row r="144" customFormat="false" ht="29.25" hidden="false" customHeight="true" outlineLevel="0" collapsed="false">
      <c r="A144" s="16" t="s">
        <v>387</v>
      </c>
      <c r="B144" s="17" t="s">
        <v>388</v>
      </c>
      <c r="C144" s="16" t="s">
        <v>292</v>
      </c>
      <c r="D144" s="18" t="n">
        <v>2</v>
      </c>
      <c r="E144" s="18" t="n">
        <v>1500</v>
      </c>
      <c r="F144" s="18" t="n">
        <f aca="false">D144*E144</f>
        <v>3000</v>
      </c>
      <c r="G144" s="19" t="s">
        <v>142</v>
      </c>
    </row>
    <row r="145" customFormat="false" ht="29.25" hidden="false" customHeight="true" outlineLevel="0" collapsed="false">
      <c r="A145" s="16" t="s">
        <v>389</v>
      </c>
      <c r="B145" s="17" t="s">
        <v>390</v>
      </c>
      <c r="C145" s="16" t="s">
        <v>207</v>
      </c>
      <c r="D145" s="18" t="n">
        <v>300</v>
      </c>
      <c r="E145" s="18" t="n">
        <v>6</v>
      </c>
      <c r="F145" s="18" t="n">
        <f aca="false">D145*E145</f>
        <v>1800</v>
      </c>
      <c r="G145" s="19" t="s">
        <v>142</v>
      </c>
    </row>
    <row r="146" customFormat="false" ht="29.25" hidden="false" customHeight="true" outlineLevel="0" collapsed="false">
      <c r="A146" s="16" t="s">
        <v>391</v>
      </c>
      <c r="B146" s="17" t="s">
        <v>392</v>
      </c>
      <c r="C146" s="16" t="s">
        <v>141</v>
      </c>
      <c r="D146" s="18" t="n">
        <v>24</v>
      </c>
      <c r="E146" s="18" t="n">
        <v>150</v>
      </c>
      <c r="F146" s="18" t="n">
        <f aca="false">D146*E146</f>
        <v>3600</v>
      </c>
      <c r="G146" s="19" t="s">
        <v>142</v>
      </c>
    </row>
    <row r="147" customFormat="false" ht="29.25" hidden="false" customHeight="true" outlineLevel="0" collapsed="false">
      <c r="A147" s="16" t="s">
        <v>393</v>
      </c>
      <c r="B147" s="17" t="s">
        <v>394</v>
      </c>
      <c r="C147" s="16" t="s">
        <v>395</v>
      </c>
      <c r="D147" s="18" t="n">
        <v>2</v>
      </c>
      <c r="E147" s="18" t="n">
        <v>1800</v>
      </c>
      <c r="F147" s="18" t="n">
        <f aca="false">D147*E147</f>
        <v>3600</v>
      </c>
      <c r="G147" s="19" t="s">
        <v>142</v>
      </c>
    </row>
    <row r="148" customFormat="false" ht="29.25" hidden="false" customHeight="true" outlineLevel="0" collapsed="false">
      <c r="A148" s="16" t="s">
        <v>396</v>
      </c>
      <c r="B148" s="17" t="s">
        <v>397</v>
      </c>
      <c r="C148" s="16" t="s">
        <v>351</v>
      </c>
      <c r="D148" s="18" t="n">
        <v>260</v>
      </c>
      <c r="E148" s="18" t="n">
        <v>20</v>
      </c>
      <c r="F148" s="18" t="n">
        <f aca="false">D148*E148</f>
        <v>5200</v>
      </c>
      <c r="G148" s="19" t="s">
        <v>142</v>
      </c>
    </row>
    <row r="149" customFormat="false" ht="54" hidden="false" customHeight="true" outlineLevel="0" collapsed="false">
      <c r="A149" s="16" t="s">
        <v>398</v>
      </c>
      <c r="B149" s="17" t="s">
        <v>399</v>
      </c>
      <c r="C149" s="16" t="s">
        <v>72</v>
      </c>
      <c r="D149" s="18" t="n">
        <v>70</v>
      </c>
      <c r="E149" s="18" t="n">
        <v>40</v>
      </c>
      <c r="F149" s="18" t="n">
        <f aca="false">D149*E149</f>
        <v>2800</v>
      </c>
      <c r="G149" s="19" t="s">
        <v>400</v>
      </c>
    </row>
    <row r="150" customFormat="false" ht="19.5" hidden="false" customHeight="true" outlineLevel="0" collapsed="false">
      <c r="A150" s="34"/>
      <c r="B150" s="23" t="s">
        <v>401</v>
      </c>
      <c r="C150" s="34"/>
      <c r="D150" s="34"/>
      <c r="E150" s="34"/>
      <c r="F150" s="35" t="n">
        <f aca="false">SUM(F129:F149)</f>
        <v>245200</v>
      </c>
      <c r="G150" s="34"/>
    </row>
    <row r="151" customFormat="false" ht="18" hidden="false" customHeight="true" outlineLevel="0" collapsed="false">
      <c r="B151" s="36" t="s">
        <v>402</v>
      </c>
    </row>
    <row r="152" customFormat="false" ht="105.75" hidden="false" customHeight="true" outlineLevel="0" collapsed="false">
      <c r="A152" s="16" t="s">
        <v>403</v>
      </c>
      <c r="B152" s="17" t="s">
        <v>404</v>
      </c>
      <c r="C152" s="16" t="s">
        <v>351</v>
      </c>
      <c r="D152" s="18" t="n">
        <f aca="false">D129</f>
        <v>200</v>
      </c>
      <c r="E152" s="18" t="n">
        <v>280</v>
      </c>
      <c r="F152" s="18" t="n">
        <f aca="false">D152*E152</f>
        <v>56000</v>
      </c>
      <c r="G152" s="19" t="s">
        <v>405</v>
      </c>
    </row>
    <row r="153" customFormat="false" ht="42" hidden="false" customHeight="true" outlineLevel="0" collapsed="false">
      <c r="A153" s="16" t="s">
        <v>406</v>
      </c>
      <c r="B153" s="17" t="s">
        <v>407</v>
      </c>
      <c r="C153" s="16" t="s">
        <v>351</v>
      </c>
      <c r="D153" s="18" t="n">
        <f aca="false">D130</f>
        <v>60</v>
      </c>
      <c r="E153" s="18" t="n">
        <f aca="false">E130</f>
        <v>120</v>
      </c>
      <c r="F153" s="18" t="n">
        <f aca="false">D153*E153</f>
        <v>7200</v>
      </c>
      <c r="G153" s="19" t="s">
        <v>408</v>
      </c>
    </row>
    <row r="154" customFormat="false" ht="54.75" hidden="false" customHeight="true" outlineLevel="0" collapsed="false">
      <c r="A154" s="16" t="s">
        <v>409</v>
      </c>
      <c r="B154" s="17" t="s">
        <v>410</v>
      </c>
      <c r="C154" s="16" t="s">
        <v>72</v>
      </c>
      <c r="D154" s="18" t="n">
        <v>1</v>
      </c>
      <c r="E154" s="18" t="n">
        <v>6500</v>
      </c>
      <c r="F154" s="18" t="n">
        <f aca="false">D154*E154</f>
        <v>6500</v>
      </c>
      <c r="G154" s="19" t="s">
        <v>411</v>
      </c>
    </row>
    <row r="155" customFormat="false" ht="54.75" hidden="false" customHeight="true" outlineLevel="0" collapsed="false">
      <c r="A155" s="16" t="s">
        <v>412</v>
      </c>
      <c r="B155" s="17" t="s">
        <v>413</v>
      </c>
      <c r="C155" s="16" t="s">
        <v>72</v>
      </c>
      <c r="D155" s="18" t="n">
        <v>1</v>
      </c>
      <c r="E155" s="18" t="n">
        <v>14000</v>
      </c>
      <c r="F155" s="18" t="n">
        <f aca="false">D155*E155</f>
        <v>14000</v>
      </c>
      <c r="G155" s="19" t="s">
        <v>414</v>
      </c>
    </row>
    <row r="156" customFormat="false" ht="42" hidden="false" customHeight="true" outlineLevel="0" collapsed="false">
      <c r="A156" s="16" t="s">
        <v>415</v>
      </c>
      <c r="B156" s="17" t="s">
        <v>416</v>
      </c>
      <c r="C156" s="16" t="s">
        <v>72</v>
      </c>
      <c r="D156" s="18" t="n">
        <f aca="false">D131-2</f>
        <v>8</v>
      </c>
      <c r="E156" s="18" t="n">
        <f aca="false">E131</f>
        <v>5500</v>
      </c>
      <c r="F156" s="18" t="n">
        <f aca="false">D156*E156</f>
        <v>44000</v>
      </c>
      <c r="G156" s="19" t="s">
        <v>417</v>
      </c>
    </row>
    <row r="157" customFormat="false" ht="14.25" hidden="false" customHeight="false" outlineLevel="0" collapsed="false">
      <c r="B157" s="36" t="s">
        <v>418</v>
      </c>
      <c r="F157" s="37" t="n">
        <f aca="false">SUM(F152:F156)</f>
        <v>127700</v>
      </c>
    </row>
    <row r="158" customFormat="false" ht="14.25" hidden="false" customHeight="false" outlineLevel="0" collapsed="false">
      <c r="B158" s="36" t="s">
        <v>419</v>
      </c>
      <c r="F158" s="37" t="n">
        <f aca="false">F129+F130+F131</f>
        <v>142200</v>
      </c>
    </row>
    <row r="159" customFormat="false" ht="30" hidden="false" customHeight="true" outlineLevel="0" collapsed="false">
      <c r="B159" s="36" t="s">
        <v>420</v>
      </c>
      <c r="F159" s="37" t="n">
        <f aca="false">F158-F157</f>
        <v>14500</v>
      </c>
    </row>
    <row r="161" customFormat="false" ht="21" hidden="false" customHeight="true" outlineLevel="0" collapsed="false">
      <c r="A161" s="15" t="s">
        <v>421</v>
      </c>
      <c r="B161" s="15"/>
      <c r="C161" s="15"/>
      <c r="D161" s="15"/>
      <c r="E161" s="15"/>
      <c r="F161" s="15"/>
      <c r="G161" s="15"/>
    </row>
    <row r="162" customFormat="false" ht="37.5" hidden="false" customHeight="true" outlineLevel="0" collapsed="false">
      <c r="A162" s="41" t="s">
        <v>422</v>
      </c>
      <c r="B162" s="41"/>
      <c r="C162" s="41"/>
      <c r="D162" s="41"/>
      <c r="E162" s="41"/>
      <c r="F162" s="41"/>
      <c r="G162" s="41"/>
    </row>
    <row r="163" customFormat="false" ht="49.5" hidden="false" customHeight="true" outlineLevel="0" collapsed="false">
      <c r="A163" s="41" t="s">
        <v>423</v>
      </c>
      <c r="B163" s="41"/>
      <c r="C163" s="41"/>
      <c r="D163" s="41"/>
      <c r="E163" s="41"/>
      <c r="F163" s="41"/>
      <c r="G163" s="41"/>
    </row>
    <row r="164" customFormat="false" ht="72.75" hidden="false" customHeight="true" outlineLevel="0" collapsed="false">
      <c r="A164" s="41" t="s">
        <v>424</v>
      </c>
      <c r="B164" s="41"/>
      <c r="C164" s="41"/>
      <c r="D164" s="41"/>
      <c r="E164" s="41"/>
      <c r="F164" s="41"/>
      <c r="G164" s="41"/>
    </row>
    <row r="165" customFormat="false" ht="38.25" hidden="false" customHeight="true" outlineLevel="0" collapsed="false">
      <c r="A165" s="41" t="s">
        <v>425</v>
      </c>
      <c r="B165" s="41"/>
      <c r="C165" s="41"/>
      <c r="D165" s="41"/>
      <c r="E165" s="41"/>
      <c r="F165" s="41"/>
      <c r="G165" s="41"/>
    </row>
    <row r="166" customFormat="false" ht="36.75" hidden="false" customHeight="true" outlineLevel="0" collapsed="false">
      <c r="A166" s="41" t="s">
        <v>426</v>
      </c>
      <c r="B166" s="41"/>
      <c r="C166" s="41"/>
      <c r="D166" s="41"/>
      <c r="E166" s="41"/>
      <c r="F166" s="41"/>
      <c r="G166" s="41"/>
    </row>
    <row r="167" customFormat="false" ht="37.5" hidden="false" customHeight="true" outlineLevel="0" collapsed="false">
      <c r="A167" s="41" t="s">
        <v>427</v>
      </c>
      <c r="B167" s="41"/>
      <c r="C167" s="41"/>
      <c r="D167" s="41"/>
      <c r="E167" s="41"/>
      <c r="F167" s="41"/>
      <c r="G167" s="41"/>
    </row>
    <row r="168" customFormat="false" ht="21" hidden="false" customHeight="true" outlineLevel="0" collapsed="false">
      <c r="A168" s="41" t="s">
        <v>428</v>
      </c>
      <c r="B168" s="41"/>
      <c r="C168" s="41"/>
      <c r="D168" s="41"/>
      <c r="E168" s="41"/>
      <c r="F168" s="41"/>
      <c r="G168" s="41"/>
    </row>
    <row r="169" customFormat="false" ht="21" hidden="false" customHeight="true" outlineLevel="0" collapsed="false">
      <c r="A169" s="41" t="s">
        <v>429</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430</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431</v>
      </c>
      <c r="B4" s="11"/>
      <c r="C4" s="11"/>
      <c r="D4" s="11"/>
      <c r="E4" s="11"/>
      <c r="F4" s="11"/>
      <c r="G4" s="11"/>
      <c r="H4" s="11"/>
    </row>
    <row r="6" customFormat="false" ht="21" hidden="false" customHeight="true" outlineLevel="0" collapsed="false">
      <c r="A6" s="15" t="s">
        <v>432</v>
      </c>
      <c r="B6" s="15"/>
      <c r="C6" s="15"/>
      <c r="D6" s="15"/>
      <c r="E6" s="15"/>
      <c r="F6" s="15"/>
      <c r="G6" s="15"/>
      <c r="H6" s="15"/>
    </row>
    <row r="7" customFormat="false" ht="31.5" hidden="false" customHeight="true" outlineLevel="0" collapsed="false">
      <c r="A7" s="13" t="s">
        <v>35</v>
      </c>
      <c r="B7" s="42" t="s">
        <v>36</v>
      </c>
      <c r="C7" s="42"/>
      <c r="D7" s="42"/>
      <c r="E7" s="13" t="s">
        <v>433</v>
      </c>
      <c r="F7" s="43" t="s">
        <v>434</v>
      </c>
      <c r="G7" s="13" t="s">
        <v>435</v>
      </c>
      <c r="H7" s="13" t="s">
        <v>436</v>
      </c>
    </row>
    <row r="8" customFormat="false" ht="42" hidden="false" customHeight="true" outlineLevel="0" collapsed="false">
      <c r="A8" s="16" t="s">
        <v>437</v>
      </c>
      <c r="B8" s="44" t="s">
        <v>438</v>
      </c>
      <c r="C8" s="44"/>
      <c r="D8" s="44"/>
      <c r="E8" s="18" t="n">
        <f aca="false">Assessment!$F$8</f>
        <v>680000</v>
      </c>
      <c r="F8" s="20" t="n">
        <f aca="false">Assessment!$K$8</f>
        <v>323210.56</v>
      </c>
      <c r="G8" s="18" t="n">
        <f aca="false">E8-F8</f>
        <v>356789.44</v>
      </c>
      <c r="H8" s="19" t="s">
        <v>439</v>
      </c>
    </row>
    <row r="9" customFormat="false" ht="42" hidden="false" customHeight="true" outlineLevel="0" collapsed="false">
      <c r="A9" s="16" t="s">
        <v>440</v>
      </c>
      <c r="B9" s="44" t="s">
        <v>441</v>
      </c>
      <c r="C9" s="44"/>
      <c r="D9" s="44"/>
      <c r="E9" s="18" t="n">
        <f aca="false">Assessment!$F$14</f>
        <v>504192.02</v>
      </c>
      <c r="F9" s="20" t="n">
        <f aca="false">Assessment!$K$14</f>
        <v>296010</v>
      </c>
      <c r="G9" s="18" t="n">
        <f aca="false">E9-F9</f>
        <v>208182.02</v>
      </c>
      <c r="H9" s="19" t="s">
        <v>442</v>
      </c>
    </row>
    <row r="10" customFormat="false" ht="42" hidden="false" customHeight="true" outlineLevel="0" collapsed="false">
      <c r="A10" s="16" t="s">
        <v>443</v>
      </c>
      <c r="B10" s="44" t="s">
        <v>444</v>
      </c>
      <c r="C10" s="44"/>
      <c r="D10" s="44"/>
      <c r="E10" s="18" t="n">
        <f aca="false">Assessment!$F$17</f>
        <v>426400</v>
      </c>
      <c r="F10" s="20" t="n">
        <f aca="false">Assessment!$K$17</f>
        <v>109106</v>
      </c>
      <c r="G10" s="18" t="n">
        <f aca="false">E10-F10</f>
        <v>317294</v>
      </c>
      <c r="H10" s="19" t="s">
        <v>445</v>
      </c>
    </row>
    <row r="11" customFormat="false" ht="42" hidden="false" customHeight="true" outlineLevel="0" collapsed="false">
      <c r="A11" s="16" t="s">
        <v>446</v>
      </c>
      <c r="B11" s="44" t="s">
        <v>447</v>
      </c>
      <c r="C11" s="44"/>
      <c r="D11" s="44"/>
      <c r="E11" s="18" t="n">
        <f aca="false">Assessment!$F$18</f>
        <v>420000</v>
      </c>
      <c r="F11" s="20" t="n">
        <f aca="false">Assessment!$K$18</f>
        <v>245200</v>
      </c>
      <c r="G11" s="18" t="n">
        <f aca="false">E11-F11</f>
        <v>174800</v>
      </c>
      <c r="H11" s="19" t="s">
        <v>448</v>
      </c>
    </row>
    <row r="12" customFormat="false" ht="24" hidden="false" customHeight="true" outlineLevel="0" collapsed="false">
      <c r="A12" s="23"/>
      <c r="B12" s="23" t="s">
        <v>449</v>
      </c>
      <c r="C12" s="23"/>
      <c r="D12" s="23"/>
      <c r="E12" s="24" t="n">
        <f aca="false">SUM(E8:E11)</f>
        <v>2030592.02</v>
      </c>
      <c r="F12" s="25" t="n">
        <f aca="false">SUM(F8:F11)</f>
        <v>973526.56</v>
      </c>
      <c r="G12" s="24" t="n">
        <f aca="false">E12-F12</f>
        <v>1057065.46</v>
      </c>
      <c r="H12" s="45" t="s">
        <v>450</v>
      </c>
    </row>
    <row r="13" customFormat="false" ht="18.75" hidden="false" customHeight="true" outlineLevel="0" collapsed="false">
      <c r="A13" s="46" t="s">
        <v>451</v>
      </c>
      <c r="B13" s="46"/>
      <c r="C13" s="46"/>
      <c r="D13" s="46"/>
      <c r="E13" s="46"/>
      <c r="F13" s="46"/>
      <c r="G13" s="46"/>
      <c r="H13" s="46"/>
    </row>
    <row r="15" customFormat="false" ht="21" hidden="false" customHeight="true" outlineLevel="0" collapsed="false">
      <c r="A15" s="15" t="s">
        <v>452</v>
      </c>
      <c r="B15" s="15"/>
      <c r="C15" s="15"/>
      <c r="D15" s="15"/>
      <c r="E15" s="15"/>
      <c r="F15" s="15"/>
      <c r="G15" s="15"/>
      <c r="H15" s="15"/>
    </row>
    <row r="16" customFormat="false" ht="31.5" hidden="false" customHeight="true" outlineLevel="0" collapsed="false">
      <c r="A16" s="46" t="s">
        <v>453</v>
      </c>
      <c r="B16" s="46"/>
      <c r="C16" s="46"/>
      <c r="D16" s="46"/>
      <c r="E16" s="46"/>
      <c r="F16" s="46"/>
      <c r="G16" s="46"/>
      <c r="H16" s="46"/>
    </row>
    <row r="17" customFormat="false" ht="18.75" hidden="false" customHeight="true" outlineLevel="0" collapsed="false">
      <c r="A17" s="46" t="s">
        <v>454</v>
      </c>
      <c r="B17" s="46"/>
      <c r="C17" s="46"/>
      <c r="D17" s="46"/>
      <c r="E17" s="46"/>
      <c r="F17" s="46"/>
      <c r="G17" s="46"/>
      <c r="H17" s="46"/>
    </row>
    <row r="18" customFormat="false" ht="18.75" hidden="false" customHeight="true" outlineLevel="0" collapsed="false">
      <c r="A18" s="46" t="s">
        <v>455</v>
      </c>
      <c r="B18" s="46"/>
      <c r="C18" s="46"/>
      <c r="D18" s="46"/>
      <c r="E18" s="46"/>
      <c r="F18" s="46"/>
      <c r="G18" s="46"/>
      <c r="H18" s="46"/>
    </row>
    <row r="19" customFormat="false" ht="18.75" hidden="false" customHeight="true" outlineLevel="0" collapsed="false">
      <c r="A19" s="46" t="s">
        <v>456</v>
      </c>
      <c r="B19" s="46"/>
      <c r="C19" s="46"/>
      <c r="D19" s="46"/>
      <c r="E19" s="46"/>
      <c r="F19" s="46"/>
      <c r="G19" s="46"/>
      <c r="H19" s="46"/>
    </row>
    <row r="20" customFormat="false" ht="31.5" hidden="false" customHeight="true" outlineLevel="0" collapsed="false">
      <c r="A20" s="46" t="s">
        <v>457</v>
      </c>
      <c r="B20" s="46"/>
      <c r="C20" s="46"/>
      <c r="D20" s="46"/>
      <c r="E20" s="46"/>
      <c r="F20" s="46"/>
      <c r="G20" s="46"/>
      <c r="H20" s="46"/>
    </row>
    <row r="22" customFormat="false" ht="21" hidden="false" customHeight="true" outlineLevel="0" collapsed="false">
      <c r="A22" s="15" t="s">
        <v>458</v>
      </c>
      <c r="B22" s="15"/>
      <c r="C22" s="15"/>
      <c r="D22" s="15"/>
      <c r="E22" s="15"/>
      <c r="F22" s="15"/>
      <c r="G22" s="15"/>
      <c r="H22" s="15"/>
    </row>
    <row r="23" customFormat="false" ht="31.5" hidden="false" customHeight="true" outlineLevel="0" collapsed="false">
      <c r="A23" s="11" t="s">
        <v>459</v>
      </c>
      <c r="B23" s="11"/>
      <c r="C23" s="11"/>
      <c r="D23" s="11"/>
      <c r="E23" s="11"/>
      <c r="F23" s="11"/>
      <c r="G23" s="11"/>
      <c r="H23" s="11"/>
    </row>
    <row r="24" customFormat="false" ht="31.5" hidden="false" customHeight="true" outlineLevel="0" collapsed="false">
      <c r="A24" s="13" t="s">
        <v>92</v>
      </c>
      <c r="B24" s="13" t="s">
        <v>460</v>
      </c>
      <c r="C24" s="13" t="s">
        <v>461</v>
      </c>
      <c r="D24" s="13" t="s">
        <v>462</v>
      </c>
      <c r="E24" s="13" t="s">
        <v>463</v>
      </c>
      <c r="F24" s="43" t="s">
        <v>434</v>
      </c>
      <c r="G24" s="13" t="s">
        <v>435</v>
      </c>
      <c r="H24" s="13" t="s">
        <v>464</v>
      </c>
    </row>
    <row r="25" customFormat="false" ht="103.5" hidden="false" customHeight="true" outlineLevel="0" collapsed="false">
      <c r="A25" s="16" t="s">
        <v>94</v>
      </c>
      <c r="B25" s="17" t="s">
        <v>465</v>
      </c>
      <c r="C25" s="19" t="s">
        <v>466</v>
      </c>
      <c r="D25" s="47" t="n">
        <v>0.240964</v>
      </c>
      <c r="E25" s="18" t="n">
        <v>163855.52</v>
      </c>
      <c r="F25" s="20" t="n">
        <f aca="false">'Build-Up'!$F$22</f>
        <v>6250</v>
      </c>
      <c r="G25" s="18" t="n">
        <f aca="false">E25-F25</f>
        <v>157605.52</v>
      </c>
      <c r="H25" s="19" t="s">
        <v>467</v>
      </c>
    </row>
    <row r="26" customFormat="false" ht="51.75" hidden="false" customHeight="true" outlineLevel="0" collapsed="false">
      <c r="A26" s="16" t="s">
        <v>98</v>
      </c>
      <c r="B26" s="17" t="s">
        <v>468</v>
      </c>
      <c r="C26" s="19" t="s">
        <v>469</v>
      </c>
      <c r="D26" s="47" t="n">
        <v>0.072289</v>
      </c>
      <c r="E26" s="18" t="n">
        <v>49156.52</v>
      </c>
      <c r="F26" s="20" t="n">
        <f aca="false">'Build-Up'!$F$14+'Build-Up'!$F$15+'Build-Up'!$F$16</f>
        <v>23370</v>
      </c>
      <c r="G26" s="18" t="n">
        <f aca="false">E26-F26</f>
        <v>25786.52</v>
      </c>
      <c r="H26" s="19" t="s">
        <v>470</v>
      </c>
    </row>
    <row r="27" customFormat="false" ht="51.75" hidden="false" customHeight="true" outlineLevel="0" collapsed="false">
      <c r="A27" s="16" t="s">
        <v>101</v>
      </c>
      <c r="B27" s="17" t="s">
        <v>471</v>
      </c>
      <c r="C27" s="19" t="s">
        <v>472</v>
      </c>
      <c r="D27" s="47" t="n">
        <v>0.096386</v>
      </c>
      <c r="E27" s="18" t="n">
        <v>65542.48</v>
      </c>
      <c r="F27" s="20" t="n">
        <f aca="false">'Build-Up'!$F$28+'Build-Up'!$F$29</f>
        <v>27755.56</v>
      </c>
      <c r="G27" s="18" t="n">
        <f aca="false">E27-F27</f>
        <v>37786.92</v>
      </c>
      <c r="H27" s="19" t="s">
        <v>473</v>
      </c>
    </row>
    <row r="28" customFormat="false" ht="64.5" hidden="false" customHeight="true" outlineLevel="0" collapsed="false">
      <c r="A28" s="16" t="s">
        <v>104</v>
      </c>
      <c r="B28" s="17" t="s">
        <v>474</v>
      </c>
      <c r="C28" s="19" t="s">
        <v>475</v>
      </c>
      <c r="D28" s="47" t="n">
        <v>0.144578</v>
      </c>
      <c r="E28" s="18" t="n">
        <v>98313.04</v>
      </c>
      <c r="F28" s="20" t="n">
        <f aca="false">'Build-Up'!$F$20</f>
        <v>16400</v>
      </c>
      <c r="G28" s="18" t="n">
        <f aca="false">E28-F28</f>
        <v>81913.04</v>
      </c>
      <c r="H28" s="19" t="s">
        <v>476</v>
      </c>
    </row>
    <row r="29" customFormat="false" ht="78" hidden="false" customHeight="true" outlineLevel="0" collapsed="false">
      <c r="A29" s="16" t="s">
        <v>106</v>
      </c>
      <c r="B29" s="17" t="s">
        <v>477</v>
      </c>
      <c r="C29" s="19" t="s">
        <v>478</v>
      </c>
      <c r="D29" s="47" t="n">
        <v>0.096386</v>
      </c>
      <c r="E29" s="18" t="n">
        <v>65542.48</v>
      </c>
      <c r="F29" s="20" t="n">
        <f aca="false">'Build-Up'!$F$17+'Build-Up'!$F$18</f>
        <v>14035</v>
      </c>
      <c r="G29" s="18" t="n">
        <f aca="false">E29-F29</f>
        <v>51507.48</v>
      </c>
      <c r="H29" s="19" t="s">
        <v>479</v>
      </c>
    </row>
    <row r="30" customFormat="false" ht="78" hidden="false" customHeight="true" outlineLevel="0" collapsed="false">
      <c r="A30" s="16" t="s">
        <v>109</v>
      </c>
      <c r="B30" s="17" t="s">
        <v>480</v>
      </c>
      <c r="C30" s="19" t="s">
        <v>481</v>
      </c>
      <c r="D30" s="47" t="n">
        <v>0.084337</v>
      </c>
      <c r="E30" s="18" t="n">
        <v>57349.16</v>
      </c>
      <c r="F30" s="20" t="n">
        <f aca="false">'Build-Up'!$F$10+'Build-Up'!$F$25+'Build-Up'!$F$26+'Build-Up'!$F$27</f>
        <v>61050</v>
      </c>
      <c r="G30" s="18" t="n">
        <f aca="false">E30-F30</f>
        <v>-3700.84</v>
      </c>
      <c r="H30" s="19" t="s">
        <v>482</v>
      </c>
    </row>
    <row r="31" customFormat="false" ht="90.75" hidden="false" customHeight="true" outlineLevel="0" collapsed="false">
      <c r="A31" s="16" t="s">
        <v>112</v>
      </c>
      <c r="B31" s="17" t="s">
        <v>483</v>
      </c>
      <c r="C31" s="19" t="s">
        <v>484</v>
      </c>
      <c r="D31" s="47" t="n">
        <v>0.120482</v>
      </c>
      <c r="E31" s="18" t="n">
        <v>81927.76</v>
      </c>
      <c r="F31" s="20" t="n">
        <f aca="false">'Build-Up'!$F$30+'Build-Up'!$F$31</f>
        <v>3650</v>
      </c>
      <c r="G31" s="18" t="n">
        <f aca="false">E31-F31</f>
        <v>78277.76</v>
      </c>
      <c r="H31" s="19" t="s">
        <v>485</v>
      </c>
    </row>
    <row r="32" customFormat="false" ht="42" hidden="false" customHeight="true" outlineLevel="0" collapsed="false">
      <c r="A32" s="16" t="s">
        <v>114</v>
      </c>
      <c r="B32" s="17" t="s">
        <v>486</v>
      </c>
      <c r="C32" s="19" t="s">
        <v>487</v>
      </c>
      <c r="D32" s="47" t="n">
        <v>0.144578</v>
      </c>
      <c r="E32" s="18" t="n">
        <v>98313.04</v>
      </c>
      <c r="F32" s="20" t="n">
        <f aca="false">'Build-Up'!$F$23+'Build-Up'!$F$24</f>
        <v>8050</v>
      </c>
      <c r="G32" s="18" t="n">
        <f aca="false">E32-F32</f>
        <v>90263.04</v>
      </c>
      <c r="H32" s="19" t="s">
        <v>488</v>
      </c>
    </row>
    <row r="33" customFormat="false" ht="78" hidden="false" customHeight="true" outlineLevel="0" collapsed="false">
      <c r="A33" s="16"/>
      <c r="B33" s="17" t="s">
        <v>489</v>
      </c>
      <c r="C33" s="19"/>
      <c r="D33" s="47"/>
      <c r="E33" s="18" t="n">
        <v>0</v>
      </c>
      <c r="F33" s="20" t="n">
        <f aca="false">'Build-Up'!$F$9+'Build-Up'!$F$11+'Build-Up'!$F$12+'Build-Up'!$F$13+'Build-Up'!$F$19+'Build-Up'!$F$21</f>
        <v>162650</v>
      </c>
      <c r="G33" s="18" t="n">
        <f aca="false">E33-F33</f>
        <v>-162650</v>
      </c>
      <c r="H33" s="19" t="s">
        <v>490</v>
      </c>
    </row>
    <row r="34" customFormat="false" ht="27" hidden="false" customHeight="true" outlineLevel="0" collapsed="false">
      <c r="A34" s="23"/>
      <c r="B34" s="23" t="s">
        <v>491</v>
      </c>
      <c r="C34" s="23"/>
      <c r="D34" s="23"/>
      <c r="E34" s="24" t="n">
        <f aca="false">SUM(E25:E33)</f>
        <v>680000</v>
      </c>
      <c r="F34" s="25" t="n">
        <f aca="false">SUM(F25:F33)</f>
        <v>323210.56</v>
      </c>
      <c r="G34" s="24" t="n">
        <f aca="false">E34-F34</f>
        <v>356789.44</v>
      </c>
      <c r="H34" s="48" t="s">
        <v>492</v>
      </c>
    </row>
    <row r="35" customFormat="false" ht="45" hidden="false" customHeight="true" outlineLevel="0" collapsed="false">
      <c r="A35" s="46" t="s">
        <v>493</v>
      </c>
      <c r="B35" s="46"/>
      <c r="C35" s="46"/>
      <c r="D35" s="46"/>
      <c r="E35" s="46"/>
      <c r="F35" s="46"/>
      <c r="G35" s="46"/>
      <c r="H35" s="46"/>
    </row>
    <row r="37" customFormat="false" ht="21" hidden="false" customHeight="true" outlineLevel="0" collapsed="false">
      <c r="A37" s="15" t="s">
        <v>494</v>
      </c>
      <c r="B37" s="15"/>
      <c r="C37" s="15"/>
      <c r="D37" s="15"/>
      <c r="E37" s="15"/>
      <c r="F37" s="15"/>
      <c r="G37" s="15"/>
      <c r="H37" s="15"/>
    </row>
    <row r="38" customFormat="false" ht="18.75" hidden="false" customHeight="true" outlineLevel="0" collapsed="false">
      <c r="A38" s="11" t="s">
        <v>495</v>
      </c>
      <c r="B38" s="11"/>
      <c r="C38" s="11"/>
      <c r="D38" s="11"/>
      <c r="E38" s="11"/>
      <c r="F38" s="11"/>
      <c r="G38" s="11"/>
      <c r="H38" s="11"/>
    </row>
    <row r="39" customFormat="false" ht="31.5" hidden="false" customHeight="true" outlineLevel="0" collapsed="false">
      <c r="A39" s="13" t="s">
        <v>92</v>
      </c>
      <c r="B39" s="13" t="s">
        <v>460</v>
      </c>
      <c r="C39" s="13" t="s">
        <v>461</v>
      </c>
      <c r="D39" s="13" t="s">
        <v>462</v>
      </c>
      <c r="E39" s="13" t="s">
        <v>463</v>
      </c>
      <c r="F39" s="43" t="s">
        <v>434</v>
      </c>
      <c r="G39" s="13" t="s">
        <v>435</v>
      </c>
      <c r="H39" s="13" t="s">
        <v>464</v>
      </c>
    </row>
    <row r="40" customFormat="false" ht="51.75" hidden="false" customHeight="true" outlineLevel="0" collapsed="false">
      <c r="A40" s="16" t="s">
        <v>230</v>
      </c>
      <c r="B40" s="17" t="s">
        <v>496</v>
      </c>
      <c r="C40" s="19" t="s">
        <v>497</v>
      </c>
      <c r="D40" s="47" t="n">
        <v>0.15</v>
      </c>
      <c r="E40" s="18" t="n">
        <v>75628.803</v>
      </c>
      <c r="F40" s="20" t="n">
        <f aca="false">'Build-Up'!$F$76+'Build-Up'!$F$77+'Build-Up'!$F$78+'Build-Up'!$F$79</f>
        <v>66520</v>
      </c>
      <c r="G40" s="18" t="n">
        <f aca="false">E40-F40</f>
        <v>9108.803</v>
      </c>
      <c r="H40" s="19" t="s">
        <v>498</v>
      </c>
    </row>
    <row r="41" customFormat="false" ht="78" hidden="false" customHeight="true" outlineLevel="0" collapsed="false">
      <c r="A41" s="16" t="s">
        <v>233</v>
      </c>
      <c r="B41" s="17" t="s">
        <v>499</v>
      </c>
      <c r="C41" s="19" t="s">
        <v>500</v>
      </c>
      <c r="D41" s="47" t="n">
        <v>0.25</v>
      </c>
      <c r="E41" s="18" t="n">
        <v>126048.005</v>
      </c>
      <c r="F41" s="20" t="n">
        <f aca="false">'Build-Up'!$F$75</f>
        <v>42300</v>
      </c>
      <c r="G41" s="18" t="n">
        <f aca="false">E41-F41</f>
        <v>83748.005</v>
      </c>
      <c r="H41" s="19" t="s">
        <v>501</v>
      </c>
    </row>
    <row r="42" customFormat="false" ht="39" hidden="false" customHeight="true" outlineLevel="0" collapsed="false">
      <c r="A42" s="16" t="s">
        <v>236</v>
      </c>
      <c r="B42" s="17" t="s">
        <v>502</v>
      </c>
      <c r="C42" s="19" t="s">
        <v>503</v>
      </c>
      <c r="D42" s="47" t="n">
        <v>0.12</v>
      </c>
      <c r="E42" s="18" t="n">
        <v>60503.0424</v>
      </c>
      <c r="F42" s="20" t="n">
        <f aca="false">'Build-Up'!$F$74</f>
        <v>56400</v>
      </c>
      <c r="G42" s="18" t="n">
        <f aca="false">E42-F42</f>
        <v>4103.0424</v>
      </c>
      <c r="H42" s="19" t="s">
        <v>504</v>
      </c>
    </row>
    <row r="43" customFormat="false" ht="129.75" hidden="false" customHeight="true" outlineLevel="0" collapsed="false">
      <c r="A43" s="16" t="s">
        <v>240</v>
      </c>
      <c r="B43" s="17" t="s">
        <v>505</v>
      </c>
      <c r="C43" s="19" t="s">
        <v>506</v>
      </c>
      <c r="D43" s="47" t="n">
        <v>0.1</v>
      </c>
      <c r="E43" s="18" t="n">
        <v>50419.202</v>
      </c>
      <c r="F43" s="20" t="n">
        <f aca="false">'Build-Up'!$F$80+'Build-Up'!$F$81+'Build-Up'!$F$88</f>
        <v>69200</v>
      </c>
      <c r="G43" s="18" t="n">
        <f aca="false">E43-F43</f>
        <v>-18780.798</v>
      </c>
      <c r="H43" s="19" t="s">
        <v>507</v>
      </c>
    </row>
    <row r="44" customFormat="false" ht="39" hidden="false" customHeight="true" outlineLevel="0" collapsed="false">
      <c r="A44" s="16" t="s">
        <v>244</v>
      </c>
      <c r="B44" s="17" t="s">
        <v>508</v>
      </c>
      <c r="C44" s="19" t="s">
        <v>509</v>
      </c>
      <c r="D44" s="47" t="n">
        <v>0.1</v>
      </c>
      <c r="E44" s="18" t="n">
        <v>50419.202</v>
      </c>
      <c r="F44" s="20" t="n">
        <f aca="false">'Build-Up'!$F$82</f>
        <v>12300</v>
      </c>
      <c r="G44" s="18" t="n">
        <f aca="false">E44-F44</f>
        <v>38119.202</v>
      </c>
      <c r="H44" s="19" t="s">
        <v>510</v>
      </c>
    </row>
    <row r="45" customFormat="false" ht="42" hidden="false" customHeight="true" outlineLevel="0" collapsed="false">
      <c r="A45" s="16" t="s">
        <v>246</v>
      </c>
      <c r="B45" s="17" t="s">
        <v>511</v>
      </c>
      <c r="C45" s="19" t="s">
        <v>512</v>
      </c>
      <c r="D45" s="47" t="n">
        <v>0.08</v>
      </c>
      <c r="E45" s="18" t="n">
        <v>40335.3616</v>
      </c>
      <c r="F45" s="20" t="n">
        <f aca="false">'Build-Up'!$F$84+'Build-Up'!$F$85+'Build-Up'!$F$86</f>
        <v>12750</v>
      </c>
      <c r="G45" s="18" t="n">
        <f aca="false">E45-F45</f>
        <v>27585.3616</v>
      </c>
      <c r="H45" s="19" t="s">
        <v>513</v>
      </c>
    </row>
    <row r="46" customFormat="false" ht="42" hidden="false" customHeight="true" outlineLevel="0" collapsed="false">
      <c r="A46" s="16" t="s">
        <v>250</v>
      </c>
      <c r="B46" s="17" t="s">
        <v>514</v>
      </c>
      <c r="C46" s="19" t="s">
        <v>515</v>
      </c>
      <c r="D46" s="47" t="n">
        <v>0.12</v>
      </c>
      <c r="E46" s="18" t="n">
        <v>60503.0424</v>
      </c>
      <c r="F46" s="20" t="n">
        <f aca="false">'Build-Up'!$F$87</f>
        <v>5040</v>
      </c>
      <c r="G46" s="18" t="n">
        <f aca="false">E46-F46</f>
        <v>55463.0424</v>
      </c>
      <c r="H46" s="19" t="s">
        <v>516</v>
      </c>
    </row>
    <row r="47" customFormat="false" ht="30" hidden="false" customHeight="true" outlineLevel="0" collapsed="false">
      <c r="A47" s="16" t="s">
        <v>253</v>
      </c>
      <c r="B47" s="17" t="s">
        <v>517</v>
      </c>
      <c r="C47" s="19" t="s">
        <v>518</v>
      </c>
      <c r="D47" s="47" t="n">
        <v>0.08</v>
      </c>
      <c r="E47" s="18" t="n">
        <v>40335.3616</v>
      </c>
      <c r="F47" s="20" t="n">
        <v>0</v>
      </c>
      <c r="G47" s="18" t="n">
        <f aca="false">E47-F47</f>
        <v>40335.3616</v>
      </c>
      <c r="H47" s="19" t="s">
        <v>519</v>
      </c>
    </row>
    <row r="48" customFormat="false" ht="42" hidden="false" customHeight="true" outlineLevel="0" collapsed="false">
      <c r="A48" s="16"/>
      <c r="B48" s="17" t="s">
        <v>520</v>
      </c>
      <c r="C48" s="19"/>
      <c r="D48" s="47"/>
      <c r="E48" s="18" t="n">
        <v>0</v>
      </c>
      <c r="F48" s="20" t="n">
        <f aca="false">'Build-Up'!$F$83</f>
        <v>31500</v>
      </c>
      <c r="G48" s="18" t="n">
        <f aca="false">E48-F48</f>
        <v>-31500</v>
      </c>
      <c r="H48" s="19" t="s">
        <v>521</v>
      </c>
    </row>
    <row r="49" customFormat="false" ht="27" hidden="false" customHeight="true" outlineLevel="0" collapsed="false">
      <c r="A49" s="23"/>
      <c r="B49" s="23" t="s">
        <v>491</v>
      </c>
      <c r="C49" s="23"/>
      <c r="D49" s="23"/>
      <c r="E49" s="24" t="n">
        <f aca="false">SUM(E40:E48)</f>
        <v>504192.02</v>
      </c>
      <c r="F49" s="25" t="n">
        <f aca="false">SUM(F40:F48)</f>
        <v>296010</v>
      </c>
      <c r="G49" s="24" t="n">
        <f aca="false">E49-F49</f>
        <v>208182.02</v>
      </c>
      <c r="H49" s="48" t="s">
        <v>522</v>
      </c>
    </row>
    <row r="51" customFormat="false" ht="21" hidden="false" customHeight="true" outlineLevel="0" collapsed="false">
      <c r="A51" s="15" t="s">
        <v>523</v>
      </c>
      <c r="B51" s="15"/>
      <c r="C51" s="15"/>
      <c r="D51" s="15"/>
      <c r="E51" s="15"/>
      <c r="F51" s="15"/>
      <c r="G51" s="15"/>
      <c r="H51" s="15"/>
    </row>
    <row r="52" customFormat="false" ht="31.5" hidden="false" customHeight="true" outlineLevel="0" collapsed="false">
      <c r="A52" s="11" t="s">
        <v>524</v>
      </c>
      <c r="B52" s="11"/>
      <c r="C52" s="11"/>
      <c r="D52" s="11"/>
      <c r="E52" s="11"/>
      <c r="F52" s="11"/>
      <c r="G52" s="11"/>
      <c r="H52" s="11"/>
    </row>
    <row r="53" customFormat="false" ht="31.5" hidden="false" customHeight="true" outlineLevel="0" collapsed="false">
      <c r="A53" s="13" t="s">
        <v>92</v>
      </c>
      <c r="B53" s="13" t="s">
        <v>460</v>
      </c>
      <c r="C53" s="13" t="s">
        <v>461</v>
      </c>
      <c r="D53" s="13" t="s">
        <v>462</v>
      </c>
      <c r="E53" s="13" t="s">
        <v>463</v>
      </c>
      <c r="F53" s="43" t="s">
        <v>434</v>
      </c>
      <c r="G53" s="13" t="s">
        <v>435</v>
      </c>
      <c r="H53" s="13" t="s">
        <v>464</v>
      </c>
    </row>
    <row r="54" customFormat="false" ht="78" hidden="false" customHeight="true" outlineLevel="0" collapsed="false">
      <c r="A54" s="16" t="s">
        <v>284</v>
      </c>
      <c r="B54" s="17" t="s">
        <v>525</v>
      </c>
      <c r="C54" s="19" t="s">
        <v>526</v>
      </c>
      <c r="D54" s="47" t="n">
        <v>0.3</v>
      </c>
      <c r="E54" s="18" t="n">
        <v>127920</v>
      </c>
      <c r="F54" s="20" t="n">
        <f aca="false">'Build-Up'!$F$100+'Build-Up'!$F$101+'Build-Up'!$F$102+'Build-Up'!$F$103+'Build-Up'!$F$104+'Build-Up'!$F$105+'Build-Up'!$F$106+'Build-Up'!$F$107+'Build-Up'!$F$108+'Build-Up'!$F$109+'Build-Up'!$F$110+'Build-Up'!$F$111+'Build-Up'!$F$121</f>
        <v>61306</v>
      </c>
      <c r="G54" s="18" t="n">
        <f aca="false">E54-F54</f>
        <v>66614</v>
      </c>
      <c r="H54" s="19" t="s">
        <v>527</v>
      </c>
    </row>
    <row r="55" customFormat="false" ht="54.75" hidden="false" customHeight="true" outlineLevel="0" collapsed="false">
      <c r="A55" s="16" t="s">
        <v>287</v>
      </c>
      <c r="B55" s="17" t="s">
        <v>528</v>
      </c>
      <c r="C55" s="19" t="s">
        <v>529</v>
      </c>
      <c r="D55" s="47" t="n">
        <v>0.2</v>
      </c>
      <c r="E55" s="18" t="n">
        <v>85280</v>
      </c>
      <c r="F55" s="20" t="n">
        <f aca="false">'Build-Up'!$F$114+'Build-Up'!$F$116+'Build-Up'!$F$117+'Build-Up'!$F$118</f>
        <v>12000</v>
      </c>
      <c r="G55" s="18" t="n">
        <f aca="false">E55-F55</f>
        <v>73280</v>
      </c>
      <c r="H55" s="19" t="s">
        <v>530</v>
      </c>
    </row>
    <row r="56" customFormat="false" ht="42" hidden="false" customHeight="true" outlineLevel="0" collapsed="false">
      <c r="A56" s="16" t="s">
        <v>290</v>
      </c>
      <c r="B56" s="17" t="s">
        <v>531</v>
      </c>
      <c r="C56" s="19" t="s">
        <v>532</v>
      </c>
      <c r="D56" s="47" t="n">
        <v>0.15</v>
      </c>
      <c r="E56" s="18" t="n">
        <v>63960</v>
      </c>
      <c r="F56" s="20" t="n">
        <f aca="false">'Build-Up'!$F$113+'Build-Up'!$F$115</f>
        <v>9800</v>
      </c>
      <c r="G56" s="18" t="n">
        <f aca="false">E56-F56</f>
        <v>54160</v>
      </c>
      <c r="H56" s="19" t="s">
        <v>533</v>
      </c>
    </row>
    <row r="57" customFormat="false" ht="64.5" hidden="false" customHeight="true" outlineLevel="0" collapsed="false">
      <c r="A57" s="16" t="s">
        <v>293</v>
      </c>
      <c r="B57" s="17" t="s">
        <v>534</v>
      </c>
      <c r="C57" s="19" t="s">
        <v>532</v>
      </c>
      <c r="D57" s="47" t="n">
        <v>0.2</v>
      </c>
      <c r="E57" s="18" t="n">
        <v>85280</v>
      </c>
      <c r="F57" s="20" t="n">
        <f aca="false">'Build-Up'!$F$112</f>
        <v>16000</v>
      </c>
      <c r="G57" s="18" t="n">
        <f aca="false">E57-F57</f>
        <v>69280</v>
      </c>
      <c r="H57" s="19" t="s">
        <v>535</v>
      </c>
    </row>
    <row r="58" customFormat="false" ht="50.25" hidden="false" customHeight="true" outlineLevel="0" collapsed="false">
      <c r="A58" s="16" t="s">
        <v>296</v>
      </c>
      <c r="B58" s="17" t="s">
        <v>536</v>
      </c>
      <c r="C58" s="19" t="s">
        <v>537</v>
      </c>
      <c r="D58" s="47" t="n">
        <v>0.15</v>
      </c>
      <c r="E58" s="18" t="n">
        <v>63960</v>
      </c>
      <c r="F58" s="20" t="n">
        <f aca="false">'Build-Up'!$F$119+'Build-Up'!$F$120</f>
        <v>10000</v>
      </c>
      <c r="G58" s="18" t="n">
        <f aca="false">E58-F58</f>
        <v>53960</v>
      </c>
      <c r="H58" s="19" t="s">
        <v>538</v>
      </c>
    </row>
    <row r="59" customFormat="false" ht="27" hidden="false" customHeight="true" outlineLevel="0" collapsed="false">
      <c r="A59" s="23"/>
      <c r="B59" s="23" t="s">
        <v>491</v>
      </c>
      <c r="C59" s="23"/>
      <c r="D59" s="23"/>
      <c r="E59" s="24" t="n">
        <f aca="false">SUM(E54:E58)</f>
        <v>426400</v>
      </c>
      <c r="F59" s="25" t="n">
        <f aca="false">SUM(F54:F58)</f>
        <v>109106</v>
      </c>
      <c r="G59" s="24" t="n">
        <f aca="false">E59-F59</f>
        <v>317294</v>
      </c>
      <c r="H59" s="48" t="s">
        <v>539</v>
      </c>
    </row>
    <row r="61" customFormat="false" ht="21" hidden="false" customHeight="true" outlineLevel="0" collapsed="false">
      <c r="A61" s="15" t="s">
        <v>540</v>
      </c>
      <c r="B61" s="15"/>
      <c r="C61" s="15"/>
      <c r="D61" s="15"/>
      <c r="E61" s="15"/>
      <c r="F61" s="15"/>
      <c r="G61" s="15"/>
      <c r="H61" s="15"/>
    </row>
    <row r="62" customFormat="false" ht="45" hidden="false" customHeight="true" outlineLevel="0" collapsed="false">
      <c r="A62" s="11" t="s">
        <v>541</v>
      </c>
      <c r="B62" s="11"/>
      <c r="C62" s="11"/>
      <c r="D62" s="11"/>
      <c r="E62" s="11"/>
      <c r="F62" s="11"/>
      <c r="G62" s="11"/>
      <c r="H62" s="11"/>
    </row>
    <row r="63" customFormat="false" ht="31.5" hidden="false" customHeight="true" outlineLevel="0" collapsed="false">
      <c r="A63" s="13" t="s">
        <v>92</v>
      </c>
      <c r="B63" s="13" t="s">
        <v>460</v>
      </c>
      <c r="C63" s="13" t="s">
        <v>461</v>
      </c>
      <c r="D63" s="13" t="s">
        <v>462</v>
      </c>
      <c r="E63" s="13" t="s">
        <v>463</v>
      </c>
      <c r="F63" s="43" t="s">
        <v>434</v>
      </c>
      <c r="G63" s="13" t="s">
        <v>435</v>
      </c>
      <c r="H63" s="13" t="s">
        <v>464</v>
      </c>
    </row>
    <row r="64" customFormat="false" ht="64.5" hidden="false" customHeight="true" outlineLevel="0" collapsed="false">
      <c r="A64" s="16" t="s">
        <v>349</v>
      </c>
      <c r="B64" s="17" t="s">
        <v>542</v>
      </c>
      <c r="C64" s="19" t="s">
        <v>543</v>
      </c>
      <c r="D64" s="47" t="n">
        <v>0.3</v>
      </c>
      <c r="E64" s="18" t="n">
        <v>126000</v>
      </c>
      <c r="F64" s="20" t="n">
        <f aca="false">'Build-Up'!$F$129+'Build-Up'!$F$130+'Build-Up'!$F$132+'Build-Up'!$F$133+'Build-Up'!$F$134</f>
        <v>107200</v>
      </c>
      <c r="G64" s="18" t="n">
        <f aca="false">E64-F64</f>
        <v>18800</v>
      </c>
      <c r="H64" s="19" t="s">
        <v>544</v>
      </c>
    </row>
    <row r="65" customFormat="false" ht="39" hidden="false" customHeight="true" outlineLevel="0" collapsed="false">
      <c r="A65" s="16" t="s">
        <v>353</v>
      </c>
      <c r="B65" s="17" t="s">
        <v>545</v>
      </c>
      <c r="C65" s="19" t="s">
        <v>546</v>
      </c>
      <c r="D65" s="47" t="n">
        <v>0.18</v>
      </c>
      <c r="E65" s="18" t="n">
        <v>75600</v>
      </c>
      <c r="F65" s="20" t="n">
        <f aca="false">'Build-Up'!$F$131</f>
        <v>55000</v>
      </c>
      <c r="G65" s="18" t="n">
        <f aca="false">E65-F65</f>
        <v>20600</v>
      </c>
      <c r="H65" s="19" t="s">
        <v>547</v>
      </c>
    </row>
    <row r="66" customFormat="false" ht="39" hidden="false" customHeight="true" outlineLevel="0" collapsed="false">
      <c r="A66" s="16" t="s">
        <v>356</v>
      </c>
      <c r="B66" s="17" t="s">
        <v>548</v>
      </c>
      <c r="C66" s="19" t="s">
        <v>546</v>
      </c>
      <c r="D66" s="47" t="n">
        <v>0.12</v>
      </c>
      <c r="E66" s="18" t="n">
        <v>50400</v>
      </c>
      <c r="F66" s="20" t="n">
        <f aca="false">'Build-Up'!$F$135+'Build-Up'!$F$136</f>
        <v>15000</v>
      </c>
      <c r="G66" s="18" t="n">
        <f aca="false">E66-F66</f>
        <v>35400</v>
      </c>
      <c r="H66" s="19" t="s">
        <v>549</v>
      </c>
    </row>
    <row r="67" customFormat="false" ht="64.5" hidden="false" customHeight="true" outlineLevel="0" collapsed="false">
      <c r="A67" s="16" t="s">
        <v>359</v>
      </c>
      <c r="B67" s="17" t="s">
        <v>550</v>
      </c>
      <c r="C67" s="19" t="s">
        <v>551</v>
      </c>
      <c r="D67" s="47" t="n">
        <v>0.2</v>
      </c>
      <c r="E67" s="18" t="n">
        <v>84000</v>
      </c>
      <c r="F67" s="20" t="n">
        <f aca="false">'Build-Up'!$F$142+'Build-Up'!$F$143</f>
        <v>20000</v>
      </c>
      <c r="G67" s="18" t="n">
        <f aca="false">E67-F67</f>
        <v>64000</v>
      </c>
      <c r="H67" s="19" t="s">
        <v>552</v>
      </c>
    </row>
    <row r="68" customFormat="false" ht="51.75" hidden="false" customHeight="true" outlineLevel="0" collapsed="false">
      <c r="A68" s="16" t="s">
        <v>361</v>
      </c>
      <c r="B68" s="17" t="s">
        <v>553</v>
      </c>
      <c r="C68" s="19" t="s">
        <v>554</v>
      </c>
      <c r="D68" s="47" t="n">
        <v>0.15</v>
      </c>
      <c r="E68" s="18" t="n">
        <v>63000</v>
      </c>
      <c r="F68" s="20" t="n">
        <f aca="false">'Build-Up'!$F$137+'Build-Up'!$F$138+'Build-Up'!$F$139+'Build-Up'!$F$140+'Build-Up'!$F$141+'Build-Up'!$F$144+'Build-Up'!$F$145+'Build-Up'!$F$146+'Build-Up'!$F$147</f>
        <v>40000</v>
      </c>
      <c r="G68" s="18" t="n">
        <f aca="false">E68-F68</f>
        <v>23000</v>
      </c>
      <c r="H68" s="19" t="s">
        <v>555</v>
      </c>
    </row>
    <row r="69" customFormat="false" ht="42" hidden="false" customHeight="true" outlineLevel="0" collapsed="false">
      <c r="A69" s="16" t="s">
        <v>363</v>
      </c>
      <c r="B69" s="17" t="s">
        <v>556</v>
      </c>
      <c r="C69" s="19" t="s">
        <v>546</v>
      </c>
      <c r="D69" s="47" t="n">
        <v>0.05</v>
      </c>
      <c r="E69" s="18" t="n">
        <v>21000</v>
      </c>
      <c r="F69" s="20" t="n">
        <f aca="false">'Build-Up'!$F$148+'Build-Up'!$F$149</f>
        <v>8000</v>
      </c>
      <c r="G69" s="18" t="n">
        <f aca="false">E69-F69</f>
        <v>13000</v>
      </c>
      <c r="H69" s="19" t="s">
        <v>557</v>
      </c>
    </row>
    <row r="70" customFormat="false" ht="27" hidden="false" customHeight="true" outlineLevel="0" collapsed="false">
      <c r="A70" s="23"/>
      <c r="B70" s="23" t="s">
        <v>491</v>
      </c>
      <c r="C70" s="23"/>
      <c r="D70" s="23"/>
      <c r="E70" s="24" t="n">
        <f aca="false">SUM(E64:E69)</f>
        <v>420000</v>
      </c>
      <c r="F70" s="25" t="n">
        <f aca="false">SUM(F64:F69)</f>
        <v>245200</v>
      </c>
      <c r="G70" s="24" t="n">
        <f aca="false">E70-F70</f>
        <v>174800</v>
      </c>
      <c r="H70" s="48" t="s">
        <v>558</v>
      </c>
    </row>
    <row r="72" customFormat="false" ht="21" hidden="false" customHeight="true" outlineLevel="0" collapsed="false">
      <c r="A72" s="15" t="s">
        <v>559</v>
      </c>
      <c r="B72" s="15"/>
      <c r="C72" s="15"/>
      <c r="D72" s="15"/>
      <c r="E72" s="15"/>
      <c r="F72" s="15"/>
      <c r="G72" s="15"/>
      <c r="H72" s="15"/>
    </row>
    <row r="73" customFormat="false" ht="45" hidden="false" customHeight="true" outlineLevel="0" collapsed="false">
      <c r="A73" s="11" t="s">
        <v>560</v>
      </c>
      <c r="B73" s="11"/>
      <c r="C73" s="11"/>
      <c r="D73" s="11"/>
      <c r="E73" s="11"/>
      <c r="F73" s="11"/>
      <c r="G73" s="11"/>
      <c r="H73" s="11"/>
    </row>
    <row r="74" customFormat="false" ht="31.5" hidden="false" customHeight="true" outlineLevel="0" collapsed="false">
      <c r="A74" s="13" t="s">
        <v>561</v>
      </c>
      <c r="B74" s="13" t="s">
        <v>562</v>
      </c>
      <c r="C74" s="13" t="s">
        <v>563</v>
      </c>
      <c r="D74" s="13"/>
      <c r="E74" s="13"/>
      <c r="F74" s="13"/>
      <c r="G74" s="13"/>
      <c r="H74" s="13" t="s">
        <v>564</v>
      </c>
    </row>
    <row r="75" customFormat="false" ht="30" hidden="false" customHeight="true" outlineLevel="0" collapsed="false">
      <c r="A75" s="16" t="s">
        <v>437</v>
      </c>
      <c r="B75" s="17" t="s">
        <v>565</v>
      </c>
      <c r="C75" s="49" t="s">
        <v>566</v>
      </c>
      <c r="D75" s="49"/>
      <c r="E75" s="49"/>
      <c r="F75" s="49"/>
      <c r="G75" s="49"/>
      <c r="H75" s="16" t="s">
        <v>567</v>
      </c>
    </row>
    <row r="76" customFormat="false" ht="30" hidden="false" customHeight="true" outlineLevel="0" collapsed="false">
      <c r="A76" s="16" t="s">
        <v>568</v>
      </c>
      <c r="B76" s="17" t="s">
        <v>569</v>
      </c>
      <c r="C76" s="49" t="s">
        <v>570</v>
      </c>
      <c r="D76" s="49"/>
      <c r="E76" s="49"/>
      <c r="F76" s="49"/>
      <c r="G76" s="49"/>
      <c r="H76" s="16" t="s">
        <v>571</v>
      </c>
    </row>
    <row r="77" customFormat="false" ht="30" hidden="false" customHeight="true" outlineLevel="0" collapsed="false">
      <c r="A77" s="16" t="s">
        <v>572</v>
      </c>
      <c r="B77" s="17" t="s">
        <v>573</v>
      </c>
      <c r="C77" s="49" t="s">
        <v>570</v>
      </c>
      <c r="D77" s="49"/>
      <c r="E77" s="49"/>
      <c r="F77" s="49"/>
      <c r="G77" s="49"/>
      <c r="H77" s="16" t="s">
        <v>571</v>
      </c>
    </row>
    <row r="78" customFormat="false" ht="39.75" hidden="false" customHeight="true" outlineLevel="0" collapsed="false">
      <c r="A78" s="16" t="s">
        <v>574</v>
      </c>
      <c r="B78" s="17" t="s">
        <v>575</v>
      </c>
      <c r="C78" s="49" t="s">
        <v>570</v>
      </c>
      <c r="D78" s="49"/>
      <c r="E78" s="49"/>
      <c r="F78" s="49"/>
      <c r="G78" s="49"/>
      <c r="H78" s="16" t="s">
        <v>576</v>
      </c>
    </row>
    <row r="79" customFormat="false" ht="30" hidden="false" customHeight="true" outlineLevel="0" collapsed="false">
      <c r="A79" s="16" t="s">
        <v>440</v>
      </c>
      <c r="B79" s="17" t="s">
        <v>577</v>
      </c>
      <c r="C79" s="50" t="s">
        <v>578</v>
      </c>
      <c r="D79" s="51"/>
      <c r="E79" s="51"/>
      <c r="F79" s="51"/>
      <c r="G79" s="52"/>
      <c r="H79" s="16" t="s">
        <v>567</v>
      </c>
    </row>
    <row r="80" customFormat="false" ht="30" hidden="false" customHeight="true" outlineLevel="0" collapsed="false">
      <c r="A80" s="16" t="s">
        <v>579</v>
      </c>
      <c r="B80" s="17" t="s">
        <v>580</v>
      </c>
      <c r="C80" s="50" t="s">
        <v>578</v>
      </c>
      <c r="D80" s="51"/>
      <c r="E80" s="51"/>
      <c r="F80" s="51"/>
      <c r="G80" s="52"/>
      <c r="H80" s="16" t="s">
        <v>581</v>
      </c>
    </row>
    <row r="81" customFormat="false" ht="30" hidden="false" customHeight="true" outlineLevel="0" collapsed="false">
      <c r="A81" s="16" t="s">
        <v>443</v>
      </c>
      <c r="B81" s="17" t="s">
        <v>582</v>
      </c>
      <c r="C81" s="50" t="s">
        <v>578</v>
      </c>
      <c r="D81" s="51"/>
      <c r="E81" s="51"/>
      <c r="F81" s="51"/>
      <c r="G81" s="52"/>
      <c r="H81" s="16" t="s">
        <v>581</v>
      </c>
    </row>
    <row r="82" customFormat="false" ht="30" hidden="false" customHeight="true" outlineLevel="0" collapsed="false">
      <c r="A82" s="16" t="s">
        <v>446</v>
      </c>
      <c r="B82" s="17" t="s">
        <v>583</v>
      </c>
      <c r="C82" s="50" t="s">
        <v>578</v>
      </c>
      <c r="D82" s="51"/>
      <c r="E82" s="51"/>
      <c r="F82" s="51"/>
      <c r="G82" s="52"/>
      <c r="H82" s="16" t="s">
        <v>567</v>
      </c>
    </row>
    <row r="83" customFormat="false" ht="30" hidden="false" customHeight="true" outlineLevel="0" collapsed="false">
      <c r="A83" s="16" t="s">
        <v>584</v>
      </c>
      <c r="B83" s="17" t="s">
        <v>585</v>
      </c>
      <c r="C83" s="50" t="s">
        <v>578</v>
      </c>
      <c r="D83" s="51"/>
      <c r="E83" s="51"/>
      <c r="F83" s="51"/>
      <c r="G83" s="52"/>
      <c r="H83" s="16" t="s">
        <v>586</v>
      </c>
    </row>
    <row r="84" customFormat="false" ht="54.75" hidden="false" customHeight="true" outlineLevel="0" collapsed="false">
      <c r="A84" s="16" t="n">
        <v>10</v>
      </c>
      <c r="B84" s="17" t="s">
        <v>587</v>
      </c>
      <c r="C84" s="49" t="s">
        <v>578</v>
      </c>
      <c r="D84" s="49"/>
      <c r="E84" s="49"/>
      <c r="F84" s="49"/>
      <c r="G84" s="49"/>
      <c r="H84" s="16" t="s">
        <v>588</v>
      </c>
    </row>
    <row r="85" customFormat="false" ht="54.75" hidden="false" customHeight="true" outlineLevel="0" collapsed="false">
      <c r="A85" s="16" t="n">
        <v>11</v>
      </c>
      <c r="B85" s="17" t="s">
        <v>589</v>
      </c>
      <c r="C85" s="49" t="s">
        <v>578</v>
      </c>
      <c r="D85" s="49"/>
      <c r="E85" s="49"/>
      <c r="F85" s="49"/>
      <c r="G85" s="49"/>
      <c r="H85" s="16" t="s">
        <v>588</v>
      </c>
    </row>
    <row r="86" customFormat="false" ht="67.5" hidden="false" customHeight="true" outlineLevel="0" collapsed="false">
      <c r="A86" s="16" t="n">
        <v>12</v>
      </c>
      <c r="B86" s="17" t="s">
        <v>590</v>
      </c>
      <c r="C86" s="49" t="s">
        <v>578</v>
      </c>
      <c r="D86" s="49"/>
      <c r="E86" s="49"/>
      <c r="F86" s="49"/>
      <c r="G86" s="49"/>
      <c r="H86" s="16" t="s">
        <v>588</v>
      </c>
    </row>
    <row r="87" customFormat="false" ht="67.5" hidden="false" customHeight="true" outlineLevel="0" collapsed="false">
      <c r="A87" s="16" t="n">
        <v>13</v>
      </c>
      <c r="B87" s="17" t="s">
        <v>591</v>
      </c>
      <c r="C87" s="49" t="s">
        <v>578</v>
      </c>
      <c r="D87" s="49"/>
      <c r="E87" s="49"/>
      <c r="F87" s="49"/>
      <c r="G87" s="49"/>
      <c r="H87" s="16" t="s">
        <v>588</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6,959,217.89 excluding VAT against the Contractor's proposal of SAR 8,110,296.62 excluding VAT.</v>
      </c>
      <c r="B89" s="53"/>
      <c r="C89" s="53"/>
      <c r="D89" s="53"/>
      <c r="E89" s="53"/>
      <c r="F89" s="53"/>
      <c r="G89" s="53"/>
      <c r="H89" s="53"/>
    </row>
    <row r="91" customFormat="false" ht="21" hidden="false" customHeight="true" outlineLevel="0" collapsed="false">
      <c r="A91" s="15" t="s">
        <v>592</v>
      </c>
      <c r="B91" s="15"/>
      <c r="C91" s="15"/>
      <c r="D91" s="15"/>
      <c r="E91" s="15"/>
      <c r="F91" s="15"/>
      <c r="G91" s="15"/>
      <c r="H91" s="15"/>
    </row>
    <row r="92" customFormat="false" ht="43.5" hidden="false" customHeight="true" outlineLevel="0" collapsed="false">
      <c r="A92" s="11" t="s">
        <v>593</v>
      </c>
      <c r="B92" s="11"/>
      <c r="C92" s="11"/>
      <c r="D92" s="11"/>
      <c r="E92" s="11"/>
      <c r="F92" s="11"/>
      <c r="G92" s="11"/>
      <c r="H92" s="11"/>
    </row>
    <row r="93" customFormat="false" ht="43.5" hidden="false" customHeight="true" outlineLevel="0" collapsed="false">
      <c r="A93" s="13" t="s">
        <v>35</v>
      </c>
      <c r="B93" s="13" t="s">
        <v>594</v>
      </c>
      <c r="C93" s="13" t="s">
        <v>595</v>
      </c>
      <c r="D93" s="13"/>
      <c r="E93" s="13" t="s">
        <v>433</v>
      </c>
      <c r="F93" s="43" t="s">
        <v>596</v>
      </c>
      <c r="G93" s="13" t="s">
        <v>597</v>
      </c>
      <c r="H93" s="13" t="s">
        <v>598</v>
      </c>
    </row>
    <row r="94" customFormat="false" ht="67.5" hidden="false" customHeight="true" outlineLevel="0" collapsed="false">
      <c r="A94" s="16" t="s">
        <v>437</v>
      </c>
      <c r="B94" s="17" t="s">
        <v>599</v>
      </c>
      <c r="C94" s="49" t="s">
        <v>600</v>
      </c>
      <c r="D94" s="49"/>
      <c r="E94" s="18" t="n">
        <f aca="false">Assessment!$F$8</f>
        <v>680000</v>
      </c>
      <c r="F94" s="20" t="n">
        <v>714000</v>
      </c>
      <c r="G94" s="18" t="n">
        <f aca="false">ROUND(F94/1.05,2)</f>
        <v>680000</v>
      </c>
      <c r="H94" s="19" t="s">
        <v>601</v>
      </c>
    </row>
    <row r="95" customFormat="false" ht="30" hidden="false" customHeight="true" outlineLevel="0" collapsed="false">
      <c r="A95" s="16" t="s">
        <v>568</v>
      </c>
      <c r="B95" s="17" t="s">
        <v>602</v>
      </c>
      <c r="C95" s="49" t="s">
        <v>603</v>
      </c>
      <c r="D95" s="49"/>
      <c r="E95" s="18" t="n">
        <f aca="false">Assessment!$F$10</f>
        <v>85000</v>
      </c>
      <c r="F95" s="20" t="n">
        <v>89250</v>
      </c>
      <c r="G95" s="18" t="n">
        <f aca="false">ROUND(F95/1.05,2)</f>
        <v>85000</v>
      </c>
      <c r="H95" s="19" t="s">
        <v>604</v>
      </c>
    </row>
    <row r="96" customFormat="false" ht="30" hidden="false" customHeight="true" outlineLevel="0" collapsed="false">
      <c r="A96" s="16" t="s">
        <v>605</v>
      </c>
      <c r="B96" s="17" t="s">
        <v>606</v>
      </c>
      <c r="C96" s="49" t="s">
        <v>607</v>
      </c>
      <c r="D96" s="49"/>
      <c r="E96" s="18" t="n">
        <f aca="false">Assessment!$F$12+Assessment!$F$13</f>
        <v>81500</v>
      </c>
      <c r="F96" s="20" t="n">
        <v>85575</v>
      </c>
      <c r="G96" s="18" t="n">
        <f aca="false">ROUND(F96/1.05,2)</f>
        <v>81500</v>
      </c>
      <c r="H96" s="19" t="s">
        <v>608</v>
      </c>
    </row>
    <row r="97" customFormat="false" ht="80.25" hidden="false" customHeight="true" outlineLevel="0" collapsed="false">
      <c r="A97" s="16" t="s">
        <v>609</v>
      </c>
      <c r="B97" s="17" t="s">
        <v>610</v>
      </c>
      <c r="C97" s="49" t="s">
        <v>611</v>
      </c>
      <c r="D97" s="49"/>
      <c r="E97" s="18" t="n">
        <f aca="false">Assessment!$F$14+Assessment!$F$16+Assessment!$F$17+Assessment!$F$18</f>
        <v>6877592.02</v>
      </c>
      <c r="F97" s="20" t="n">
        <v>7221471.62</v>
      </c>
      <c r="G97" s="18" t="n">
        <f aca="false">ROUND(F97/1.05,2)</f>
        <v>6877592.02</v>
      </c>
      <c r="H97" s="19" t="s">
        <v>612</v>
      </c>
    </row>
    <row r="98" customFormat="false" ht="80.25" hidden="false" customHeight="true" outlineLevel="0" collapsed="false">
      <c r="A98" s="16" t="s">
        <v>443</v>
      </c>
      <c r="B98" s="17" t="s">
        <v>613</v>
      </c>
      <c r="C98" s="49" t="s">
        <v>614</v>
      </c>
      <c r="D98" s="49"/>
      <c r="E98" s="18" t="n">
        <f aca="false">Assessment!$F$17</f>
        <v>426400</v>
      </c>
      <c r="F98" s="20" t="n">
        <v>200305.97</v>
      </c>
      <c r="G98" s="18" t="n">
        <f aca="false">ROUND(F98/1.05,2)</f>
        <v>190767.59</v>
      </c>
      <c r="H98" s="19" t="s">
        <v>615</v>
      </c>
    </row>
    <row r="99" customFormat="false" ht="27" hidden="false" customHeight="true" outlineLevel="0" collapsed="false">
      <c r="A99" s="23"/>
      <c r="B99" s="23" t="s">
        <v>616</v>
      </c>
      <c r="C99" s="23"/>
      <c r="D99" s="23"/>
      <c r="E99" s="24"/>
      <c r="F99" s="25" t="n">
        <f aca="false">SUM(F94:F97)</f>
        <v>8110296.62</v>
      </c>
      <c r="G99" s="24" t="n">
        <f aca="false">ROUND(F99/1.05,2)</f>
        <v>7724092.02</v>
      </c>
      <c r="H99" s="48" t="s">
        <v>617</v>
      </c>
    </row>
    <row r="101" customFormat="false" ht="57" hidden="false" customHeight="true" outlineLevel="0" collapsed="false">
      <c r="A101" s="11" t="s">
        <v>618</v>
      </c>
      <c r="B101" s="11"/>
      <c r="C101" s="11"/>
      <c r="D101" s="11"/>
      <c r="E101" s="11"/>
      <c r="F101" s="11"/>
      <c r="G101" s="11"/>
      <c r="H101" s="11"/>
    </row>
    <row r="102" customFormat="false" ht="21" hidden="false" customHeight="true" outlineLevel="0" collapsed="false">
      <c r="A102" s="13"/>
      <c r="B102" s="13" t="s">
        <v>619</v>
      </c>
      <c r="C102" s="13" t="s">
        <v>620</v>
      </c>
      <c r="D102" s="13"/>
      <c r="E102" s="13" t="s">
        <v>621</v>
      </c>
      <c r="F102" s="43"/>
      <c r="G102" s="13"/>
      <c r="H102" s="13" t="s">
        <v>598</v>
      </c>
    </row>
    <row r="103" customFormat="false" ht="18" hidden="false" customHeight="true" outlineLevel="0" collapsed="false">
      <c r="A103" s="16"/>
      <c r="B103" s="17" t="s">
        <v>622</v>
      </c>
      <c r="C103" s="18" t="n">
        <v>12035.96</v>
      </c>
      <c r="D103" s="18"/>
      <c r="E103" s="18" t="n">
        <f aca="false">SUM($C$103:C103)</f>
        <v>12035.96</v>
      </c>
      <c r="F103" s="20"/>
      <c r="G103" s="18"/>
      <c r="H103" s="19" t="s">
        <v>623</v>
      </c>
    </row>
    <row r="104" customFormat="false" ht="29.25" hidden="false" customHeight="true" outlineLevel="0" collapsed="false">
      <c r="A104" s="16"/>
      <c r="B104" s="17" t="s">
        <v>624</v>
      </c>
      <c r="C104" s="18" t="n">
        <v>1470052.21</v>
      </c>
      <c r="D104" s="18"/>
      <c r="E104" s="18" t="n">
        <f aca="false">SUM($C$103:C104)</f>
        <v>1482088.17</v>
      </c>
      <c r="F104" s="20"/>
      <c r="G104" s="18"/>
      <c r="H104" s="19" t="s">
        <v>625</v>
      </c>
    </row>
    <row r="105" customFormat="false" ht="18" hidden="false" customHeight="true" outlineLevel="0" collapsed="false">
      <c r="A105" s="16"/>
      <c r="B105" s="17" t="s">
        <v>626</v>
      </c>
      <c r="C105" s="18" t="n">
        <v>1005870.64</v>
      </c>
      <c r="D105" s="18"/>
      <c r="E105" s="18" t="n">
        <f aca="false">SUM($C$103:C105)</f>
        <v>2487958.81</v>
      </c>
      <c r="F105" s="20"/>
      <c r="G105" s="18"/>
      <c r="H105" s="19" t="s">
        <v>627</v>
      </c>
    </row>
    <row r="106" customFormat="false" ht="18" hidden="false" customHeight="true" outlineLevel="0" collapsed="false">
      <c r="A106" s="16"/>
      <c r="B106" s="17" t="s">
        <v>628</v>
      </c>
      <c r="C106" s="18" t="n">
        <v>2701160.67</v>
      </c>
      <c r="D106" s="18"/>
      <c r="E106" s="18" t="n">
        <f aca="false">SUM($C$103:C106)</f>
        <v>5189119.48</v>
      </c>
      <c r="F106" s="20"/>
      <c r="G106" s="18"/>
      <c r="H106" s="19" t="s">
        <v>629</v>
      </c>
    </row>
    <row r="107" customFormat="false" ht="18" hidden="false" customHeight="true" outlineLevel="0" collapsed="false">
      <c r="A107" s="16"/>
      <c r="B107" s="17" t="s">
        <v>630</v>
      </c>
      <c r="C107" s="18" t="n">
        <v>2417025.29</v>
      </c>
      <c r="D107" s="18"/>
      <c r="E107" s="18" t="n">
        <f aca="false">SUM($C$103:C107)</f>
        <v>7606144.77</v>
      </c>
      <c r="F107" s="20"/>
      <c r="G107" s="18"/>
      <c r="H107" s="19" t="s">
        <v>631</v>
      </c>
    </row>
    <row r="108" customFormat="false" ht="18" hidden="false" customHeight="true" outlineLevel="0" collapsed="false">
      <c r="A108" s="16"/>
      <c r="B108" s="17" t="s">
        <v>632</v>
      </c>
      <c r="C108" s="18" t="n">
        <v>504151.86</v>
      </c>
      <c r="D108" s="18"/>
      <c r="E108" s="18" t="n">
        <f aca="false">SUM($C$103:C108)</f>
        <v>8110296.63</v>
      </c>
      <c r="F108" s="20"/>
      <c r="G108" s="18"/>
      <c r="H108" s="19" t="s">
        <v>633</v>
      </c>
    </row>
    <row r="109" customFormat="false" ht="21.75" hidden="false" customHeight="true" outlineLevel="0" collapsed="false">
      <c r="A109" s="23"/>
      <c r="B109" s="23" t="s">
        <v>634</v>
      </c>
      <c r="C109" s="24" t="n">
        <f aca="false">SUM(C103:C108)</f>
        <v>8110296.63</v>
      </c>
      <c r="D109" s="24"/>
      <c r="E109" s="24"/>
      <c r="F109" s="25"/>
      <c r="G109" s="24"/>
      <c r="H109" s="48" t="s">
        <v>635</v>
      </c>
    </row>
    <row r="111" customFormat="false" ht="69.75" hidden="false" customHeight="true" outlineLevel="0" collapsed="false">
      <c r="A111" s="11" t="s">
        <v>636</v>
      </c>
      <c r="B111" s="11"/>
      <c r="C111" s="11"/>
      <c r="D111" s="11"/>
      <c r="E111" s="11"/>
      <c r="F111" s="11"/>
      <c r="G111" s="11"/>
      <c r="H111" s="11"/>
    </row>
    <row r="112" customFormat="false" ht="21" hidden="false" customHeight="true" outlineLevel="0" collapsed="false">
      <c r="A112" s="13"/>
      <c r="B112" s="13" t="s">
        <v>637</v>
      </c>
      <c r="C112" s="13" t="s">
        <v>634</v>
      </c>
      <c r="D112" s="13" t="s">
        <v>638</v>
      </c>
      <c r="E112" s="13" t="s">
        <v>639</v>
      </c>
      <c r="F112" s="43"/>
      <c r="G112" s="13"/>
      <c r="H112" s="13" t="s">
        <v>598</v>
      </c>
    </row>
    <row r="113" customFormat="false" ht="16.5" hidden="false" customHeight="true" outlineLevel="0" collapsed="false">
      <c r="A113" s="16"/>
      <c r="B113" s="17" t="s">
        <v>640</v>
      </c>
      <c r="C113" s="54" t="n">
        <v>8</v>
      </c>
      <c r="D113" s="54" t="n">
        <v>5</v>
      </c>
      <c r="E113" s="54" t="n">
        <v>3</v>
      </c>
      <c r="F113" s="20"/>
      <c r="G113" s="18"/>
      <c r="H113" s="19" t="s">
        <v>641</v>
      </c>
    </row>
    <row r="114" customFormat="false" ht="16.5" hidden="false" customHeight="true" outlineLevel="0" collapsed="false">
      <c r="A114" s="16"/>
      <c r="B114" s="17" t="s">
        <v>642</v>
      </c>
      <c r="C114" s="54" t="n">
        <v>14</v>
      </c>
      <c r="D114" s="54" t="n">
        <v>9</v>
      </c>
      <c r="E114" s="54" t="n">
        <v>5</v>
      </c>
      <c r="F114" s="20"/>
      <c r="G114" s="18"/>
      <c r="H114" s="19"/>
    </row>
    <row r="115" customFormat="false" ht="16.5" hidden="false" customHeight="true" outlineLevel="0" collapsed="false">
      <c r="A115" s="16"/>
      <c r="B115" s="17" t="s">
        <v>643</v>
      </c>
      <c r="C115" s="54" t="n">
        <v>13</v>
      </c>
      <c r="D115" s="54" t="n">
        <v>8</v>
      </c>
      <c r="E115" s="54" t="n">
        <v>5</v>
      </c>
      <c r="F115" s="20"/>
      <c r="G115" s="18"/>
      <c r="H115" s="19"/>
    </row>
    <row r="116" customFormat="false" ht="16.5" hidden="false" customHeight="true" outlineLevel="0" collapsed="false">
      <c r="A116" s="16"/>
      <c r="B116" s="17" t="s">
        <v>644</v>
      </c>
      <c r="C116" s="54" t="n">
        <v>12</v>
      </c>
      <c r="D116" s="54" t="n">
        <v>8</v>
      </c>
      <c r="E116" s="54" t="n">
        <v>4</v>
      </c>
      <c r="F116" s="20"/>
      <c r="G116" s="18"/>
      <c r="H116" s="19"/>
    </row>
    <row r="117" customFormat="false" ht="16.5" hidden="false" customHeight="true" outlineLevel="0" collapsed="false">
      <c r="A117" s="16"/>
      <c r="B117" s="17" t="s">
        <v>645</v>
      </c>
      <c r="C117" s="54" t="n">
        <v>11</v>
      </c>
      <c r="D117" s="54" t="n">
        <v>7</v>
      </c>
      <c r="E117" s="54" t="n">
        <v>4</v>
      </c>
      <c r="F117" s="20"/>
      <c r="G117" s="18"/>
      <c r="H117" s="19"/>
    </row>
    <row r="118" customFormat="false" ht="16.5" hidden="false" customHeight="true" outlineLevel="0" collapsed="false">
      <c r="A118" s="16"/>
      <c r="B118" s="17" t="s">
        <v>646</v>
      </c>
      <c r="C118" s="54" t="n">
        <v>10</v>
      </c>
      <c r="D118" s="54" t="n">
        <v>6</v>
      </c>
      <c r="E118" s="54" t="n">
        <v>4</v>
      </c>
      <c r="F118" s="20"/>
      <c r="G118" s="18"/>
      <c r="H118" s="19" t="s">
        <v>647</v>
      </c>
    </row>
    <row r="119" customFormat="false" ht="16.5" hidden="false" customHeight="true" outlineLevel="0" collapsed="false">
      <c r="A119" s="16"/>
      <c r="B119" s="17" t="s">
        <v>648</v>
      </c>
      <c r="C119" s="54" t="n">
        <v>10</v>
      </c>
      <c r="D119" s="54" t="n">
        <v>6</v>
      </c>
      <c r="E119" s="54" t="n">
        <v>4</v>
      </c>
      <c r="F119" s="20"/>
      <c r="G119" s="18"/>
      <c r="H119" s="19"/>
    </row>
    <row r="120" customFormat="false" ht="16.5" hidden="false" customHeight="true" outlineLevel="0" collapsed="false">
      <c r="A120" s="16"/>
      <c r="B120" s="17" t="s">
        <v>649</v>
      </c>
      <c r="C120" s="54" t="n">
        <v>8</v>
      </c>
      <c r="D120" s="54" t="n">
        <v>4</v>
      </c>
      <c r="E120" s="54" t="n">
        <v>4</v>
      </c>
      <c r="F120" s="20"/>
      <c r="G120" s="18"/>
      <c r="H120" s="19"/>
    </row>
    <row r="121" customFormat="false" ht="16.5" hidden="false" customHeight="true" outlineLevel="0" collapsed="false">
      <c r="A121" s="16"/>
      <c r="B121" s="17" t="s">
        <v>650</v>
      </c>
      <c r="C121" s="54" t="n">
        <v>14</v>
      </c>
      <c r="D121" s="54" t="n">
        <v>8</v>
      </c>
      <c r="E121" s="54" t="n">
        <v>6</v>
      </c>
      <c r="F121" s="20"/>
      <c r="G121" s="18"/>
      <c r="H121" s="19"/>
    </row>
    <row r="122" customFormat="false" ht="16.5" hidden="false" customHeight="true" outlineLevel="0" collapsed="false">
      <c r="A122" s="16"/>
      <c r="B122" s="17" t="s">
        <v>651</v>
      </c>
      <c r="C122" s="54" t="n">
        <v>35</v>
      </c>
      <c r="D122" s="54" t="n">
        <v>23</v>
      </c>
      <c r="E122" s="54" t="n">
        <v>12</v>
      </c>
      <c r="F122" s="20"/>
      <c r="G122" s="18"/>
      <c r="H122" s="19" t="s">
        <v>652</v>
      </c>
    </row>
    <row r="123" customFormat="false" ht="16.5" hidden="false" customHeight="true" outlineLevel="0" collapsed="false">
      <c r="A123" s="16"/>
      <c r="B123" s="17" t="s">
        <v>653</v>
      </c>
      <c r="C123" s="54" t="n">
        <v>26</v>
      </c>
      <c r="D123" s="54" t="n">
        <v>16</v>
      </c>
      <c r="E123" s="54" t="n">
        <v>10</v>
      </c>
      <c r="F123" s="20"/>
      <c r="G123" s="18"/>
      <c r="H123" s="19"/>
    </row>
    <row r="124" customFormat="false" ht="16.5" hidden="false" customHeight="true" outlineLevel="0" collapsed="false">
      <c r="A124" s="16"/>
      <c r="B124" s="17" t="s">
        <v>654</v>
      </c>
      <c r="C124" s="54" t="n">
        <v>19</v>
      </c>
      <c r="D124" s="54" t="n">
        <v>11</v>
      </c>
      <c r="E124" s="54" t="n">
        <v>8</v>
      </c>
      <c r="F124" s="20"/>
      <c r="G124" s="18"/>
      <c r="H124" s="19"/>
    </row>
    <row r="125" customFormat="false" ht="16.5" hidden="false" customHeight="true" outlineLevel="0" collapsed="false">
      <c r="A125" s="16"/>
      <c r="B125" s="17" t="s">
        <v>655</v>
      </c>
      <c r="C125" s="54" t="n">
        <v>16</v>
      </c>
      <c r="D125" s="54" t="n">
        <v>10</v>
      </c>
      <c r="E125" s="54" t="n">
        <v>6</v>
      </c>
      <c r="F125" s="20"/>
      <c r="G125" s="18"/>
      <c r="H125" s="19"/>
    </row>
    <row r="126" customFormat="false" ht="16.5" hidden="false" customHeight="true" outlineLevel="0" collapsed="false">
      <c r="A126" s="16"/>
      <c r="B126" s="17" t="s">
        <v>656</v>
      </c>
      <c r="C126" s="54" t="n">
        <v>13</v>
      </c>
      <c r="D126" s="54" t="n">
        <v>8</v>
      </c>
      <c r="E126" s="54" t="n">
        <v>5</v>
      </c>
      <c r="F126" s="20"/>
      <c r="G126" s="18"/>
      <c r="H126" s="19"/>
    </row>
    <row r="127" customFormat="false" ht="16.5" hidden="false" customHeight="true" outlineLevel="0" collapsed="false">
      <c r="A127" s="16"/>
      <c r="B127" s="17" t="s">
        <v>657</v>
      </c>
      <c r="C127" s="54" t="n">
        <v>7</v>
      </c>
      <c r="D127" s="54" t="n">
        <v>4</v>
      </c>
      <c r="E127" s="54" t="n">
        <v>3</v>
      </c>
      <c r="F127" s="20"/>
      <c r="G127" s="18"/>
      <c r="H127" s="19" t="s">
        <v>658</v>
      </c>
    </row>
    <row r="128" customFormat="false" ht="16.5" hidden="false" customHeight="true" outlineLevel="0" collapsed="false">
      <c r="A128" s="16"/>
      <c r="B128" s="17" t="s">
        <v>659</v>
      </c>
      <c r="C128" s="54" t="n">
        <v>5</v>
      </c>
      <c r="D128" s="54" t="n">
        <v>3</v>
      </c>
      <c r="E128" s="54" t="n">
        <v>2</v>
      </c>
      <c r="F128" s="20"/>
      <c r="G128" s="18"/>
      <c r="H128" s="19" t="s">
        <v>660</v>
      </c>
    </row>
    <row r="129" customFormat="false" ht="21.75" hidden="false" customHeight="true" outlineLevel="0" collapsed="false">
      <c r="A129" s="23"/>
      <c r="B129" s="23" t="s">
        <v>661</v>
      </c>
      <c r="C129" s="55" t="n">
        <f aca="false">SUM(C113:C128)</f>
        <v>221</v>
      </c>
      <c r="D129" s="55" t="n">
        <f aca="false">SUM(D113:D128)</f>
        <v>136</v>
      </c>
      <c r="E129" s="55" t="n">
        <f aca="false">SUM(E113:E128)</f>
        <v>85</v>
      </c>
      <c r="F129" s="25"/>
      <c r="G129" s="24"/>
      <c r="H129" s="48" t="s">
        <v>662</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663</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664</v>
      </c>
      <c r="B4" s="11"/>
      <c r="C4" s="11"/>
      <c r="D4" s="11"/>
      <c r="E4" s="11"/>
      <c r="F4" s="11"/>
      <c r="G4" s="11"/>
      <c r="H4" s="11"/>
      <c r="I4" s="11"/>
      <c r="J4" s="11"/>
    </row>
    <row r="6" customFormat="false" ht="21" hidden="false" customHeight="true" outlineLevel="0" collapsed="false">
      <c r="A6" s="15" t="s">
        <v>665</v>
      </c>
      <c r="B6" s="15"/>
      <c r="C6" s="15"/>
      <c r="D6" s="15"/>
      <c r="E6" s="15"/>
      <c r="F6" s="15"/>
      <c r="G6" s="15"/>
      <c r="H6" s="15"/>
      <c r="I6" s="15"/>
      <c r="J6" s="15"/>
    </row>
    <row r="7" customFormat="false" ht="69.75" hidden="false" customHeight="true" outlineLevel="0" collapsed="false">
      <c r="A7" s="11" t="s">
        <v>666</v>
      </c>
      <c r="B7" s="11"/>
      <c r="C7" s="11"/>
      <c r="D7" s="11"/>
      <c r="E7" s="11"/>
      <c r="F7" s="11"/>
      <c r="G7" s="11"/>
      <c r="H7" s="11"/>
      <c r="I7" s="11"/>
      <c r="J7" s="11"/>
    </row>
    <row r="8" customFormat="false" ht="43.5" hidden="false" customHeight="true" outlineLevel="0" collapsed="false">
      <c r="A8" s="11" t="s">
        <v>667</v>
      </c>
      <c r="B8" s="11"/>
      <c r="C8" s="11"/>
      <c r="D8" s="11"/>
      <c r="E8" s="11"/>
      <c r="F8" s="11"/>
      <c r="G8" s="11"/>
      <c r="H8" s="11"/>
      <c r="I8" s="11"/>
      <c r="J8" s="11"/>
    </row>
    <row r="9" customFormat="false" ht="82.5" hidden="false" customHeight="true" outlineLevel="0" collapsed="false">
      <c r="A9" s="11" t="s">
        <v>668</v>
      </c>
      <c r="B9" s="11"/>
      <c r="C9" s="11"/>
      <c r="D9" s="11"/>
      <c r="E9" s="11"/>
      <c r="F9" s="11"/>
      <c r="G9" s="11"/>
      <c r="H9" s="11"/>
      <c r="I9" s="11"/>
      <c r="J9" s="11"/>
    </row>
    <row r="11" customFormat="false" ht="21" hidden="false" customHeight="true" outlineLevel="0" collapsed="false">
      <c r="A11" s="15" t="s">
        <v>669</v>
      </c>
      <c r="B11" s="15"/>
      <c r="C11" s="15"/>
      <c r="D11" s="15"/>
      <c r="E11" s="15"/>
      <c r="F11" s="15"/>
      <c r="G11" s="15"/>
      <c r="H11" s="15"/>
      <c r="I11" s="15"/>
      <c r="J11" s="15"/>
    </row>
    <row r="12" customFormat="false" ht="31.5" hidden="false" customHeight="true" outlineLevel="0" collapsed="false">
      <c r="A12" s="13" t="s">
        <v>92</v>
      </c>
      <c r="B12" s="13" t="s">
        <v>670</v>
      </c>
      <c r="C12" s="13" t="s">
        <v>671</v>
      </c>
      <c r="D12" s="13"/>
      <c r="E12" s="13"/>
      <c r="F12" s="13"/>
      <c r="G12" s="13"/>
      <c r="H12" s="13"/>
      <c r="I12" s="13" t="s">
        <v>672</v>
      </c>
      <c r="J12" s="13"/>
    </row>
    <row r="13" customFormat="false" ht="42" hidden="false" customHeight="true" outlineLevel="0" collapsed="false">
      <c r="A13" s="16" t="s">
        <v>673</v>
      </c>
      <c r="B13" s="17" t="s">
        <v>674</v>
      </c>
      <c r="C13" s="49" t="s">
        <v>675</v>
      </c>
      <c r="D13" s="49"/>
      <c r="E13" s="49"/>
      <c r="F13" s="49"/>
      <c r="G13" s="49"/>
      <c r="H13" s="49"/>
      <c r="I13" s="19" t="s">
        <v>676</v>
      </c>
      <c r="J13" s="19"/>
    </row>
    <row r="14" customFormat="false" ht="30" hidden="false" customHeight="true" outlineLevel="0" collapsed="false">
      <c r="A14" s="16" t="s">
        <v>677</v>
      </c>
      <c r="B14" s="17" t="s">
        <v>678</v>
      </c>
      <c r="C14" s="56" t="n">
        <v>46288</v>
      </c>
      <c r="D14" s="56"/>
      <c r="E14" s="56"/>
      <c r="F14" s="56"/>
      <c r="G14" s="56"/>
      <c r="H14" s="56"/>
      <c r="I14" s="19" t="s">
        <v>679</v>
      </c>
      <c r="J14" s="19"/>
    </row>
    <row r="15" customFormat="false" ht="30" hidden="false" customHeight="true" outlineLevel="0" collapsed="false">
      <c r="A15" s="16" t="s">
        <v>680</v>
      </c>
      <c r="B15" s="17" t="s">
        <v>681</v>
      </c>
      <c r="C15" s="57" t="n">
        <v>30.4</v>
      </c>
      <c r="D15" s="57"/>
      <c r="E15" s="57"/>
      <c r="F15" s="57"/>
      <c r="G15" s="57"/>
      <c r="H15" s="57"/>
      <c r="I15" s="19" t="s">
        <v>682</v>
      </c>
      <c r="J15" s="19"/>
    </row>
    <row r="17" customFormat="false" ht="21" hidden="false" customHeight="true" outlineLevel="0" collapsed="false">
      <c r="A17" s="15" t="s">
        <v>683</v>
      </c>
      <c r="B17" s="15"/>
      <c r="C17" s="15"/>
      <c r="D17" s="15"/>
      <c r="E17" s="15"/>
      <c r="F17" s="15"/>
      <c r="G17" s="15"/>
      <c r="H17" s="15"/>
      <c r="I17" s="15"/>
      <c r="J17" s="15"/>
    </row>
    <row r="18" customFormat="false" ht="96" hidden="false" customHeight="true" outlineLevel="0" collapsed="false">
      <c r="A18" s="11" t="s">
        <v>684</v>
      </c>
      <c r="B18" s="11"/>
      <c r="C18" s="11"/>
      <c r="D18" s="11"/>
      <c r="E18" s="11"/>
      <c r="F18" s="11"/>
      <c r="G18" s="11"/>
      <c r="H18" s="11"/>
      <c r="I18" s="11"/>
      <c r="J18" s="11"/>
    </row>
    <row r="19" customFormat="false" ht="31.5" hidden="false" customHeight="true" outlineLevel="0" collapsed="false">
      <c r="A19" s="13" t="s">
        <v>92</v>
      </c>
      <c r="B19" s="13" t="s">
        <v>685</v>
      </c>
      <c r="C19" s="13" t="s">
        <v>686</v>
      </c>
      <c r="D19" s="13" t="s">
        <v>687</v>
      </c>
      <c r="E19" s="13" t="s">
        <v>688</v>
      </c>
      <c r="F19" s="13" t="s">
        <v>689</v>
      </c>
      <c r="G19" s="13" t="s">
        <v>690</v>
      </c>
      <c r="H19" s="13" t="s">
        <v>691</v>
      </c>
      <c r="I19" s="13" t="s">
        <v>692</v>
      </c>
      <c r="J19" s="13"/>
    </row>
    <row r="20" customFormat="false" ht="42" hidden="false" customHeight="true" outlineLevel="0" collapsed="false">
      <c r="A20" s="16" t="s">
        <v>693</v>
      </c>
      <c r="B20" s="17" t="s">
        <v>694</v>
      </c>
      <c r="C20" s="58" t="n">
        <f aca="false">$C$138</f>
        <v>46256</v>
      </c>
      <c r="D20" s="58" t="n">
        <f aca="false">$D$139</f>
        <v>46260</v>
      </c>
      <c r="E20" s="54" t="n">
        <f aca="false">D20-C20+1</f>
        <v>5</v>
      </c>
      <c r="F20" s="58" t="n">
        <f aca="false">C20</f>
        <v>46256</v>
      </c>
      <c r="G20" s="58" t="n">
        <f aca="false">D20</f>
        <v>46260</v>
      </c>
      <c r="H20" s="54" t="n">
        <f aca="false">G20-F20+1</f>
        <v>5</v>
      </c>
      <c r="I20" s="19" t="s">
        <v>695</v>
      </c>
      <c r="J20" s="19"/>
    </row>
    <row r="21" customFormat="false" ht="42" hidden="false" customHeight="true" outlineLevel="0" collapsed="false">
      <c r="A21" s="16" t="s">
        <v>696</v>
      </c>
      <c r="B21" s="17" t="s">
        <v>697</v>
      </c>
      <c r="C21" s="58" t="n">
        <f aca="false">$C$141</f>
        <v>46261</v>
      </c>
      <c r="D21" s="58" t="n">
        <f aca="false">$D$144</f>
        <v>46277</v>
      </c>
      <c r="E21" s="54" t="n">
        <f aca="false">D21-C21+1</f>
        <v>17</v>
      </c>
      <c r="F21" s="58" t="n">
        <f aca="false">C21</f>
        <v>46261</v>
      </c>
      <c r="G21" s="58" t="n">
        <f aca="false">D21</f>
        <v>46277</v>
      </c>
      <c r="H21" s="54" t="n">
        <f aca="false">G21-F21+1</f>
        <v>17</v>
      </c>
      <c r="I21" s="19" t="s">
        <v>698</v>
      </c>
      <c r="J21" s="19"/>
    </row>
    <row r="22" customFormat="false" ht="80.25" hidden="false" customHeight="true" outlineLevel="0" collapsed="false">
      <c r="A22" s="16" t="s">
        <v>699</v>
      </c>
      <c r="B22" s="17" t="s">
        <v>700</v>
      </c>
      <c r="C22" s="58" t="n">
        <f aca="false">$C$149</f>
        <v>46277</v>
      </c>
      <c r="D22" s="58" t="n">
        <f aca="false">$D$149</f>
        <v>46300</v>
      </c>
      <c r="E22" s="54" t="n">
        <f aca="false">NETWORKDAYS.INTL(C22,D22,"0000100",$C$14)</f>
        <v>20</v>
      </c>
      <c r="F22" s="58" t="n">
        <f aca="false">C22</f>
        <v>46277</v>
      </c>
      <c r="G22" s="58" t="n">
        <f aca="false">WORKDAY.INTL(F22,H22-1,"0000100",$C$14)</f>
        <v>46282</v>
      </c>
      <c r="H22" s="54" t="n">
        <f aca="false">$E$159</f>
        <v>6</v>
      </c>
      <c r="I22" s="19" t="s">
        <v>701</v>
      </c>
      <c r="J22" s="19"/>
    </row>
    <row r="23" customFormat="false" ht="54.75" hidden="false" customHeight="true" outlineLevel="0" collapsed="false">
      <c r="A23" s="16" t="s">
        <v>702</v>
      </c>
      <c r="B23" s="17" t="s">
        <v>703</v>
      </c>
      <c r="C23" s="58" t="n">
        <f aca="false">$C$155</f>
        <v>46301</v>
      </c>
      <c r="D23" s="58" t="n">
        <f aca="false">$D$155</f>
        <v>46319</v>
      </c>
      <c r="E23" s="54" t="n">
        <f aca="false">NETWORKDAYS.INTL(C23,D23,"0000100",$C$14)</f>
        <v>16</v>
      </c>
      <c r="F23" s="58" t="n">
        <f aca="false">WORKDAY.INTL(G22,1,"0000100",$C$14)</f>
        <v>46284</v>
      </c>
      <c r="G23" s="58" t="n">
        <f aca="false">WORKDAY.INTL(F23,H23-1,"0000100",$C$14)</f>
        <v>46298</v>
      </c>
      <c r="H23" s="54" t="n">
        <f aca="false">$E$161</f>
        <v>12</v>
      </c>
      <c r="I23" s="19" t="s">
        <v>704</v>
      </c>
      <c r="J23" s="19"/>
    </row>
    <row r="24" customFormat="false" ht="42" hidden="false" customHeight="true" outlineLevel="0" collapsed="false">
      <c r="A24" s="16" t="s">
        <v>705</v>
      </c>
      <c r="B24" s="17" t="s">
        <v>706</v>
      </c>
      <c r="C24" s="58" t="n">
        <f aca="false">$C$156</f>
        <v>46303</v>
      </c>
      <c r="D24" s="58" t="n">
        <f aca="false">$D$156</f>
        <v>46324</v>
      </c>
      <c r="E24" s="54" t="n">
        <f aca="false">NETWORKDAYS.INTL(C24,D24,"0000100",$C$14)</f>
        <v>19</v>
      </c>
      <c r="F24" s="58" t="n">
        <f aca="false">WORKDAY.INTL(F23,2,"0000100",$C$14)</f>
        <v>46286</v>
      </c>
      <c r="G24" s="58" t="n">
        <f aca="false">WORKDAY.INTL(G23,5,"0000100",$C$14)</f>
        <v>46303</v>
      </c>
      <c r="H24" s="54" t="n">
        <f aca="false">NETWORKDAYS.INTL(F24,G24,"0000100",$C$14)</f>
        <v>15</v>
      </c>
      <c r="I24" s="19" t="s">
        <v>707</v>
      </c>
      <c r="J24" s="19"/>
    </row>
    <row r="25" customFormat="false" ht="30" hidden="false" customHeight="true" outlineLevel="0" collapsed="false">
      <c r="A25" s="16" t="s">
        <v>708</v>
      </c>
      <c r="B25" s="17" t="s">
        <v>709</v>
      </c>
      <c r="C25" s="58" t="n">
        <f aca="false">$C$162</f>
        <v>46326</v>
      </c>
      <c r="D25" s="58" t="n">
        <f aca="false">$D$162</f>
        <v>46330</v>
      </c>
      <c r="E25" s="54" t="n">
        <f aca="false">NETWORKDAYS.INTL(C25,D25,"0000100",$C$14)</f>
        <v>5</v>
      </c>
      <c r="F25" s="58" t="n">
        <f aca="false">WORKDAY.INTL(G24,1,"0000100",$C$14)</f>
        <v>46305</v>
      </c>
      <c r="G25" s="58" t="n">
        <f aca="false">WORKDAY.INTL(F25,H25-1,"0000100",$C$14)</f>
        <v>46309</v>
      </c>
      <c r="H25" s="54" t="n">
        <f aca="false">$E$162</f>
        <v>5</v>
      </c>
      <c r="I25" s="19" t="s">
        <v>710</v>
      </c>
      <c r="J25" s="19"/>
    </row>
    <row r="26" customFormat="false" ht="30" hidden="false" customHeight="true" outlineLevel="0" collapsed="false">
      <c r="A26" s="16" t="s">
        <v>711</v>
      </c>
      <c r="B26" s="17" t="s">
        <v>712</v>
      </c>
      <c r="C26" s="58" t="n">
        <f aca="false">$C$166</f>
        <v>46331</v>
      </c>
      <c r="D26" s="58" t="n">
        <f aca="false">$D$166</f>
        <v>46337</v>
      </c>
      <c r="E26" s="54" t="n">
        <f aca="false">NETWORKDAYS.INTL(C26,D26,"0000100",$C$14)</f>
        <v>6</v>
      </c>
      <c r="F26" s="58" t="n">
        <f aca="false">WORKDAY.INTL(G25,1,"0000100",$C$14)</f>
        <v>46310</v>
      </c>
      <c r="G26" s="58" t="n">
        <f aca="false">WORKDAY.INTL(F26,H26-1,"0000100",$C$14)</f>
        <v>46316</v>
      </c>
      <c r="H26" s="54" t="n">
        <f aca="false">$E$166</f>
        <v>6</v>
      </c>
      <c r="I26" s="19" t="s">
        <v>713</v>
      </c>
      <c r="J26" s="19"/>
    </row>
    <row r="27" customFormat="false" ht="42" hidden="false" customHeight="true" outlineLevel="0" collapsed="false">
      <c r="A27" s="16" t="s">
        <v>714</v>
      </c>
      <c r="B27" s="17" t="s">
        <v>715</v>
      </c>
      <c r="C27" s="58" t="n">
        <f aca="false">$C$167</f>
        <v>46335</v>
      </c>
      <c r="D27" s="58" t="n">
        <f aca="false">$D$169</f>
        <v>46342</v>
      </c>
      <c r="E27" s="54" t="n">
        <f aca="false">NETWORKDAYS.INTL(C27,D27,"0000100",$C$14)</f>
        <v>7</v>
      </c>
      <c r="F27" s="58" t="n">
        <f aca="false">WORKDAY.INTL(G26,-2,"0000100",$C$14)</f>
        <v>46314</v>
      </c>
      <c r="G27" s="58" t="n">
        <f aca="false">WORKDAY.INTL(G26,3,"0000100",$C$14)</f>
        <v>46320</v>
      </c>
      <c r="H27" s="54" t="n">
        <f aca="false">NETWORKDAYS.INTL(F27,G27,"0000100",$C$14)</f>
        <v>6</v>
      </c>
      <c r="I27" s="19" t="s">
        <v>716</v>
      </c>
      <c r="J27" s="19"/>
    </row>
    <row r="28" customFormat="false" ht="93" hidden="false" customHeight="true" outlineLevel="0" collapsed="false">
      <c r="A28" s="16" t="s">
        <v>717</v>
      </c>
      <c r="B28" s="17" t="s">
        <v>718</v>
      </c>
      <c r="C28" s="58" t="n">
        <f aca="false">$C$159</f>
        <v>46317</v>
      </c>
      <c r="D28" s="58" t="n">
        <f aca="false">$D$159</f>
        <v>46323</v>
      </c>
      <c r="E28" s="54" t="n">
        <f aca="false">NETWORKDAYS.INTL(C28,D28,"0000100",$C$14)</f>
        <v>6</v>
      </c>
      <c r="F28" s="58" t="n">
        <f aca="false">WORKDAY.INTL(G23,1,"0000100",$C$14)</f>
        <v>46299</v>
      </c>
      <c r="G28" s="58" t="n">
        <f aca="false">WORKDAY.INTL(F28,H28-1,"0000100",$C$14)</f>
        <v>46305</v>
      </c>
      <c r="H28" s="54" t="n">
        <f aca="false">$E$159</f>
        <v>6</v>
      </c>
      <c r="I28" s="19" t="s">
        <v>719</v>
      </c>
      <c r="J28" s="19"/>
    </row>
    <row r="29" customFormat="false" ht="30" hidden="false" customHeight="true" outlineLevel="0" collapsed="false">
      <c r="A29" s="16" t="s">
        <v>720</v>
      </c>
      <c r="B29" s="17" t="s">
        <v>721</v>
      </c>
      <c r="C29" s="58" t="n">
        <f aca="false">$C$161</f>
        <v>46324</v>
      </c>
      <c r="D29" s="58" t="n">
        <f aca="false">$D$161</f>
        <v>46337</v>
      </c>
      <c r="E29" s="54" t="n">
        <f aca="false">NETWORKDAYS.INTL(C29,D29,"0000100",$C$14)</f>
        <v>12</v>
      </c>
      <c r="F29" s="58" t="n">
        <f aca="false">WORKDAY.INTL(G28,1,"0000100",$C$14)</f>
        <v>46306</v>
      </c>
      <c r="G29" s="58" t="n">
        <f aca="false">WORKDAY.INTL(F29,H29-1,"0000100",$C$14)</f>
        <v>46319</v>
      </c>
      <c r="H29" s="54" t="n">
        <f aca="false">$E$161</f>
        <v>12</v>
      </c>
      <c r="I29" s="19" t="s">
        <v>722</v>
      </c>
      <c r="J29" s="19"/>
    </row>
    <row r="30" customFormat="false" ht="30" hidden="false" customHeight="true" outlineLevel="0" collapsed="false">
      <c r="A30" s="16" t="s">
        <v>723</v>
      </c>
      <c r="B30" s="17" t="s">
        <v>724</v>
      </c>
      <c r="C30" s="58" t="n">
        <f aca="false">$C$163</f>
        <v>46327</v>
      </c>
      <c r="D30" s="58" t="n">
        <f aca="false">$D$163</f>
        <v>46343</v>
      </c>
      <c r="E30" s="54" t="n">
        <f aca="false">NETWORKDAYS.INTL(C30,D30,"0000100",$C$14)</f>
        <v>15</v>
      </c>
      <c r="F30" s="58" t="n">
        <f aca="false">WORKDAY.INTL(F29,2,"0000100",$C$14)</f>
        <v>46308</v>
      </c>
      <c r="G30" s="58" t="n">
        <f aca="false">WORKDAY.INTL(G29,5,"0000100",$C$14)</f>
        <v>46324</v>
      </c>
      <c r="H30" s="54" t="n">
        <f aca="false">NETWORKDAYS.INTL(F30,G30,"0000100",$C$14)</f>
        <v>15</v>
      </c>
      <c r="I30" s="19" t="s">
        <v>725</v>
      </c>
      <c r="J30" s="19"/>
    </row>
    <row r="31" customFormat="false" ht="30" hidden="false" customHeight="true" outlineLevel="0" collapsed="false">
      <c r="A31" s="16" t="s">
        <v>726</v>
      </c>
      <c r="B31" s="17" t="s">
        <v>727</v>
      </c>
      <c r="C31" s="58" t="n">
        <f aca="false">$C$170</f>
        <v>46344</v>
      </c>
      <c r="D31" s="58" t="n">
        <f aca="false">$D$170</f>
        <v>46349</v>
      </c>
      <c r="E31" s="54" t="n">
        <f aca="false">NETWORKDAYS.INTL(C31,D31,"0000100",$C$14)</f>
        <v>5</v>
      </c>
      <c r="F31" s="58" t="n">
        <f aca="false">WORKDAY.INTL(G30,1,"0000100",$C$14)</f>
        <v>46326</v>
      </c>
      <c r="G31" s="58" t="n">
        <f aca="false">WORKDAY.INTL(F31,H31-1,"0000100",$C$14)</f>
        <v>46330</v>
      </c>
      <c r="H31" s="54" t="n">
        <f aca="false">$E$170</f>
        <v>5</v>
      </c>
      <c r="I31" s="19" t="s">
        <v>728</v>
      </c>
      <c r="J31" s="19"/>
    </row>
    <row r="32" customFormat="false" ht="30" hidden="false" customHeight="true" outlineLevel="0" collapsed="false">
      <c r="A32" s="16" t="s">
        <v>729</v>
      </c>
      <c r="B32" s="17" t="s">
        <v>730</v>
      </c>
      <c r="C32" s="58" t="n">
        <f aca="false">$C$171</f>
        <v>46350</v>
      </c>
      <c r="D32" s="58" t="n">
        <f aca="false">$D$171</f>
        <v>46356</v>
      </c>
      <c r="E32" s="54" t="n">
        <f aca="false">NETWORKDAYS.INTL(C32,D32,"0000100",$C$14)</f>
        <v>6</v>
      </c>
      <c r="F32" s="58" t="n">
        <f aca="false">WORKDAY.INTL(G31,1,"0000100",$C$14)</f>
        <v>46331</v>
      </c>
      <c r="G32" s="58" t="n">
        <f aca="false">WORKDAY.INTL(F32,H32-1,"0000100",$C$14)</f>
        <v>46337</v>
      </c>
      <c r="H32" s="54" t="n">
        <f aca="false">$E$171</f>
        <v>6</v>
      </c>
      <c r="I32" s="19" t="s">
        <v>731</v>
      </c>
      <c r="J32" s="19"/>
    </row>
    <row r="33" customFormat="false" ht="30" hidden="false" customHeight="true" outlineLevel="0" collapsed="false">
      <c r="A33" s="16" t="s">
        <v>732</v>
      </c>
      <c r="B33" s="17" t="s">
        <v>733</v>
      </c>
      <c r="C33" s="58" t="n">
        <f aca="false">$C$172</f>
        <v>46354</v>
      </c>
      <c r="D33" s="58" t="n">
        <f aca="false">$D$174</f>
        <v>46359</v>
      </c>
      <c r="E33" s="54" t="n">
        <f aca="false">NETWORKDAYS.INTL(C33,D33,"0000100",$C$14)</f>
        <v>6</v>
      </c>
      <c r="F33" s="58" t="n">
        <f aca="false">WORKDAY.INTL(G32,-2,"0000100",$C$14)</f>
        <v>46335</v>
      </c>
      <c r="G33" s="58" t="n">
        <f aca="false">WORKDAY.INTL(G32,3,"0000100",$C$14)</f>
        <v>46341</v>
      </c>
      <c r="H33" s="54" t="n">
        <f aca="false">NETWORKDAYS.INTL(F33,G33,"0000100",$C$14)</f>
        <v>6</v>
      </c>
      <c r="I33" s="19" t="s">
        <v>734</v>
      </c>
      <c r="J33" s="19"/>
    </row>
    <row r="34" customFormat="false" ht="54.75" hidden="false" customHeight="true" outlineLevel="0" collapsed="false">
      <c r="A34" s="16" t="s">
        <v>735</v>
      </c>
      <c r="B34" s="17" t="s">
        <v>736</v>
      </c>
      <c r="C34" s="58" t="n">
        <f aca="false">$C$175</f>
        <v>46359</v>
      </c>
      <c r="D34" s="58" t="n">
        <f aca="false">$D$175</f>
        <v>46359</v>
      </c>
      <c r="E34" s="54" t="s">
        <v>737</v>
      </c>
      <c r="F34" s="58" t="n">
        <f aca="false">C34</f>
        <v>46359</v>
      </c>
      <c r="G34" s="58" t="n">
        <f aca="false">D34</f>
        <v>46359</v>
      </c>
      <c r="H34" s="54" t="s">
        <v>737</v>
      </c>
      <c r="I34" s="19" t="s">
        <v>738</v>
      </c>
      <c r="J34" s="19"/>
    </row>
    <row r="35" customFormat="false" ht="30" hidden="false" customHeight="true" outlineLevel="0" collapsed="false">
      <c r="A35" s="16" t="s">
        <v>739</v>
      </c>
      <c r="B35" s="17" t="s">
        <v>740</v>
      </c>
      <c r="C35" s="58" t="n">
        <f aca="false">$C$176</f>
        <v>46361</v>
      </c>
      <c r="D35" s="58" t="n">
        <f aca="false">$D$176</f>
        <v>46364</v>
      </c>
      <c r="E35" s="54" t="n">
        <f aca="false">NETWORKDAYS.INTL(C35,D35,"0000100",$C$14)</f>
        <v>4</v>
      </c>
      <c r="F35" s="58" t="n">
        <f aca="false">C35</f>
        <v>46361</v>
      </c>
      <c r="G35" s="58" t="n">
        <f aca="false">D35</f>
        <v>46364</v>
      </c>
      <c r="H35" s="54" t="n">
        <f aca="false">E35</f>
        <v>4</v>
      </c>
      <c r="I35" s="19" t="s">
        <v>741</v>
      </c>
      <c r="J35" s="19"/>
    </row>
    <row r="36" customFormat="false" ht="93" hidden="false" customHeight="true" outlineLevel="0" collapsed="false">
      <c r="A36" s="16" t="s">
        <v>742</v>
      </c>
      <c r="B36" s="17" t="s">
        <v>743</v>
      </c>
      <c r="C36" s="58" t="n">
        <f aca="false">$C$177</f>
        <v>46365</v>
      </c>
      <c r="D36" s="58" t="n">
        <f aca="false">$D$178</f>
        <v>46372</v>
      </c>
      <c r="E36" s="54" t="n">
        <f aca="false">NETWORKDAYS.INTL(C36,D36,"0000100",$C$14)</f>
        <v>7</v>
      </c>
      <c r="F36" s="58" t="s">
        <v>737</v>
      </c>
      <c r="G36" s="58" t="s">
        <v>737</v>
      </c>
      <c r="H36" s="54" t="s">
        <v>737</v>
      </c>
      <c r="I36" s="19" t="s">
        <v>744</v>
      </c>
      <c r="J36" s="19"/>
    </row>
    <row r="37" customFormat="false" ht="93" hidden="false" customHeight="true" outlineLevel="0" collapsed="false">
      <c r="A37" s="16" t="s">
        <v>745</v>
      </c>
      <c r="B37" s="17" t="s">
        <v>746</v>
      </c>
      <c r="C37" s="58" t="str">
        <f aca="false">G36</f>
        <v>-</v>
      </c>
      <c r="D37" s="58" t="str">
        <f aca="false">G36</f>
        <v>-</v>
      </c>
      <c r="E37" s="54" t="str">
        <f aca="false">G36</f>
        <v>-</v>
      </c>
      <c r="F37" s="58" t="n">
        <f aca="false">WORKDAY.INTL(G27,1,"0000100",$C$14)</f>
        <v>46321</v>
      </c>
      <c r="G37" s="58" t="n">
        <f aca="false">WORKDAY.INTL(F37,H37-1,"0000100",$C$14)</f>
        <v>46328</v>
      </c>
      <c r="H37" s="54" t="n">
        <f aca="false">$E$177</f>
        <v>7</v>
      </c>
      <c r="I37" s="19" t="s">
        <v>747</v>
      </c>
      <c r="J37" s="19"/>
    </row>
    <row r="38" customFormat="false" ht="118.5" hidden="false" customHeight="true" outlineLevel="0" collapsed="false">
      <c r="A38" s="16" t="s">
        <v>748</v>
      </c>
      <c r="B38" s="17" t="s">
        <v>749</v>
      </c>
      <c r="C38" s="58" t="str">
        <f aca="false">G36</f>
        <v>-</v>
      </c>
      <c r="D38" s="58" t="str">
        <f aca="false">G36</f>
        <v>-</v>
      </c>
      <c r="E38" s="54" t="str">
        <f aca="false">G36</f>
        <v>-</v>
      </c>
      <c r="F38" s="58" t="n">
        <f aca="false">WORKDAY.INTL(MAX(G37,G33),1,"0000100",$C$14)</f>
        <v>46342</v>
      </c>
      <c r="G38" s="58" t="n">
        <f aca="false">WORKDAY.INTL(F38,H38-1,"0000100",$C$14)</f>
        <v>46344</v>
      </c>
      <c r="H38" s="54" t="n">
        <v>3</v>
      </c>
      <c r="I38" s="19" t="s">
        <v>750</v>
      </c>
      <c r="J38" s="19"/>
    </row>
    <row r="39" customFormat="false" ht="30" hidden="false" customHeight="true" outlineLevel="0" collapsed="false">
      <c r="A39" s="16" t="s">
        <v>751</v>
      </c>
      <c r="B39" s="17" t="s">
        <v>752</v>
      </c>
      <c r="C39" s="58" t="str">
        <f aca="false">G36</f>
        <v>-</v>
      </c>
      <c r="D39" s="58" t="str">
        <f aca="false">G36</f>
        <v>-</v>
      </c>
      <c r="E39" s="54" t="str">
        <f aca="false">G36</f>
        <v>-</v>
      </c>
      <c r="F39" s="58" t="n">
        <f aca="false">WORKDAY.INTL(G38,1,"0000100",$C$14)</f>
        <v>46345</v>
      </c>
      <c r="G39" s="58" t="n">
        <f aca="false">WORKDAY.INTL(F39,H39-1,"0000100",$C$14)</f>
        <v>46352</v>
      </c>
      <c r="H39" s="54" t="n">
        <f aca="false">$E$178</f>
        <v>7</v>
      </c>
      <c r="I39" s="19" t="s">
        <v>753</v>
      </c>
      <c r="J39" s="19"/>
    </row>
    <row r="40" customFormat="false" ht="132" hidden="false" customHeight="true" outlineLevel="0" collapsed="false">
      <c r="A40" s="16" t="s">
        <v>754</v>
      </c>
      <c r="B40" s="17" t="s">
        <v>755</v>
      </c>
      <c r="C40" s="58" t="str">
        <f aca="false">G36</f>
        <v>-</v>
      </c>
      <c r="D40" s="58" t="str">
        <f aca="false">G36</f>
        <v>-</v>
      </c>
      <c r="E40" s="54" t="str">
        <f aca="false">G36</f>
        <v>-</v>
      </c>
      <c r="F40" s="58" t="n">
        <f aca="false">WORKDAY.INTL(G35,1,"0000100",$C$14)</f>
        <v>46365</v>
      </c>
      <c r="G40" s="58" t="n">
        <f aca="false">WORKDAY.INTL(F40,H40-1,"0000100",$C$14)</f>
        <v>46368</v>
      </c>
      <c r="H40" s="54" t="n">
        <v>3</v>
      </c>
      <c r="I40" s="19" t="s">
        <v>756</v>
      </c>
      <c r="J40" s="19"/>
    </row>
    <row r="41" customFormat="false" ht="67.5" hidden="false" customHeight="true" outlineLevel="0" collapsed="false">
      <c r="A41" s="16" t="s">
        <v>757</v>
      </c>
      <c r="B41" s="17" t="s">
        <v>758</v>
      </c>
      <c r="C41" s="58" t="str">
        <f aca="false">G36</f>
        <v>-</v>
      </c>
      <c r="D41" s="58" t="str">
        <f aca="false">G36</f>
        <v>-</v>
      </c>
      <c r="E41" s="54" t="str">
        <f aca="false">G36</f>
        <v>-</v>
      </c>
      <c r="F41" s="58" t="n">
        <f aca="false">WORKDAY.INTL(MAX(G35,G39,G40),1,"0000100",$C$14)</f>
        <v>46369</v>
      </c>
      <c r="G41" s="58" t="n">
        <f aca="false">WORKDAY.INTL(F41,H41-1,"0000100",$C$14)</f>
        <v>46371</v>
      </c>
      <c r="H41" s="54" t="n">
        <v>3</v>
      </c>
      <c r="I41" s="19" t="s">
        <v>759</v>
      </c>
      <c r="J41" s="19"/>
    </row>
    <row r="42" customFormat="false" ht="42" hidden="false" customHeight="true" outlineLevel="0" collapsed="false">
      <c r="A42" s="16" t="s">
        <v>760</v>
      </c>
      <c r="B42" s="17" t="s">
        <v>761</v>
      </c>
      <c r="C42" s="58" t="n">
        <f aca="false">$D$179</f>
        <v>46372</v>
      </c>
      <c r="D42" s="58" t="n">
        <f aca="false">C42</f>
        <v>46372</v>
      </c>
      <c r="E42" s="54" t="s">
        <v>737</v>
      </c>
      <c r="F42" s="58" t="n">
        <f aca="false">G41</f>
        <v>46371</v>
      </c>
      <c r="G42" s="58" t="n">
        <f aca="false">F42</f>
        <v>46371</v>
      </c>
      <c r="H42" s="54" t="s">
        <v>737</v>
      </c>
      <c r="I42" s="19" t="s">
        <v>762</v>
      </c>
      <c r="J42" s="19"/>
    </row>
    <row r="43" customFormat="false" ht="30" hidden="false" customHeight="true" outlineLevel="0" collapsed="false">
      <c r="A43" s="16" t="s">
        <v>763</v>
      </c>
      <c r="B43" s="17" t="s">
        <v>764</v>
      </c>
      <c r="C43" s="58" t="n">
        <f aca="false">$C$181</f>
        <v>46373</v>
      </c>
      <c r="D43" s="58" t="n">
        <f aca="false">$D$181</f>
        <v>46380</v>
      </c>
      <c r="E43" s="54" t="n">
        <f aca="false">NETWORKDAYS.INTL(C43,D43,"0000100",$C$14)</f>
        <v>7</v>
      </c>
      <c r="F43" s="58" t="n">
        <f aca="false">WORKDAY.INTL(G42,1,"0000100",$C$14)</f>
        <v>46372</v>
      </c>
      <c r="G43" s="58" t="n">
        <f aca="false">WORKDAY.INTL(F43,H43-1,"0000100",$C$14)</f>
        <v>46379</v>
      </c>
      <c r="H43" s="54" t="n">
        <f aca="false">E43</f>
        <v>7</v>
      </c>
      <c r="I43" s="19" t="s">
        <v>765</v>
      </c>
      <c r="J43" s="19"/>
    </row>
    <row r="44" customFormat="false" ht="19.5" hidden="false" customHeight="true" outlineLevel="0" collapsed="false">
      <c r="A44" s="23"/>
      <c r="B44" s="23" t="s">
        <v>766</v>
      </c>
      <c r="C44" s="23"/>
      <c r="D44" s="23"/>
      <c r="E44" s="23"/>
      <c r="F44" s="23"/>
      <c r="G44" s="23"/>
      <c r="H44" s="23"/>
      <c r="I44" s="23"/>
      <c r="J44" s="23"/>
    </row>
    <row r="45" customFormat="false" ht="118.5" hidden="false" customHeight="true" outlineLevel="0" collapsed="false">
      <c r="A45" s="16" t="s">
        <v>767</v>
      </c>
      <c r="B45" s="17" t="s">
        <v>768</v>
      </c>
      <c r="C45" s="58" t="n">
        <f aca="false">C20</f>
        <v>46256</v>
      </c>
      <c r="D45" s="58" t="n">
        <f aca="false">D43</f>
        <v>46380</v>
      </c>
      <c r="E45" s="54" t="n">
        <f aca="false">D45-C45+1</f>
        <v>125</v>
      </c>
      <c r="F45" s="58" t="n">
        <f aca="false">F20</f>
        <v>46256</v>
      </c>
      <c r="G45" s="58" t="n">
        <f aca="false">G43</f>
        <v>46379</v>
      </c>
      <c r="H45" s="54" t="n">
        <f aca="false">G45-F45+1</f>
        <v>124</v>
      </c>
      <c r="I45" s="19" t="s">
        <v>769</v>
      </c>
      <c r="J45" s="19"/>
    </row>
    <row r="46" customFormat="false" ht="30" hidden="false" customHeight="true" outlineLevel="0" collapsed="false">
      <c r="A46" s="16" t="s">
        <v>770</v>
      </c>
      <c r="B46" s="17" t="s">
        <v>771</v>
      </c>
      <c r="C46" s="58" t="n">
        <f aca="false">C20</f>
        <v>46256</v>
      </c>
      <c r="D46" s="58" t="n">
        <f aca="false">D42</f>
        <v>46372</v>
      </c>
      <c r="E46" s="54" t="n">
        <f aca="false">D46-C46+1</f>
        <v>117</v>
      </c>
      <c r="F46" s="58" t="n">
        <f aca="false">F20</f>
        <v>46256</v>
      </c>
      <c r="G46" s="58" t="n">
        <f aca="false">G42</f>
        <v>46371</v>
      </c>
      <c r="H46" s="54" t="n">
        <f aca="false">G46-F46+1</f>
        <v>116</v>
      </c>
      <c r="I46" s="19" t="s">
        <v>772</v>
      </c>
      <c r="J46" s="19"/>
    </row>
    <row r="47" customFormat="false" ht="42" hidden="false" customHeight="true" outlineLevel="0" collapsed="false">
      <c r="A47" s="16" t="s">
        <v>773</v>
      </c>
      <c r="B47" s="17" t="s">
        <v>774</v>
      </c>
      <c r="C47" s="58" t="n">
        <f aca="false">C22</f>
        <v>46277</v>
      </c>
      <c r="D47" s="58" t="n">
        <f aca="false">D33</f>
        <v>46359</v>
      </c>
      <c r="E47" s="54" t="n">
        <f aca="false">D47-C47+1</f>
        <v>83</v>
      </c>
      <c r="F47" s="58" t="n">
        <f aca="false">F22</f>
        <v>46277</v>
      </c>
      <c r="G47" s="58" t="n">
        <f aca="false">G33</f>
        <v>46341</v>
      </c>
      <c r="H47" s="54" t="n">
        <f aca="false">G47-F47+1</f>
        <v>65</v>
      </c>
      <c r="I47" s="19" t="s">
        <v>775</v>
      </c>
      <c r="J47" s="19"/>
    </row>
    <row r="48" customFormat="false" ht="132" hidden="false" customHeight="true" outlineLevel="0" collapsed="false">
      <c r="A48" s="16" t="s">
        <v>776</v>
      </c>
      <c r="B48" s="17" t="s">
        <v>777</v>
      </c>
      <c r="C48" s="58" t="n">
        <f aca="false">$C$146</f>
        <v>46273</v>
      </c>
      <c r="D48" s="58" t="n">
        <f aca="false">MAX(D26,D29)</f>
        <v>46337</v>
      </c>
      <c r="E48" s="54" t="n">
        <f aca="false">NETWORKDAYS.INTL(C48,D48,"0000100",$C$14)</f>
        <v>55</v>
      </c>
      <c r="F48" s="58" t="n">
        <f aca="false">F22</f>
        <v>46277</v>
      </c>
      <c r="G48" s="58" t="n">
        <f aca="false">MAX(G26,G29)</f>
        <v>46319</v>
      </c>
      <c r="H48" s="54" t="n">
        <f aca="false">NETWORKDAYS.INTL(F48,G48,"0000100",$C$14)</f>
        <v>36</v>
      </c>
      <c r="I48" s="19" t="s">
        <v>778</v>
      </c>
      <c r="J48" s="19"/>
    </row>
    <row r="49" customFormat="false" ht="30" hidden="false" customHeight="true" outlineLevel="0" collapsed="false">
      <c r="A49" s="16" t="s">
        <v>779</v>
      </c>
      <c r="B49" s="17" t="s">
        <v>780</v>
      </c>
      <c r="C49" s="58" t="n">
        <f aca="false">C31</f>
        <v>46344</v>
      </c>
      <c r="D49" s="58" t="n">
        <f aca="false">D32</f>
        <v>46356</v>
      </c>
      <c r="E49" s="54" t="n">
        <f aca="false">NETWORKDAYS.INTL(C49,D49,"0000100",$C$14)</f>
        <v>11</v>
      </c>
      <c r="F49" s="58" t="n">
        <f aca="false">F31</f>
        <v>46326</v>
      </c>
      <c r="G49" s="58" t="n">
        <f aca="false">G32</f>
        <v>46337</v>
      </c>
      <c r="H49" s="54" t="n">
        <f aca="false">NETWORKDAYS.INTL(F49,G49,"0000100",$C$14)</f>
        <v>11</v>
      </c>
      <c r="I49" s="19" t="s">
        <v>781</v>
      </c>
      <c r="J49" s="19"/>
    </row>
    <row r="50" customFormat="false" ht="42" hidden="false" customHeight="true" outlineLevel="0" collapsed="false">
      <c r="A50" s="16" t="s">
        <v>782</v>
      </c>
      <c r="B50" s="17" t="s">
        <v>783</v>
      </c>
      <c r="C50" s="58" t="n">
        <f aca="false">C23</f>
        <v>46301</v>
      </c>
      <c r="D50" s="58" t="n">
        <f aca="false">D32</f>
        <v>46356</v>
      </c>
      <c r="E50" s="54" t="n">
        <f aca="false">D50-C50+1</f>
        <v>56</v>
      </c>
      <c r="F50" s="58" t="n">
        <f aca="false">F23</f>
        <v>46284</v>
      </c>
      <c r="G50" s="58" t="n">
        <f aca="false">G32</f>
        <v>46337</v>
      </c>
      <c r="H50" s="54" t="n">
        <f aca="false">G50-F50+1</f>
        <v>54</v>
      </c>
      <c r="I50" s="19" t="s">
        <v>784</v>
      </c>
      <c r="J50" s="19"/>
    </row>
    <row r="51" customFormat="false" ht="30" hidden="false" customHeight="true" outlineLevel="0" collapsed="false">
      <c r="A51" s="16" t="s">
        <v>785</v>
      </c>
      <c r="B51" s="17" t="s">
        <v>786</v>
      </c>
      <c r="C51" s="58" t="n">
        <f aca="false">C48</f>
        <v>46273</v>
      </c>
      <c r="D51" s="58" t="n">
        <f aca="false">D32</f>
        <v>46356</v>
      </c>
      <c r="E51" s="54" t="n">
        <f aca="false">D51-C51+1</f>
        <v>84</v>
      </c>
      <c r="F51" s="58" t="n">
        <f aca="false">F22</f>
        <v>46277</v>
      </c>
      <c r="G51" s="58" t="n">
        <f aca="false">G32</f>
        <v>46337</v>
      </c>
      <c r="H51" s="54" t="n">
        <f aca="false">G51-F51+1</f>
        <v>61</v>
      </c>
      <c r="I51" s="19" t="s">
        <v>787</v>
      </c>
      <c r="J51" s="19"/>
    </row>
    <row r="52" customFormat="false" ht="19.5" hidden="false" customHeight="true" outlineLevel="0" collapsed="false">
      <c r="A52" s="23"/>
      <c r="B52" s="23" t="s">
        <v>788</v>
      </c>
      <c r="C52" s="23"/>
      <c r="D52" s="23"/>
      <c r="E52" s="23"/>
      <c r="F52" s="23"/>
      <c r="G52" s="23"/>
      <c r="H52" s="23"/>
      <c r="I52" s="23"/>
      <c r="J52" s="23"/>
    </row>
    <row r="53" customFormat="false" ht="67.5" hidden="false" customHeight="true" outlineLevel="0" collapsed="false">
      <c r="A53" s="16" t="s">
        <v>789</v>
      </c>
      <c r="B53" s="17" t="s">
        <v>790</v>
      </c>
      <c r="C53" s="58" t="n">
        <f aca="false">C20</f>
        <v>46256</v>
      </c>
      <c r="D53" s="58" t="n">
        <f aca="false">WORKDAY.INTL(WORKDAY.INTL(MAX(D35,WORKDAY.INTL(WORKDAY.INTL(WORKDAY.INTL(WORKDAY.INTL(MAX(WORKDAY.INTL(WORKDAY.INTL(D27,1,"0000100",$C$14),7-1,"0000100",$C$14),D33),1,"0000100",$C$14),3-1,"0000100",$C$14),1,"0000100",$C$14),7-1,"0000100",$C$14),WORKDAY.INTL(WORKDAY.INTL(D35,1,"0000100",$C$14),3-1,"0000100",$C$14)),1,"0000100",$C$14),3-1,"0000100",$C$14)</f>
        <v>46375</v>
      </c>
      <c r="E53" s="54" t="n">
        <f aca="false">D53-C53+1</f>
        <v>120</v>
      </c>
      <c r="F53" s="58" t="s">
        <v>737</v>
      </c>
      <c r="G53" s="58" t="s">
        <v>737</v>
      </c>
      <c r="H53" s="54" t="s">
        <v>737</v>
      </c>
      <c r="I53" s="19" t="s">
        <v>791</v>
      </c>
      <c r="J53" s="19"/>
    </row>
    <row r="54" customFormat="false" ht="67.5" hidden="false" customHeight="true" outlineLevel="0" collapsed="false">
      <c r="A54" s="16" t="s">
        <v>792</v>
      </c>
      <c r="B54" s="17" t="s">
        <v>793</v>
      </c>
      <c r="C54" s="58" t="n">
        <f aca="false">F20</f>
        <v>46256</v>
      </c>
      <c r="D54" s="58" t="n">
        <f aca="false">WORKDAY.INTL(WORKDAY.INTL(WORKDAY.INTL(WORKDAY.INTL(MAX(G35,WORKDAY.INTL(WORKDAY.INTL(WORKDAY.INTL(WORKDAY.INTL(WORKDAY.INTL(WORKDAY.INTL(G35,1,"0000100",$C$14),7-1,"0000100",$C$14),1,"0000100",$C$14),3-1,"0000100",$C$14),1,"0000100",$C$14),7-1,"0000100",$C$14),WORKDAY.INTL(WORKDAY.INTL(G35,1,"0000100",$C$14),3-1,"0000100",$C$14)),1,"0000100",$C$14),3-1,"0000100",$C$14),1,"0000100",$C$14),7-1,"0000100",$C$14)</f>
        <v>46396</v>
      </c>
      <c r="E54" s="54" t="n">
        <f aca="false">D54-C54+1</f>
        <v>141</v>
      </c>
      <c r="F54" s="58" t="s">
        <v>737</v>
      </c>
      <c r="G54" s="58" t="s">
        <v>737</v>
      </c>
      <c r="H54" s="54" t="s">
        <v>737</v>
      </c>
      <c r="I54" s="19" t="s">
        <v>794</v>
      </c>
      <c r="J54" s="19"/>
    </row>
    <row r="55" customFormat="false" ht="67.5" hidden="false" customHeight="true" outlineLevel="0" collapsed="false">
      <c r="A55" s="16" t="s">
        <v>795</v>
      </c>
      <c r="B55" s="17" t="s">
        <v>796</v>
      </c>
      <c r="C55" s="59" t="n">
        <f aca="false">E54-H45</f>
        <v>17</v>
      </c>
      <c r="D55" s="58" t="s">
        <v>737</v>
      </c>
      <c r="E55" s="18" t="n">
        <f aca="false">D60*(ROUND((H45+C55)/$C$15,1)-G60)+D61*(ROUND((H45+C55)/$C$15,1)-G61)+D62*(ROUND((H45+C55)/$C$15,1)-G62)+D63*(ROUND((H45+C55)/$C$15,1)-G63)+D64*(ROUND((H45+C55)/$C$15,1)-G64)+D65*(ROUND((H45+C55)/$C$15,1)-G65)+D66*(ROUND((H45+C55)/$C$15,1)-G66)+D67*(ROUND((H45+C55)/$C$15,1)-G67)+D69*(ROUND((H45+C55)/$C$15,1)-G69)+D71*(ROUND((H45+C55)/$C$15,1)-G71)+D72*(ROUND((H45+C55)/$C$15,1)-G72)+D77*(ROUND((H46+C55)/$C$15,1)-G77)+D78*(ROUND((H45+C55)/$C$15,1)-G78)+D79*(ROUND((H45+C55)/$C$15,1)-G79)+D68*(2*ROUNDUP((H45+C55)/7,0)-G68)</f>
        <v>42475</v>
      </c>
      <c r="F55" s="58" t="s">
        <v>737</v>
      </c>
      <c r="G55" s="58" t="s">
        <v>737</v>
      </c>
      <c r="H55" s="54" t="s">
        <v>737</v>
      </c>
      <c r="I55" s="19" t="s">
        <v>797</v>
      </c>
      <c r="J55" s="19"/>
    </row>
    <row r="57" customFormat="false" ht="21" hidden="false" customHeight="true" outlineLevel="0" collapsed="false">
      <c r="A57" s="15" t="s">
        <v>798</v>
      </c>
      <c r="B57" s="15"/>
      <c r="C57" s="15"/>
      <c r="D57" s="15"/>
      <c r="E57" s="15"/>
      <c r="F57" s="15"/>
      <c r="G57" s="15"/>
      <c r="H57" s="15"/>
      <c r="I57" s="15"/>
      <c r="J57" s="15"/>
    </row>
    <row r="58" customFormat="false" ht="43.5" hidden="false" customHeight="true" outlineLevel="0" collapsed="false">
      <c r="A58" s="11" t="s">
        <v>799</v>
      </c>
      <c r="B58" s="11"/>
      <c r="C58" s="11"/>
      <c r="D58" s="11"/>
      <c r="E58" s="11"/>
      <c r="F58" s="11"/>
      <c r="G58" s="11"/>
      <c r="H58" s="11"/>
      <c r="I58" s="11"/>
      <c r="J58" s="11"/>
    </row>
    <row r="59" customFormat="false" ht="42" hidden="false" customHeight="true" outlineLevel="0" collapsed="false">
      <c r="A59" s="13" t="s">
        <v>92</v>
      </c>
      <c r="B59" s="13" t="s">
        <v>800</v>
      </c>
      <c r="C59" s="13" t="s">
        <v>37</v>
      </c>
      <c r="D59" s="13" t="s">
        <v>39</v>
      </c>
      <c r="E59" s="13" t="s">
        <v>801</v>
      </c>
      <c r="F59" s="13" t="s">
        <v>802</v>
      </c>
      <c r="G59" s="13" t="s">
        <v>803</v>
      </c>
      <c r="H59" s="13" t="s">
        <v>804</v>
      </c>
      <c r="I59" s="13" t="s">
        <v>805</v>
      </c>
      <c r="J59" s="13" t="s">
        <v>806</v>
      </c>
    </row>
    <row r="60" customFormat="false" ht="30" hidden="false" customHeight="true" outlineLevel="0" collapsed="false">
      <c r="A60" s="16" t="s">
        <v>94</v>
      </c>
      <c r="B60" s="17" t="str">
        <f aca="false">'Build-Up'!B9</f>
        <v>Site engineer - dedicated to the tank site</v>
      </c>
      <c r="C60" s="16" t="str">
        <f aca="false">'Build-Up'!C9</f>
        <v>month</v>
      </c>
      <c r="D60" s="18" t="n">
        <f aca="false">'Build-Up'!E9</f>
        <v>12000</v>
      </c>
      <c r="E60" s="18" t="n">
        <v>3</v>
      </c>
      <c r="F60" s="18" t="n">
        <f aca="false">ROUND(E45/$C$15,1)</f>
        <v>4.1</v>
      </c>
      <c r="G60" s="20" t="n">
        <f aca="false">ROUND(H45/$C$15,1)</f>
        <v>4.1</v>
      </c>
      <c r="H60" s="18" t="n">
        <f aca="false">ROUND(F60*D60,2)</f>
        <v>49200</v>
      </c>
      <c r="I60" s="18" t="n">
        <f aca="false">ROUND(G60*D60,2)</f>
        <v>49200</v>
      </c>
      <c r="J60" s="19" t="s">
        <v>807</v>
      </c>
    </row>
    <row r="61" customFormat="false" ht="30" hidden="false" customHeight="true" outlineLevel="0" collapsed="false">
      <c r="A61" s="16" t="s">
        <v>98</v>
      </c>
      <c r="B61" s="17" t="str">
        <f aca="false">'Build-Up'!B10</f>
        <v>HSE officer - dedicated</v>
      </c>
      <c r="C61" s="16" t="str">
        <f aca="false">'Build-Up'!C10</f>
        <v>month</v>
      </c>
      <c r="D61" s="18" t="n">
        <f aca="false">'Build-Up'!E10</f>
        <v>10000</v>
      </c>
      <c r="E61" s="18" t="n">
        <v>3</v>
      </c>
      <c r="F61" s="18" t="n">
        <f aca="false">ROUND(E45/$C$15,1)</f>
        <v>4.1</v>
      </c>
      <c r="G61" s="20" t="n">
        <f aca="false">ROUND(H45/$C$15,1)</f>
        <v>4.1</v>
      </c>
      <c r="H61" s="18" t="n">
        <f aca="false">ROUND(F61*D61,2)</f>
        <v>41000</v>
      </c>
      <c r="I61" s="18" t="n">
        <f aca="false">ROUND(G61*D61,2)</f>
        <v>41000</v>
      </c>
      <c r="J61" s="19" t="s">
        <v>807</v>
      </c>
    </row>
    <row r="62" customFormat="false" ht="30" hidden="false" customHeight="true" outlineLevel="0" collapsed="false">
      <c r="A62" s="16" t="s">
        <v>101</v>
      </c>
      <c r="B62" s="17" t="str">
        <f aca="false">'Build-Up'!B11</f>
        <v>QA/QC inspector - dedicated (daily inspections, ITPs and WIRs during erection)</v>
      </c>
      <c r="C62" s="16" t="str">
        <f aca="false">'Build-Up'!C11</f>
        <v>month</v>
      </c>
      <c r="D62" s="18" t="n">
        <f aca="false">'Build-Up'!E11</f>
        <v>10000</v>
      </c>
      <c r="E62" s="18" t="n">
        <v>3</v>
      </c>
      <c r="F62" s="18" t="n">
        <f aca="false">ROUND(E45/$C$15,1)</f>
        <v>4.1</v>
      </c>
      <c r="G62" s="20" t="n">
        <f aca="false">ROUND(H45/$C$15,1)</f>
        <v>4.1</v>
      </c>
      <c r="H62" s="18" t="n">
        <f aca="false">ROUND(F62*D62,2)</f>
        <v>41000</v>
      </c>
      <c r="I62" s="18" t="n">
        <f aca="false">ROUND(G62*D62,2)</f>
        <v>41000</v>
      </c>
      <c r="J62" s="19" t="s">
        <v>807</v>
      </c>
    </row>
    <row r="63" customFormat="false" ht="30" hidden="false" customHeight="true" outlineLevel="0" collapsed="false">
      <c r="A63" s="16" t="s">
        <v>104</v>
      </c>
      <c r="B63" s="17" t="str">
        <f aca="false">'Build-Up'!B12</f>
        <v>Works foreman - dedicated</v>
      </c>
      <c r="C63" s="16" t="str">
        <f aca="false">'Build-Up'!C12</f>
        <v>month</v>
      </c>
      <c r="D63" s="18" t="n">
        <f aca="false">'Build-Up'!E12</f>
        <v>8000</v>
      </c>
      <c r="E63" s="18" t="n">
        <v>3</v>
      </c>
      <c r="F63" s="18" t="n">
        <f aca="false">ROUND(E45/$C$15,1)</f>
        <v>4.1</v>
      </c>
      <c r="G63" s="20" t="n">
        <f aca="false">ROUND(H45/$C$15,1)</f>
        <v>4.1</v>
      </c>
      <c r="H63" s="18" t="n">
        <f aca="false">ROUND(F63*D63,2)</f>
        <v>32800</v>
      </c>
      <c r="I63" s="18" t="n">
        <f aca="false">ROUND(G63*D63,2)</f>
        <v>32800</v>
      </c>
      <c r="J63" s="19" t="s">
        <v>807</v>
      </c>
    </row>
    <row r="64" customFormat="false" ht="30" hidden="false" customHeight="true" outlineLevel="0" collapsed="false">
      <c r="A64" s="16" t="s">
        <v>106</v>
      </c>
      <c r="B64" s="17" t="str">
        <f aca="false">'Build-Up'!B13</f>
        <v>Storekeeper / timekeeper</v>
      </c>
      <c r="C64" s="16" t="str">
        <f aca="false">'Build-Up'!C13</f>
        <v>month</v>
      </c>
      <c r="D64" s="18" t="n">
        <f aca="false">'Build-Up'!E13</f>
        <v>4000</v>
      </c>
      <c r="E64" s="18" t="n">
        <v>3</v>
      </c>
      <c r="F64" s="18" t="n">
        <f aca="false">ROUND(E45/$C$15,1)</f>
        <v>4.1</v>
      </c>
      <c r="G64" s="20" t="n">
        <f aca="false">ROUND(H45/$C$15,1)</f>
        <v>4.1</v>
      </c>
      <c r="H64" s="18" t="n">
        <f aca="false">ROUND(F64*D64,2)</f>
        <v>16400</v>
      </c>
      <c r="I64" s="18" t="n">
        <f aca="false">ROUND(G64*D64,2)</f>
        <v>16400</v>
      </c>
      <c r="J64" s="19" t="s">
        <v>807</v>
      </c>
    </row>
    <row r="65" customFormat="false" ht="30" hidden="false" customHeight="true" outlineLevel="0" collapsed="false">
      <c r="A65" s="16" t="s">
        <v>109</v>
      </c>
      <c r="B65" s="17" t="str">
        <f aca="false">'Build-Up'!B14</f>
        <v>Site office porta cabin, air-conditioned, rental with electricity connection and maintenance</v>
      </c>
      <c r="C65" s="16" t="str">
        <f aca="false">'Build-Up'!C14</f>
        <v>month</v>
      </c>
      <c r="D65" s="18" t="n">
        <f aca="false">'Build-Up'!E14</f>
        <v>2200</v>
      </c>
      <c r="E65" s="18" t="n">
        <v>3</v>
      </c>
      <c r="F65" s="18" t="n">
        <f aca="false">ROUND(E45/$C$15,1)</f>
        <v>4.1</v>
      </c>
      <c r="G65" s="20" t="n">
        <f aca="false">ROUND(H45/$C$15,1)</f>
        <v>4.1</v>
      </c>
      <c r="H65" s="18" t="n">
        <f aca="false">ROUND(F65*D65,2)</f>
        <v>9020</v>
      </c>
      <c r="I65" s="18" t="n">
        <f aca="false">ROUND(G65*D65,2)</f>
        <v>9020</v>
      </c>
      <c r="J65" s="19" t="s">
        <v>808</v>
      </c>
    </row>
    <row r="66" customFormat="false" ht="30" hidden="false" customHeight="true" outlineLevel="0" collapsed="false">
      <c r="A66" s="16" t="s">
        <v>112</v>
      </c>
      <c r="B66" s="17" t="str">
        <f aca="false">'Build-Up'!B15</f>
        <v>Rest and welfare porta cabin, air-conditioned, rental with electricity connection and maintenance</v>
      </c>
      <c r="C66" s="16" t="str">
        <f aca="false">'Build-Up'!C15</f>
        <v>month</v>
      </c>
      <c r="D66" s="18" t="n">
        <f aca="false">'Build-Up'!E15</f>
        <v>2200</v>
      </c>
      <c r="E66" s="18" t="n">
        <v>3</v>
      </c>
      <c r="F66" s="18" t="n">
        <f aca="false">ROUND(E45/$C$15,1)</f>
        <v>4.1</v>
      </c>
      <c r="G66" s="20" t="n">
        <f aca="false">ROUND(H45/$C$15,1)</f>
        <v>4.1</v>
      </c>
      <c r="H66" s="18" t="n">
        <f aca="false">ROUND(F66*D66,2)</f>
        <v>9020</v>
      </c>
      <c r="I66" s="18" t="n">
        <f aca="false">ROUND(G66*D66,2)</f>
        <v>9020</v>
      </c>
      <c r="J66" s="19" t="s">
        <v>808</v>
      </c>
    </row>
    <row r="67" customFormat="false" ht="30" hidden="false" customHeight="true" outlineLevel="0" collapsed="false">
      <c r="A67" s="16" t="s">
        <v>114</v>
      </c>
      <c r="B67" s="17" t="str">
        <f aca="false">'Build-Up'!B16</f>
        <v>WC unit, rental with servicing</v>
      </c>
      <c r="C67" s="16" t="str">
        <f aca="false">'Build-Up'!C16</f>
        <v>month</v>
      </c>
      <c r="D67" s="18" t="n">
        <f aca="false">'Build-Up'!E16</f>
        <v>1300</v>
      </c>
      <c r="E67" s="18" t="n">
        <v>3</v>
      </c>
      <c r="F67" s="18" t="n">
        <f aca="false">ROUND(E45/$C$15,1)</f>
        <v>4.1</v>
      </c>
      <c r="G67" s="20" t="n">
        <f aca="false">ROUND(H45/$C$15,1)</f>
        <v>4.1</v>
      </c>
      <c r="H67" s="18" t="n">
        <f aca="false">ROUND(F67*D67,2)</f>
        <v>5330</v>
      </c>
      <c r="I67" s="18" t="n">
        <f aca="false">ROUND(G67*D67,2)</f>
        <v>5330</v>
      </c>
      <c r="J67" s="19" t="s">
        <v>808</v>
      </c>
    </row>
    <row r="68" customFormat="false" ht="30" hidden="false" customHeight="true" outlineLevel="0" collapsed="false">
      <c r="A68" s="16" t="s">
        <v>116</v>
      </c>
      <c r="B68" s="17" t="str">
        <f aca="false">'Build-Up'!B17</f>
        <v>Site water supply - tankered deliveries for welfare and general site use, whole period</v>
      </c>
      <c r="C68" s="16" t="str">
        <f aca="false">'Build-Up'!C17</f>
        <v>delivery</v>
      </c>
      <c r="D68" s="18" t="n">
        <f aca="false">'Build-Up'!E17</f>
        <v>350</v>
      </c>
      <c r="E68" s="18" t="n">
        <v>26</v>
      </c>
      <c r="F68" s="18" t="n">
        <f aca="false">2*ROUNDUP(E45/7,0)</f>
        <v>36</v>
      </c>
      <c r="G68" s="20" t="n">
        <f aca="false">2*ROUNDUP(H45/7,0)</f>
        <v>36</v>
      </c>
      <c r="H68" s="18" t="n">
        <f aca="false">ROUND(F68*D68,2)</f>
        <v>12600</v>
      </c>
      <c r="I68" s="18" t="n">
        <f aca="false">ROUND(G68*D68,2)</f>
        <v>12600</v>
      </c>
      <c r="J68" s="19" t="s">
        <v>809</v>
      </c>
    </row>
    <row r="69" customFormat="false" ht="30" hidden="false" customHeight="true" outlineLevel="0" collapsed="false">
      <c r="A69" s="16" t="s">
        <v>120</v>
      </c>
      <c r="B69" s="17" t="str">
        <f aca="false">'Build-Up'!B18</f>
        <v>Site water storage tank, hire</v>
      </c>
      <c r="C69" s="16" t="str">
        <f aca="false">'Build-Up'!C18</f>
        <v>month</v>
      </c>
      <c r="D69" s="18" t="n">
        <f aca="false">'Build-Up'!E18</f>
        <v>350</v>
      </c>
      <c r="E69" s="18" t="n">
        <v>3</v>
      </c>
      <c r="F69" s="18" t="n">
        <f aca="false">ROUND(E45/$C$15,1)</f>
        <v>4.1</v>
      </c>
      <c r="G69" s="20" t="n">
        <f aca="false">ROUND(H45/$C$15,1)</f>
        <v>4.1</v>
      </c>
      <c r="H69" s="18" t="n">
        <f aca="false">ROUND(F69*D69,2)</f>
        <v>1435</v>
      </c>
      <c r="I69" s="18" t="n">
        <f aca="false">ROUND(G69*D69,2)</f>
        <v>1435</v>
      </c>
      <c r="J69" s="19" t="s">
        <v>808</v>
      </c>
    </row>
    <row r="70" customFormat="false" ht="30" hidden="false" customHeight="true" outlineLevel="0" collapsed="false">
      <c r="A70" s="16" t="s">
        <v>122</v>
      </c>
      <c r="B70" s="17" t="str">
        <f aca="false">'Build-Up'!B19</f>
        <v>Storage containers, 2 No. for the panel storage window (RFP Scope of Works, work package 1 - pre-construction and setup: safe storage of panels)</v>
      </c>
      <c r="C70" s="16" t="str">
        <f aca="false">'Build-Up'!C19</f>
        <v>container-month</v>
      </c>
      <c r="D70" s="18" t="n">
        <f aca="false">'Build-Up'!E19</f>
        <v>1200</v>
      </c>
      <c r="E70" s="18" t="n">
        <v>6</v>
      </c>
      <c r="F70" s="18" t="n">
        <f aca="false">2*ROUND(E51/$C$15,1)</f>
        <v>5.6</v>
      </c>
      <c r="G70" s="20" t="n">
        <f aca="false">2*ROUND(H51/$C$15,1)</f>
        <v>4</v>
      </c>
      <c r="H70" s="18" t="n">
        <f aca="false">ROUND(F70*D70,2)</f>
        <v>6720</v>
      </c>
      <c r="I70" s="18" t="n">
        <f aca="false">ROUND(G70*D70,2)</f>
        <v>4800</v>
      </c>
      <c r="J70" s="19" t="s">
        <v>810</v>
      </c>
    </row>
    <row r="71" customFormat="false" ht="54.75" hidden="false" customHeight="true" outlineLevel="0" collapsed="false">
      <c r="A71" s="16" t="s">
        <v>126</v>
      </c>
      <c r="B71" s="17" t="str">
        <f aca="false">'Build-Up'!B20</f>
        <v>Workforce transport to the tank site, daily bus</v>
      </c>
      <c r="C71" s="16" t="str">
        <f aca="false">'Build-Up'!C20</f>
        <v>month</v>
      </c>
      <c r="D71" s="18" t="n">
        <f aca="false">'Build-Up'!E20</f>
        <v>4000</v>
      </c>
      <c r="E71" s="18" t="n">
        <v>3</v>
      </c>
      <c r="F71" s="18" t="n">
        <f aca="false">ROUND(E45/$C$15,1)</f>
        <v>4.1</v>
      </c>
      <c r="G71" s="20" t="n">
        <f aca="false">ROUND(H45/$C$15,1)</f>
        <v>4.1</v>
      </c>
      <c r="H71" s="18" t="n">
        <f aca="false">ROUND(F71*D71,2)</f>
        <v>16400</v>
      </c>
      <c r="I71" s="18" t="n">
        <f aca="false">ROUND(G71*D71,2)</f>
        <v>16400</v>
      </c>
      <c r="J71" s="19" t="s">
        <v>811</v>
      </c>
    </row>
    <row r="72" customFormat="false" ht="30" hidden="false" customHeight="true" outlineLevel="0" collapsed="false">
      <c r="A72" s="16" t="s">
        <v>129</v>
      </c>
      <c r="B72" s="17" t="str">
        <f aca="false">'Build-Up'!B21</f>
        <v>Watchman for the tank site</v>
      </c>
      <c r="C72" s="16" t="str">
        <f aca="false">'Build-Up'!C21</f>
        <v>month</v>
      </c>
      <c r="D72" s="18" t="n">
        <f aca="false">'Build-Up'!E21</f>
        <v>4500</v>
      </c>
      <c r="E72" s="18" t="n">
        <v>3</v>
      </c>
      <c r="F72" s="18" t="n">
        <f aca="false">ROUND(E45/$C$15,1)</f>
        <v>4.1</v>
      </c>
      <c r="G72" s="20" t="n">
        <f aca="false">ROUND(H45/$C$15,1)</f>
        <v>4.1</v>
      </c>
      <c r="H72" s="18" t="n">
        <f aca="false">ROUND(F72*D72,2)</f>
        <v>18450</v>
      </c>
      <c r="I72" s="18" t="n">
        <f aca="false">ROUND(G72*D72,2)</f>
        <v>18450</v>
      </c>
      <c r="J72" s="19" t="s">
        <v>812</v>
      </c>
    </row>
    <row r="73" customFormat="false" ht="30" hidden="false" customHeight="true" outlineLevel="0" collapsed="false">
      <c r="A73" s="16" t="s">
        <v>230</v>
      </c>
      <c r="B73" s="17" t="str">
        <f aca="false">'Build-Up'!B74</f>
        <v>Boom truck (hiab) - offloading and erection support</v>
      </c>
      <c r="C73" s="16" t="str">
        <f aca="false">'Build-Up'!C74</f>
        <v>day</v>
      </c>
      <c r="D73" s="18" t="n">
        <f aca="false">'Build-Up'!E74</f>
        <v>1200</v>
      </c>
      <c r="E73" s="18" t="n">
        <v>50</v>
      </c>
      <c r="F73" s="18" t="n">
        <f aca="false">(E48+E49)</f>
        <v>66</v>
      </c>
      <c r="G73" s="20" t="n">
        <f aca="false">(H48+H49)</f>
        <v>47</v>
      </c>
      <c r="H73" s="18" t="n">
        <f aca="false">ROUND(F73*D73,2)</f>
        <v>79200</v>
      </c>
      <c r="I73" s="18" t="n">
        <f aca="false">ROUND(G73*D73,2)</f>
        <v>56400</v>
      </c>
      <c r="J73" s="19" t="s">
        <v>813</v>
      </c>
    </row>
    <row r="74" customFormat="false" ht="30" hidden="false" customHeight="true" outlineLevel="0" collapsed="false">
      <c r="A74" s="16" t="s">
        <v>233</v>
      </c>
      <c r="B74" s="17" t="str">
        <f aca="false">'Build-Up'!B75</f>
        <v>Telehandler / forklift</v>
      </c>
      <c r="C74" s="16" t="str">
        <f aca="false">'Build-Up'!C75</f>
        <v>day</v>
      </c>
      <c r="D74" s="18" t="n">
        <f aca="false">'Build-Up'!E75</f>
        <v>900</v>
      </c>
      <c r="E74" s="18" t="n">
        <v>50</v>
      </c>
      <c r="F74" s="18" t="n">
        <f aca="false">(E48+E49)</f>
        <v>66</v>
      </c>
      <c r="G74" s="20" t="n">
        <f aca="false">(H48+H49)</f>
        <v>47</v>
      </c>
      <c r="H74" s="18" t="n">
        <f aca="false">ROUND(F74*D74,2)</f>
        <v>59400</v>
      </c>
      <c r="I74" s="18" t="n">
        <f aca="false">ROUND(G74*D74,2)</f>
        <v>42300</v>
      </c>
      <c r="J74" s="19" t="s">
        <v>814</v>
      </c>
    </row>
    <row r="75" customFormat="false" ht="30" hidden="false" customHeight="true" outlineLevel="0" collapsed="false">
      <c r="A75" s="16" t="s">
        <v>240</v>
      </c>
      <c r="B75" s="17" t="str">
        <f aca="false">'Build-Up'!B77</f>
        <v>Mobile aluminium access towers, 2 No. for the access window, whole hire months</v>
      </c>
      <c r="C75" s="16" t="str">
        <f aca="false">'Build-Up'!C77</f>
        <v>tower-month</v>
      </c>
      <c r="D75" s="18" t="n">
        <f aca="false">'Build-Up'!E77</f>
        <v>1800</v>
      </c>
      <c r="E75" s="18" t="n">
        <v>6</v>
      </c>
      <c r="F75" s="18" t="n">
        <f aca="false">2*ROUNDUP(E50/$C$15,0)</f>
        <v>4</v>
      </c>
      <c r="G75" s="20" t="n">
        <f aca="false">2*ROUNDUP(H50/$C$15,0)</f>
        <v>4</v>
      </c>
      <c r="H75" s="18" t="n">
        <f aca="false">ROUND(F75*D75,2)</f>
        <v>7200</v>
      </c>
      <c r="I75" s="18" t="n">
        <f aca="false">ROUND(G75*D75,2)</f>
        <v>7200</v>
      </c>
      <c r="J75" s="19" t="s">
        <v>815</v>
      </c>
    </row>
    <row r="76" customFormat="false" ht="30" hidden="false" customHeight="true" outlineLevel="0" collapsed="false">
      <c r="A76" s="16" t="s">
        <v>246</v>
      </c>
      <c r="B76" s="17" t="str">
        <f aca="false">'Build-Up'!B79</f>
        <v>Podium steps, 2 No. for the access window, whole hire months</v>
      </c>
      <c r="C76" s="16" t="str">
        <f aca="false">'Build-Up'!C79</f>
        <v>unit-month</v>
      </c>
      <c r="D76" s="18" t="n">
        <f aca="false">'Build-Up'!E79</f>
        <v>350</v>
      </c>
      <c r="E76" s="18" t="n">
        <v>6</v>
      </c>
      <c r="F76" s="18" t="n">
        <f aca="false">2*ROUNDUP(E50/$C$15,0)</f>
        <v>4</v>
      </c>
      <c r="G76" s="20" t="n">
        <f aca="false">2*ROUNDUP(H50/$C$15,0)</f>
        <v>4</v>
      </c>
      <c r="H76" s="18" t="n">
        <f aca="false">ROUND(F76*D76,2)</f>
        <v>1400</v>
      </c>
      <c r="I76" s="18" t="n">
        <f aca="false">ROUND(G76*D76,2)</f>
        <v>1400</v>
      </c>
      <c r="J76" s="19" t="s">
        <v>816</v>
      </c>
    </row>
    <row r="77" customFormat="false" ht="30" hidden="false" customHeight="true" outlineLevel="0" collapsed="false">
      <c r="A77" s="16" t="s">
        <v>250</v>
      </c>
      <c r="B77" s="17" t="str">
        <f aca="false">'Build-Up'!B80</f>
        <v>Generator 100 kVA for the works, daytime running with fuel</v>
      </c>
      <c r="C77" s="16" t="str">
        <f aca="false">'Build-Up'!C80</f>
        <v>month</v>
      </c>
      <c r="D77" s="18" t="n">
        <f aca="false">'Build-Up'!E80</f>
        <v>11000</v>
      </c>
      <c r="E77" s="18" t="n">
        <v>3</v>
      </c>
      <c r="F77" s="18" t="n">
        <f aca="false">ROUND(E46/$C$15,1)</f>
        <v>3.8</v>
      </c>
      <c r="G77" s="20" t="n">
        <f aca="false">ROUND(H46/$C$15,1)</f>
        <v>3.8</v>
      </c>
      <c r="H77" s="18" t="n">
        <f aca="false">ROUND(F77*D77,2)</f>
        <v>41800</v>
      </c>
      <c r="I77" s="18" t="n">
        <f aca="false">ROUND(G77*D77,2)</f>
        <v>41800</v>
      </c>
      <c r="J77" s="19" t="s">
        <v>817</v>
      </c>
    </row>
    <row r="78" customFormat="false" ht="30" hidden="false" customHeight="true" outlineLevel="0" collapsed="false">
      <c r="A78" s="16" t="s">
        <v>253</v>
      </c>
      <c r="B78" s="17" t="str">
        <f aca="false">'Build-Up'!B81</f>
        <v>Generator 30 kVA for the site office and welfare cabins, continuous running with fuel, whole period</v>
      </c>
      <c r="C78" s="16" t="str">
        <f aca="false">'Build-Up'!C81</f>
        <v>month</v>
      </c>
      <c r="D78" s="18" t="n">
        <f aca="false">'Build-Up'!E81</f>
        <v>6000</v>
      </c>
      <c r="E78" s="18" t="n">
        <v>3</v>
      </c>
      <c r="F78" s="18" t="n">
        <f aca="false">ROUND(E45/$C$15,1)</f>
        <v>4.1</v>
      </c>
      <c r="G78" s="20" t="n">
        <f aca="false">ROUND(H45/$C$15,1)</f>
        <v>4.1</v>
      </c>
      <c r="H78" s="18" t="n">
        <f aca="false">ROUND(F78*D78,2)</f>
        <v>24600</v>
      </c>
      <c r="I78" s="18" t="n">
        <f aca="false">ROUND(G78*D78,2)</f>
        <v>24600</v>
      </c>
      <c r="J78" s="19" t="s">
        <v>818</v>
      </c>
    </row>
    <row r="79" customFormat="false" ht="30" hidden="false" customHeight="true" outlineLevel="0" collapsed="false">
      <c r="A79" s="16" t="s">
        <v>256</v>
      </c>
      <c r="B79" s="17" t="str">
        <f aca="false">'Build-Up'!B82</f>
        <v>Site transport, pick-up / flatbed</v>
      </c>
      <c r="C79" s="16" t="str">
        <f aca="false">'Build-Up'!C82</f>
        <v>month</v>
      </c>
      <c r="D79" s="18" t="n">
        <f aca="false">'Build-Up'!E82</f>
        <v>3000</v>
      </c>
      <c r="E79" s="18" t="n">
        <v>3</v>
      </c>
      <c r="F79" s="18" t="n">
        <f aca="false">ROUND(E45/$C$15,1)</f>
        <v>4.1</v>
      </c>
      <c r="G79" s="20" t="n">
        <f aca="false">ROUND(H45/$C$15,1)</f>
        <v>4.1</v>
      </c>
      <c r="H79" s="18" t="n">
        <f aca="false">ROUND(F79*D79,2)</f>
        <v>12300</v>
      </c>
      <c r="I79" s="18" t="n">
        <f aca="false">ROUND(G79*D79,2)</f>
        <v>12300</v>
      </c>
      <c r="J79" s="19" t="s">
        <v>819</v>
      </c>
    </row>
    <row r="80" customFormat="false" ht="54.75" hidden="false" customHeight="true" outlineLevel="0" collapsed="false">
      <c r="A80" s="16" t="s">
        <v>259</v>
      </c>
      <c r="B80" s="17" t="str">
        <f aca="false">'Build-Up'!B83</f>
        <v>Attendance labour for the tank supplier - 5 No. helpers for the erection window</v>
      </c>
      <c r="C80" s="16" t="str">
        <f aca="false">'Build-Up'!C83</f>
        <v>man-month</v>
      </c>
      <c r="D80" s="18" t="n">
        <f aca="false">'Build-Up'!E83</f>
        <v>3000</v>
      </c>
      <c r="E80" s="18" t="n">
        <v>15</v>
      </c>
      <c r="F80" s="18" t="n">
        <f aca="false">5*ROUND(E47/$C$15,1)</f>
        <v>13.5</v>
      </c>
      <c r="G80" s="20" t="n">
        <f aca="false">5*ROUND(H47/$C$15,1)</f>
        <v>10.5</v>
      </c>
      <c r="H80" s="18" t="n">
        <f aca="false">ROUND(F80*D80,2)</f>
        <v>40500</v>
      </c>
      <c r="I80" s="18" t="n">
        <f aca="false">ROUND(G80*D80,2)</f>
        <v>31500</v>
      </c>
      <c r="J80" s="19" t="s">
        <v>820</v>
      </c>
    </row>
    <row r="81" customFormat="false" ht="30" hidden="false" customHeight="true" outlineLevel="0" collapsed="false">
      <c r="A81" s="16" t="s">
        <v>263</v>
      </c>
      <c r="B81" s="17" t="str">
        <f aca="false">'Build-Up'!B84</f>
        <v>Power-tool hire</v>
      </c>
      <c r="C81" s="16" t="str">
        <f aca="false">'Build-Up'!C84</f>
        <v>month</v>
      </c>
      <c r="D81" s="18" t="n">
        <f aca="false">'Build-Up'!E84</f>
        <v>2500</v>
      </c>
      <c r="E81" s="18" t="n">
        <v>3</v>
      </c>
      <c r="F81" s="18" t="n">
        <f aca="false">ROUND(E47/$C$15,1)</f>
        <v>2.7</v>
      </c>
      <c r="G81" s="20" t="n">
        <f aca="false">ROUND(H47/$C$15,1)</f>
        <v>2.1</v>
      </c>
      <c r="H81" s="18" t="n">
        <f aca="false">ROUND(F81*D81,2)</f>
        <v>6750</v>
      </c>
      <c r="I81" s="18" t="n">
        <f aca="false">ROUND(G81*D81,2)</f>
        <v>5250</v>
      </c>
      <c r="J81" s="19" t="s">
        <v>821</v>
      </c>
    </row>
    <row r="82" customFormat="false" ht="30" hidden="false" customHeight="true" outlineLevel="0" collapsed="false">
      <c r="A82" s="16" t="s">
        <v>270</v>
      </c>
      <c r="B82" s="17" t="str">
        <f aca="false">'Build-Up'!B87</f>
        <v>Mobile lighting towers, 2 No. for the erection window</v>
      </c>
      <c r="C82" s="16" t="str">
        <f aca="false">'Build-Up'!C87</f>
        <v>unit-month</v>
      </c>
      <c r="D82" s="18" t="n">
        <f aca="false">'Build-Up'!E87</f>
        <v>1200</v>
      </c>
      <c r="E82" s="18" t="n">
        <v>6</v>
      </c>
      <c r="F82" s="18" t="n">
        <f aca="false">2*ROUND(E47/$C$15,1)</f>
        <v>5.4</v>
      </c>
      <c r="G82" s="20" t="n">
        <f aca="false">2*ROUND(H47/$C$15,1)</f>
        <v>4.2</v>
      </c>
      <c r="H82" s="18" t="n">
        <f aca="false">ROUND(F82*D82,2)</f>
        <v>6480</v>
      </c>
      <c r="I82" s="18" t="n">
        <f aca="false">ROUND(G82*D82,2)</f>
        <v>5040</v>
      </c>
      <c r="J82" s="19" t="s">
        <v>822</v>
      </c>
    </row>
    <row r="83" customFormat="false" ht="54.75" hidden="false" customHeight="true" outlineLevel="0" collapsed="false">
      <c r="A83" s="16" t="s">
        <v>284</v>
      </c>
      <c r="B83" s="17" t="str">
        <f aca="false">'Build-Up'!B100</f>
        <v>Test water - first tank fill to test level</v>
      </c>
      <c r="C83" s="16" t="str">
        <f aca="false">'Build-Up'!C100</f>
        <v>m3</v>
      </c>
      <c r="D83" s="18" t="n">
        <f aca="false">'Build-Up'!E100</f>
        <v>6</v>
      </c>
      <c r="E83" s="18" t="n">
        <v>3774</v>
      </c>
      <c r="F83" s="18" t="n">
        <f aca="false">2*3774</f>
        <v>7548</v>
      </c>
      <c r="G83" s="20" t="n">
        <f aca="false">3774</f>
        <v>3774</v>
      </c>
      <c r="H83" s="18" t="n">
        <f aca="false">ROUND(F83*D83,2)</f>
        <v>45288</v>
      </c>
      <c r="I83" s="18" t="n">
        <f aca="false">ROUND(G83*D83,2)</f>
        <v>22644</v>
      </c>
      <c r="J83" s="19" t="s">
        <v>823</v>
      </c>
    </row>
    <row r="84" customFormat="false" ht="30" hidden="false" customHeight="true" outlineLevel="0" collapsed="false">
      <c r="A84" s="16" t="s">
        <v>287</v>
      </c>
      <c r="B84" s="17" t="str">
        <f aca="false">'Build-Up'!B101</f>
        <v>Transfer pump hire - Tank 1 to Tank 2</v>
      </c>
      <c r="C84" s="16" t="str">
        <f aca="false">'Build-Up'!C101</f>
        <v>day</v>
      </c>
      <c r="D84" s="18" t="n">
        <f aca="false">'Build-Up'!E101</f>
        <v>500</v>
      </c>
      <c r="E84" s="18" t="n">
        <v>7</v>
      </c>
      <c r="F84" s="18" t="n">
        <f aca="false">0</f>
        <v>0</v>
      </c>
      <c r="G84" s="20" t="n">
        <f aca="false">7</f>
        <v>7</v>
      </c>
      <c r="H84" s="18" t="n">
        <f aca="false">ROUND(F84*D84,2)</f>
        <v>0</v>
      </c>
      <c r="I84" s="18" t="n">
        <f aca="false">ROUND(G84*D84,2)</f>
        <v>3500</v>
      </c>
      <c r="J84" s="19" t="s">
        <v>824</v>
      </c>
    </row>
    <row r="85" customFormat="false" ht="30" hidden="false" customHeight="true" outlineLevel="0" collapsed="false">
      <c r="A85" s="16" t="s">
        <v>290</v>
      </c>
      <c r="B85" s="17" t="str">
        <f aca="false">'Build-Up'!B102</f>
        <v>Transfer hoses and fittings hire</v>
      </c>
      <c r="C85" s="16" t="str">
        <f aca="false">'Build-Up'!C102</f>
        <v>week</v>
      </c>
      <c r="D85" s="18" t="n">
        <f aca="false">'Build-Up'!E102</f>
        <v>1000</v>
      </c>
      <c r="E85" s="18" t="n">
        <v>1</v>
      </c>
      <c r="F85" s="18" t="n">
        <f aca="false">0</f>
        <v>0</v>
      </c>
      <c r="G85" s="20" t="n">
        <f aca="false">1</f>
        <v>1</v>
      </c>
      <c r="H85" s="18" t="n">
        <f aca="false">ROUND(F85*D85,2)</f>
        <v>0</v>
      </c>
      <c r="I85" s="18" t="n">
        <f aca="false">ROUND(G85*D85,2)</f>
        <v>1000</v>
      </c>
      <c r="J85" s="19" t="s">
        <v>825</v>
      </c>
    </row>
    <row r="86" customFormat="false" ht="30" hidden="false" customHeight="true" outlineLevel="0" collapsed="false">
      <c r="A86" s="16" t="s">
        <v>293</v>
      </c>
      <c r="B86" s="17" t="str">
        <f aca="false">'Build-Up'!B103</f>
        <v>Transfer labour, 2 No. x 3 days</v>
      </c>
      <c r="C86" s="16" t="str">
        <f aca="false">'Build-Up'!C103</f>
        <v>man-day</v>
      </c>
      <c r="D86" s="18" t="n">
        <f aca="false">'Build-Up'!E103</f>
        <v>150</v>
      </c>
      <c r="E86" s="18" t="n">
        <v>6</v>
      </c>
      <c r="F86" s="18" t="n">
        <f aca="false">0</f>
        <v>0</v>
      </c>
      <c r="G86" s="20" t="n">
        <f aca="false">6</f>
        <v>6</v>
      </c>
      <c r="H86" s="18" t="n">
        <f aca="false">ROUND(F86*D86,2)</f>
        <v>0</v>
      </c>
      <c r="I86" s="18" t="n">
        <f aca="false">ROUND(G86*D86,2)</f>
        <v>900</v>
      </c>
      <c r="J86" s="19" t="s">
        <v>826</v>
      </c>
    </row>
    <row r="87" customFormat="false" ht="42" hidden="false" customHeight="true" outlineLevel="0" collapsed="false">
      <c r="A87" s="16" t="s">
        <v>296</v>
      </c>
      <c r="B87" s="17" t="str">
        <f aca="false">'Build-Up'!B104</f>
        <v>Top-up water for losses and test level</v>
      </c>
      <c r="C87" s="16" t="str">
        <f aca="false">'Build-Up'!C104</f>
        <v>m3</v>
      </c>
      <c r="D87" s="18" t="n">
        <f aca="false">'Build-Up'!E104</f>
        <v>6</v>
      </c>
      <c r="E87" s="18" t="n">
        <v>377</v>
      </c>
      <c r="F87" s="18" t="n">
        <f aca="false">ROUND(2*3774*0.1,0)</f>
        <v>755</v>
      </c>
      <c r="G87" s="20" t="n">
        <f aca="false">ROUND(3774*0.1,0)</f>
        <v>377</v>
      </c>
      <c r="H87" s="18" t="n">
        <f aca="false">ROUND(F87*D87,2)</f>
        <v>4530</v>
      </c>
      <c r="I87" s="18" t="n">
        <f aca="false">ROUND(G87*D87,2)</f>
        <v>2262</v>
      </c>
      <c r="J87" s="19" t="s">
        <v>827</v>
      </c>
    </row>
    <row r="88" customFormat="false" ht="93" hidden="false" customHeight="true" outlineLevel="0" collapsed="false">
      <c r="A88" s="16" t="s">
        <v>317</v>
      </c>
      <c r="B88" s="17" t="str">
        <f aca="false">'Build-Up'!B112</f>
        <v>Commissioning engineer</v>
      </c>
      <c r="C88" s="16" t="str">
        <f aca="false">'Build-Up'!C112</f>
        <v>day</v>
      </c>
      <c r="D88" s="18" t="n">
        <f aca="false">'Build-Up'!E112</f>
        <v>2000</v>
      </c>
      <c r="E88" s="18" t="n">
        <v>15</v>
      </c>
      <c r="F88" s="18" t="n">
        <f aca="false">E36+1</f>
        <v>8</v>
      </c>
      <c r="G88" s="20" t="n">
        <f aca="false">H40+H41+2</f>
        <v>8</v>
      </c>
      <c r="H88" s="18" t="n">
        <f aca="false">ROUND(F88*D88,2)</f>
        <v>16000</v>
      </c>
      <c r="I88" s="18" t="n">
        <f aca="false">ROUND(G88*D88,2)</f>
        <v>16000</v>
      </c>
      <c r="J88" s="19" t="s">
        <v>828</v>
      </c>
    </row>
    <row r="89" customFormat="false" ht="42" hidden="false" customHeight="true" outlineLevel="0" collapsed="false">
      <c r="A89" s="16" t="s">
        <v>320</v>
      </c>
      <c r="B89" s="17" t="str">
        <f aca="false">'Build-Up'!B113</f>
        <v>MEP technicians - pump and network interfaces, 2 No. x 10 days (RFP Scope of Works, work package 9 - system integration)</v>
      </c>
      <c r="C89" s="16" t="str">
        <f aca="false">'Build-Up'!C113</f>
        <v>man-day</v>
      </c>
      <c r="D89" s="18" t="n">
        <f aca="false">'Build-Up'!E113</f>
        <v>400</v>
      </c>
      <c r="E89" s="18" t="n">
        <v>20</v>
      </c>
      <c r="F89" s="18" t="n">
        <f aca="false">2*E36</f>
        <v>14</v>
      </c>
      <c r="G89" s="20" t="n">
        <f aca="false">2*(H40+H41)</f>
        <v>12</v>
      </c>
      <c r="H89" s="18" t="n">
        <f aca="false">ROUND(F89*D89,2)</f>
        <v>5600</v>
      </c>
      <c r="I89" s="18" t="n">
        <f aca="false">ROUND(G89*D89,2)</f>
        <v>4800</v>
      </c>
      <c r="J89" s="19" t="s">
        <v>829</v>
      </c>
    </row>
    <row r="90" customFormat="false" ht="30" hidden="false" customHeight="true" outlineLevel="0" collapsed="false">
      <c r="A90" s="16" t="s">
        <v>325</v>
      </c>
      <c r="B90" s="17" t="str">
        <f aca="false">'Build-Up'!B115</f>
        <v>Integration coordination engineer - tie-ins with the Employer and Engineer</v>
      </c>
      <c r="C90" s="16" t="str">
        <f aca="false">'Build-Up'!C115</f>
        <v>day</v>
      </c>
      <c r="D90" s="18" t="n">
        <f aca="false">'Build-Up'!E115</f>
        <v>1000</v>
      </c>
      <c r="E90" s="18" t="n">
        <v>5</v>
      </c>
      <c r="F90" s="18" t="n">
        <f aca="false">E35+1</f>
        <v>5</v>
      </c>
      <c r="G90" s="20" t="n">
        <f aca="false">H35+1</f>
        <v>5</v>
      </c>
      <c r="H90" s="18" t="n">
        <f aca="false">ROUND(F90*D90,2)</f>
        <v>5000</v>
      </c>
      <c r="I90" s="18" t="n">
        <f aca="false">ROUND(G90*D90,2)</f>
        <v>5000</v>
      </c>
      <c r="J90" s="19" t="s">
        <v>830</v>
      </c>
    </row>
    <row r="91" customFormat="false" ht="54.75" hidden="false" customHeight="true" outlineLevel="0" collapsed="false">
      <c r="A91" s="16" t="s">
        <v>339</v>
      </c>
      <c r="B91" s="17" t="str">
        <f aca="false">'Build-Up'!B121</f>
        <v>Tanker and pump standby during filling and test holds</v>
      </c>
      <c r="C91" s="16" t="str">
        <f aca="false">'Build-Up'!C121</f>
        <v>day</v>
      </c>
      <c r="D91" s="18" t="n">
        <f aca="false">'Build-Up'!E121</f>
        <v>500</v>
      </c>
      <c r="E91" s="18" t="n">
        <v>8</v>
      </c>
      <c r="F91" s="18" t="n">
        <f aca="false">8</f>
        <v>8</v>
      </c>
      <c r="G91" s="20" t="n">
        <f aca="false">8</f>
        <v>8</v>
      </c>
      <c r="H91" s="18" t="n">
        <f aca="false">ROUND(F91*D91,2)</f>
        <v>4000</v>
      </c>
      <c r="I91" s="18" t="n">
        <f aca="false">ROUND(G91*D91,2)</f>
        <v>4000</v>
      </c>
      <c r="J91" s="19" t="s">
        <v>831</v>
      </c>
    </row>
    <row r="92" customFormat="false" ht="29.25" hidden="false" customHeight="true" outlineLevel="0" collapsed="false">
      <c r="A92" s="23"/>
      <c r="B92" s="23" t="s">
        <v>832</v>
      </c>
      <c r="C92" s="23"/>
      <c r="D92" s="23"/>
      <c r="E92" s="23"/>
      <c r="F92" s="23"/>
      <c r="G92" s="23"/>
      <c r="H92" s="35" t="n">
        <f aca="false">H60+H61+H62+H63+H64+H65+H66+H67+H68+H69+H70+H71+H72</f>
        <v>259375</v>
      </c>
      <c r="I92" s="35" t="n">
        <f aca="false">I60+I61+I62+I63+I64+I65+I66+I67+I68+I69+I70+I71+I72</f>
        <v>257455</v>
      </c>
      <c r="J92" s="19" t="s">
        <v>833</v>
      </c>
    </row>
    <row r="93" customFormat="false" ht="29.25" hidden="false" customHeight="true" outlineLevel="0" collapsed="false">
      <c r="A93" s="23"/>
      <c r="B93" s="23" t="s">
        <v>834</v>
      </c>
      <c r="C93" s="23"/>
      <c r="D93" s="23"/>
      <c r="E93" s="23"/>
      <c r="F93" s="23"/>
      <c r="G93" s="23"/>
      <c r="H93" s="35" t="n">
        <f aca="false">H73+H74+H75+H76+H77+H78+H79+H80+H81+H82</f>
        <v>279630</v>
      </c>
      <c r="I93" s="35" t="n">
        <f aca="false">I73+I74+I75+I76+I77+I78+I79+I80+I81+I82</f>
        <v>227790</v>
      </c>
      <c r="J93" s="19" t="s">
        <v>835</v>
      </c>
    </row>
    <row r="94" customFormat="false" ht="29.25" hidden="false" customHeight="true" outlineLevel="0" collapsed="false">
      <c r="A94" s="23"/>
      <c r="B94" s="23" t="s">
        <v>836</v>
      </c>
      <c r="C94" s="23"/>
      <c r="D94" s="23"/>
      <c r="E94" s="23"/>
      <c r="F94" s="23"/>
      <c r="G94" s="23"/>
      <c r="H94" s="35" t="n">
        <f aca="false">H83+H84+H85+H86+H87+H88+H89+H90+H91</f>
        <v>80418</v>
      </c>
      <c r="I94" s="35" t="n">
        <f aca="false">I83+I84+I85+I86+I87+I88+I89+I90+I91</f>
        <v>60106</v>
      </c>
      <c r="J94" s="19" t="s">
        <v>837</v>
      </c>
    </row>
    <row r="95" customFormat="false" ht="19.5" hidden="false" customHeight="true" outlineLevel="0" collapsed="false">
      <c r="A95" s="23"/>
      <c r="B95" s="23" t="s">
        <v>838</v>
      </c>
      <c r="C95" s="23"/>
      <c r="D95" s="23"/>
      <c r="E95" s="23"/>
      <c r="F95" s="23"/>
      <c r="G95" s="23"/>
      <c r="H95" s="35" t="n">
        <f aca="false">SUM(H60:H91)</f>
        <v>619423</v>
      </c>
      <c r="I95" s="35" t="n">
        <f aca="false">SUM(I60:I91)</f>
        <v>545351</v>
      </c>
      <c r="J95" s="19" t="s">
        <v>839</v>
      </c>
    </row>
    <row r="96" customFormat="false" ht="42" hidden="false" customHeight="true" outlineLevel="0" collapsed="false">
      <c r="A96" s="23"/>
      <c r="B96" s="23" t="s">
        <v>840</v>
      </c>
      <c r="C96" s="23"/>
      <c r="D96" s="23"/>
      <c r="E96" s="23"/>
      <c r="F96" s="23"/>
      <c r="G96" s="23"/>
      <c r="H96" s="35" t="n">
        <f aca="false">ROUND((Assessment!$K$19-I95+H95)*1.05,2)</f>
        <v>7036993.49</v>
      </c>
      <c r="I96" s="35" t="n">
        <f aca="false">Assessment!$K$21</f>
        <v>6959217.89</v>
      </c>
      <c r="J96" s="19" t="s">
        <v>841</v>
      </c>
    </row>
    <row r="100" customFormat="false" ht="21" hidden="false" customHeight="true" outlineLevel="0" collapsed="false">
      <c r="A100" s="15" t="s">
        <v>842</v>
      </c>
      <c r="B100" s="15"/>
      <c r="C100" s="15"/>
      <c r="D100" s="15"/>
      <c r="E100" s="15"/>
      <c r="F100" s="15"/>
      <c r="G100" s="15"/>
      <c r="H100" s="15"/>
      <c r="I100" s="15"/>
      <c r="J100" s="15"/>
    </row>
    <row r="101" customFormat="false" ht="43.5" hidden="false" customHeight="true" outlineLevel="0" collapsed="false">
      <c r="A101" s="11" t="s">
        <v>843</v>
      </c>
      <c r="B101" s="11"/>
      <c r="C101" s="11"/>
      <c r="D101" s="11"/>
      <c r="E101" s="11"/>
      <c r="F101" s="11"/>
      <c r="G101" s="11"/>
      <c r="H101" s="11"/>
      <c r="I101" s="11"/>
      <c r="J101" s="11"/>
    </row>
    <row r="102" customFormat="false" ht="31.5" hidden="false" customHeight="true" outlineLevel="0" collapsed="false">
      <c r="A102" s="13" t="s">
        <v>561</v>
      </c>
      <c r="B102" s="13" t="s">
        <v>844</v>
      </c>
      <c r="C102" s="13" t="s">
        <v>845</v>
      </c>
      <c r="D102" s="13" t="s">
        <v>846</v>
      </c>
      <c r="E102" s="13" t="s">
        <v>847</v>
      </c>
      <c r="F102" s="13" t="s">
        <v>848</v>
      </c>
      <c r="G102" s="13" t="s">
        <v>849</v>
      </c>
      <c r="H102" s="13" t="s">
        <v>850</v>
      </c>
      <c r="I102" s="13" t="s">
        <v>851</v>
      </c>
      <c r="J102" s="13" t="s">
        <v>594</v>
      </c>
    </row>
    <row r="103" customFormat="false" ht="18" hidden="false" customHeight="true" outlineLevel="0" collapsed="false">
      <c r="A103" s="16" t="n">
        <v>1</v>
      </c>
      <c r="B103" s="17" t="s">
        <v>852</v>
      </c>
      <c r="C103" s="58" t="n">
        <v>46204</v>
      </c>
      <c r="D103" s="58" t="n">
        <v>46223</v>
      </c>
      <c r="E103" s="54" t="n">
        <v>17</v>
      </c>
      <c r="F103" s="18" t="n">
        <v>0</v>
      </c>
      <c r="G103" s="60" t="s">
        <v>853</v>
      </c>
      <c r="H103" s="16" t="s">
        <v>854</v>
      </c>
      <c r="I103" s="54" t="n">
        <v>0</v>
      </c>
      <c r="J103" s="19" t="s">
        <v>855</v>
      </c>
    </row>
    <row r="104" customFormat="false" ht="18" hidden="false" customHeight="true" outlineLevel="0" collapsed="false">
      <c r="A104" s="16" t="n">
        <v>2</v>
      </c>
      <c r="B104" s="17" t="s">
        <v>856</v>
      </c>
      <c r="C104" s="58" t="n">
        <v>46204</v>
      </c>
      <c r="D104" s="58" t="n">
        <v>46204</v>
      </c>
      <c r="E104" s="54" t="n">
        <v>0</v>
      </c>
      <c r="F104" s="18" t="n">
        <v>0</v>
      </c>
      <c r="G104" s="60" t="s">
        <v>857</v>
      </c>
      <c r="H104" s="16" t="s">
        <v>858</v>
      </c>
      <c r="I104" s="54" t="n">
        <v>0</v>
      </c>
      <c r="J104" s="19" t="s">
        <v>859</v>
      </c>
    </row>
    <row r="105" customFormat="false" ht="18" hidden="false" customHeight="true" outlineLevel="0" collapsed="false">
      <c r="A105" s="16" t="n">
        <v>3</v>
      </c>
      <c r="B105" s="17" t="s">
        <v>860</v>
      </c>
      <c r="C105" s="58" t="n">
        <v>46204</v>
      </c>
      <c r="D105" s="58" t="n">
        <v>46204</v>
      </c>
      <c r="E105" s="54" t="n">
        <v>0</v>
      </c>
      <c r="F105" s="18" t="n">
        <v>0</v>
      </c>
      <c r="G105" s="60" t="s">
        <v>861</v>
      </c>
      <c r="H105" s="16" t="s">
        <v>854</v>
      </c>
      <c r="I105" s="54" t="n">
        <v>0</v>
      </c>
      <c r="J105" s="19" t="s">
        <v>862</v>
      </c>
    </row>
    <row r="106" customFormat="false" ht="18" hidden="false" customHeight="true" outlineLevel="0" collapsed="false">
      <c r="A106" s="16" t="n">
        <v>4</v>
      </c>
      <c r="B106" s="17" t="s">
        <v>863</v>
      </c>
      <c r="C106" s="58" t="n">
        <v>46224</v>
      </c>
      <c r="D106" s="58" t="n">
        <v>46233</v>
      </c>
      <c r="E106" s="54" t="n">
        <v>9</v>
      </c>
      <c r="F106" s="18" t="n">
        <v>0</v>
      </c>
      <c r="G106" s="60" t="s">
        <v>864</v>
      </c>
      <c r="H106" s="16" t="s">
        <v>854</v>
      </c>
      <c r="I106" s="54" t="n">
        <v>0</v>
      </c>
      <c r="J106" s="19" t="s">
        <v>855</v>
      </c>
    </row>
    <row r="107" customFormat="false" ht="29.25" hidden="false" customHeight="true" outlineLevel="0" collapsed="false">
      <c r="A107" s="16" t="n">
        <v>5</v>
      </c>
      <c r="B107" s="17" t="s">
        <v>865</v>
      </c>
      <c r="C107" s="58" t="n">
        <v>46224</v>
      </c>
      <c r="D107" s="58" t="n">
        <v>46232</v>
      </c>
      <c r="E107" s="54" t="n">
        <v>8</v>
      </c>
      <c r="F107" s="18" t="n">
        <v>4694.84</v>
      </c>
      <c r="G107" s="60" t="s">
        <v>866</v>
      </c>
      <c r="H107" s="16" t="s">
        <v>854</v>
      </c>
      <c r="I107" s="54" t="n">
        <v>24</v>
      </c>
      <c r="J107" s="19" t="s">
        <v>867</v>
      </c>
    </row>
    <row r="108" customFormat="false" ht="29.25" hidden="false" customHeight="true" outlineLevel="0" collapsed="false">
      <c r="A108" s="16" t="n">
        <v>6</v>
      </c>
      <c r="B108" s="17" t="s">
        <v>868</v>
      </c>
      <c r="C108" s="58" t="n">
        <v>46224</v>
      </c>
      <c r="D108" s="58" t="n">
        <v>46232</v>
      </c>
      <c r="E108" s="54" t="n">
        <v>8</v>
      </c>
      <c r="F108" s="18" t="n">
        <v>6572.78</v>
      </c>
      <c r="G108" s="60" t="s">
        <v>869</v>
      </c>
      <c r="H108" s="16" t="s">
        <v>854</v>
      </c>
      <c r="I108" s="54" t="n">
        <v>24</v>
      </c>
      <c r="J108" s="19" t="s">
        <v>867</v>
      </c>
    </row>
    <row r="109" customFormat="false" ht="29.25" hidden="false" customHeight="true" outlineLevel="0" collapsed="false">
      <c r="A109" s="16" t="n">
        <v>7</v>
      </c>
      <c r="B109" s="17" t="s">
        <v>870</v>
      </c>
      <c r="C109" s="58" t="n">
        <v>46233</v>
      </c>
      <c r="D109" s="58" t="n">
        <v>46247</v>
      </c>
      <c r="E109" s="54" t="n">
        <v>11</v>
      </c>
      <c r="F109" s="18" t="n">
        <v>3756.88</v>
      </c>
      <c r="G109" s="60" t="s">
        <v>871</v>
      </c>
      <c r="H109" s="16" t="s">
        <v>872</v>
      </c>
      <c r="I109" s="54" t="n">
        <v>20</v>
      </c>
      <c r="J109" s="19" t="s">
        <v>873</v>
      </c>
    </row>
    <row r="110" customFormat="false" ht="29.25" hidden="false" customHeight="true" outlineLevel="0" collapsed="false">
      <c r="A110" s="16" t="n">
        <v>8</v>
      </c>
      <c r="B110" s="17" t="s">
        <v>874</v>
      </c>
      <c r="C110" s="58" t="n">
        <v>46233</v>
      </c>
      <c r="D110" s="58" t="n">
        <v>46247</v>
      </c>
      <c r="E110" s="54" t="n">
        <v>11</v>
      </c>
      <c r="F110" s="18" t="n">
        <v>4694.84</v>
      </c>
      <c r="G110" s="60" t="s">
        <v>875</v>
      </c>
      <c r="H110" s="16" t="s">
        <v>872</v>
      </c>
      <c r="I110" s="54" t="n">
        <v>20</v>
      </c>
      <c r="J110" s="19" t="s">
        <v>873</v>
      </c>
    </row>
    <row r="111" customFormat="false" ht="29.25" hidden="false" customHeight="true" outlineLevel="0" collapsed="false">
      <c r="A111" s="16" t="n">
        <v>9</v>
      </c>
      <c r="B111" s="17" t="s">
        <v>876</v>
      </c>
      <c r="C111" s="58" t="n">
        <v>46235</v>
      </c>
      <c r="D111" s="58" t="n">
        <v>46246</v>
      </c>
      <c r="E111" s="54" t="n">
        <v>11</v>
      </c>
      <c r="F111" s="18" t="n">
        <v>4694.84</v>
      </c>
      <c r="G111" s="60" t="s">
        <v>877</v>
      </c>
      <c r="H111" s="16" t="s">
        <v>854</v>
      </c>
      <c r="I111" s="54" t="n">
        <v>18</v>
      </c>
      <c r="J111" s="19" t="s">
        <v>878</v>
      </c>
    </row>
    <row r="112" customFormat="false" ht="29.25" hidden="false" customHeight="true" outlineLevel="0" collapsed="false">
      <c r="A112" s="16" t="n">
        <v>10</v>
      </c>
      <c r="B112" s="17" t="s">
        <v>879</v>
      </c>
      <c r="C112" s="58" t="n">
        <v>46235</v>
      </c>
      <c r="D112" s="58" t="n">
        <v>46247</v>
      </c>
      <c r="E112" s="54" t="n">
        <v>12</v>
      </c>
      <c r="F112" s="18" t="n">
        <v>4694.84</v>
      </c>
      <c r="G112" s="60" t="s">
        <v>880</v>
      </c>
      <c r="H112" s="16" t="s">
        <v>854</v>
      </c>
      <c r="I112" s="54" t="n">
        <v>32</v>
      </c>
      <c r="J112" s="19" t="s">
        <v>878</v>
      </c>
    </row>
    <row r="113" customFormat="false" ht="29.25" hidden="false" customHeight="true" outlineLevel="0" collapsed="false">
      <c r="A113" s="16" t="n">
        <v>11</v>
      </c>
      <c r="B113" s="17" t="s">
        <v>881</v>
      </c>
      <c r="C113" s="58" t="n">
        <v>46235</v>
      </c>
      <c r="D113" s="58" t="n">
        <v>46246</v>
      </c>
      <c r="E113" s="54" t="n">
        <v>11</v>
      </c>
      <c r="F113" s="18" t="n">
        <v>7512.76</v>
      </c>
      <c r="G113" s="60" t="s">
        <v>882</v>
      </c>
      <c r="H113" s="16" t="s">
        <v>854</v>
      </c>
      <c r="I113" s="54" t="n">
        <v>18</v>
      </c>
      <c r="J113" s="19" t="s">
        <v>878</v>
      </c>
    </row>
    <row r="114" customFormat="false" ht="29.25" hidden="false" customHeight="true" outlineLevel="0" collapsed="false">
      <c r="A114" s="16" t="n">
        <v>12</v>
      </c>
      <c r="B114" s="17" t="s">
        <v>883</v>
      </c>
      <c r="C114" s="58" t="n">
        <v>46235</v>
      </c>
      <c r="D114" s="58" t="n">
        <v>46246</v>
      </c>
      <c r="E114" s="54" t="n">
        <v>11</v>
      </c>
      <c r="F114" s="18" t="n">
        <v>3755.87</v>
      </c>
      <c r="G114" s="60" t="s">
        <v>884</v>
      </c>
      <c r="H114" s="16" t="s">
        <v>854</v>
      </c>
      <c r="I114" s="54" t="n">
        <v>18</v>
      </c>
      <c r="J114" s="19" t="s">
        <v>878</v>
      </c>
    </row>
    <row r="115" customFormat="false" ht="29.25" hidden="false" customHeight="true" outlineLevel="0" collapsed="false">
      <c r="A115" s="16" t="n">
        <v>13</v>
      </c>
      <c r="B115" s="17" t="s">
        <v>885</v>
      </c>
      <c r="C115" s="58" t="n">
        <v>46235</v>
      </c>
      <c r="D115" s="58" t="n">
        <v>46243</v>
      </c>
      <c r="E115" s="54" t="n">
        <v>8</v>
      </c>
      <c r="F115" s="18" t="n">
        <v>7512.76</v>
      </c>
      <c r="G115" s="60" t="s">
        <v>886</v>
      </c>
      <c r="H115" s="16" t="s">
        <v>854</v>
      </c>
      <c r="I115" s="54" t="n">
        <v>21</v>
      </c>
      <c r="J115" s="19" t="s">
        <v>878</v>
      </c>
    </row>
    <row r="116" customFormat="false" ht="29.25" hidden="false" customHeight="true" outlineLevel="0" collapsed="false">
      <c r="A116" s="16" t="n">
        <v>14</v>
      </c>
      <c r="B116" s="17" t="s">
        <v>887</v>
      </c>
      <c r="C116" s="58" t="n">
        <v>46235</v>
      </c>
      <c r="D116" s="58" t="n">
        <v>46246</v>
      </c>
      <c r="E116" s="54" t="n">
        <v>11</v>
      </c>
      <c r="F116" s="18" t="n">
        <v>4694.84</v>
      </c>
      <c r="G116" s="60" t="s">
        <v>888</v>
      </c>
      <c r="H116" s="16" t="s">
        <v>854</v>
      </c>
      <c r="I116" s="54" t="n">
        <v>25</v>
      </c>
      <c r="J116" s="19" t="s">
        <v>867</v>
      </c>
    </row>
    <row r="117" customFormat="false" ht="29.25" hidden="false" customHeight="true" outlineLevel="0" collapsed="false">
      <c r="A117" s="16" t="n">
        <v>15</v>
      </c>
      <c r="B117" s="17" t="s">
        <v>889</v>
      </c>
      <c r="C117" s="58" t="n">
        <v>46235</v>
      </c>
      <c r="D117" s="58" t="n">
        <v>46246</v>
      </c>
      <c r="E117" s="54" t="n">
        <v>11</v>
      </c>
      <c r="F117" s="18" t="n">
        <v>4694.84</v>
      </c>
      <c r="G117" s="60" t="s">
        <v>890</v>
      </c>
      <c r="H117" s="16" t="s">
        <v>854</v>
      </c>
      <c r="I117" s="54" t="n">
        <v>25</v>
      </c>
      <c r="J117" s="19" t="s">
        <v>867</v>
      </c>
    </row>
    <row r="118" customFormat="false" ht="29.25" hidden="false" customHeight="true" outlineLevel="0" collapsed="false">
      <c r="A118" s="16" t="n">
        <v>16</v>
      </c>
      <c r="B118" s="17" t="s">
        <v>891</v>
      </c>
      <c r="C118" s="58" t="n">
        <v>46235</v>
      </c>
      <c r="D118" s="58" t="n">
        <v>46249</v>
      </c>
      <c r="E118" s="54" t="n">
        <v>13</v>
      </c>
      <c r="F118" s="18" t="n">
        <v>4694.84</v>
      </c>
      <c r="G118" s="60" t="s">
        <v>892</v>
      </c>
      <c r="H118" s="16" t="s">
        <v>854</v>
      </c>
      <c r="I118" s="54" t="n">
        <v>27</v>
      </c>
      <c r="J118" s="19" t="s">
        <v>867</v>
      </c>
    </row>
    <row r="119" customFormat="false" ht="29.25" hidden="false" customHeight="true" outlineLevel="0" collapsed="false">
      <c r="A119" s="16" t="n">
        <v>17</v>
      </c>
      <c r="B119" s="17" t="s">
        <v>893</v>
      </c>
      <c r="C119" s="58" t="n">
        <v>46235</v>
      </c>
      <c r="D119" s="58" t="n">
        <v>46235</v>
      </c>
      <c r="E119" s="54" t="n">
        <v>1</v>
      </c>
      <c r="F119" s="18" t="n">
        <v>0</v>
      </c>
      <c r="G119" s="60" t="s">
        <v>894</v>
      </c>
      <c r="H119" s="16" t="s">
        <v>854</v>
      </c>
      <c r="I119" s="54" t="n">
        <v>0</v>
      </c>
      <c r="J119" s="19" t="s">
        <v>895</v>
      </c>
    </row>
    <row r="120" customFormat="false" ht="29.25" hidden="false" customHeight="true" outlineLevel="0" collapsed="false">
      <c r="A120" s="16" t="n">
        <v>18</v>
      </c>
      <c r="B120" s="17" t="s">
        <v>896</v>
      </c>
      <c r="C120" s="58" t="n">
        <v>46235</v>
      </c>
      <c r="D120" s="58" t="n">
        <v>46235</v>
      </c>
      <c r="E120" s="54" t="n">
        <v>1</v>
      </c>
      <c r="F120" s="18" t="n">
        <v>0</v>
      </c>
      <c r="G120" s="60" t="s">
        <v>897</v>
      </c>
      <c r="H120" s="16" t="s">
        <v>854</v>
      </c>
      <c r="I120" s="54" t="n">
        <v>0</v>
      </c>
      <c r="J120" s="19" t="s">
        <v>898</v>
      </c>
    </row>
    <row r="121" customFormat="false" ht="29.25" hidden="false" customHeight="true" outlineLevel="0" collapsed="false">
      <c r="A121" s="16" t="n">
        <v>19</v>
      </c>
      <c r="B121" s="17" t="s">
        <v>899</v>
      </c>
      <c r="C121" s="58" t="n">
        <v>46235</v>
      </c>
      <c r="D121" s="58" t="n">
        <v>46239</v>
      </c>
      <c r="E121" s="54" t="n">
        <v>5</v>
      </c>
      <c r="F121" s="18" t="n">
        <v>0</v>
      </c>
      <c r="G121" s="60" t="s">
        <v>900</v>
      </c>
      <c r="H121" s="16" t="s">
        <v>854</v>
      </c>
      <c r="I121" s="54" t="n">
        <v>23</v>
      </c>
      <c r="J121" s="19" t="s">
        <v>901</v>
      </c>
    </row>
    <row r="122" customFormat="false" ht="29.25" hidden="false" customHeight="true" outlineLevel="0" collapsed="false">
      <c r="A122" s="16" t="n">
        <v>20</v>
      </c>
      <c r="B122" s="17" t="s">
        <v>902</v>
      </c>
      <c r="C122" s="58" t="n">
        <v>46236</v>
      </c>
      <c r="D122" s="58" t="n">
        <v>46237</v>
      </c>
      <c r="E122" s="54" t="n">
        <v>2</v>
      </c>
      <c r="F122" s="18" t="n">
        <v>0</v>
      </c>
      <c r="G122" s="60" t="s">
        <v>903</v>
      </c>
      <c r="H122" s="16" t="s">
        <v>854</v>
      </c>
      <c r="I122" s="54" t="n">
        <v>0</v>
      </c>
      <c r="J122" s="19" t="s">
        <v>895</v>
      </c>
    </row>
    <row r="123" customFormat="false" ht="29.25" hidden="false" customHeight="true" outlineLevel="0" collapsed="false">
      <c r="A123" s="16" t="n">
        <v>21</v>
      </c>
      <c r="B123" s="17" t="s">
        <v>904</v>
      </c>
      <c r="C123" s="58" t="n">
        <v>46236</v>
      </c>
      <c r="D123" s="58" t="n">
        <v>46237</v>
      </c>
      <c r="E123" s="54" t="n">
        <v>2</v>
      </c>
      <c r="F123" s="18" t="n">
        <v>0</v>
      </c>
      <c r="G123" s="60" t="s">
        <v>905</v>
      </c>
      <c r="H123" s="16" t="s">
        <v>872</v>
      </c>
      <c r="I123" s="54" t="n">
        <v>0</v>
      </c>
      <c r="J123" s="19" t="s">
        <v>898</v>
      </c>
    </row>
    <row r="124" customFormat="false" ht="18" hidden="false" customHeight="true" outlineLevel="0" collapsed="false">
      <c r="A124" s="16" t="n">
        <v>22</v>
      </c>
      <c r="B124" s="17" t="s">
        <v>906</v>
      </c>
      <c r="C124" s="58" t="n">
        <v>46238</v>
      </c>
      <c r="D124" s="58" t="n">
        <v>46240</v>
      </c>
      <c r="E124" s="54" t="n">
        <v>3</v>
      </c>
      <c r="F124" s="18" t="n">
        <v>348110.34</v>
      </c>
      <c r="G124" s="60" t="s">
        <v>907</v>
      </c>
      <c r="H124" s="16" t="s">
        <v>854</v>
      </c>
      <c r="I124" s="54" t="n">
        <v>0</v>
      </c>
      <c r="J124" s="19" t="s">
        <v>908</v>
      </c>
    </row>
    <row r="125" customFormat="false" ht="29.25" hidden="false" customHeight="true" outlineLevel="0" collapsed="false">
      <c r="A125" s="16" t="n">
        <v>23</v>
      </c>
      <c r="B125" s="17" t="s">
        <v>909</v>
      </c>
      <c r="C125" s="58" t="n">
        <v>46240</v>
      </c>
      <c r="D125" s="58" t="n">
        <v>46257</v>
      </c>
      <c r="E125" s="54" t="n">
        <v>12</v>
      </c>
      <c r="F125" s="18" t="n">
        <v>0</v>
      </c>
      <c r="G125" s="60" t="s">
        <v>910</v>
      </c>
      <c r="H125" s="16" t="s">
        <v>872</v>
      </c>
      <c r="I125" s="54" t="n">
        <v>19</v>
      </c>
      <c r="J125" s="19" t="s">
        <v>901</v>
      </c>
    </row>
    <row r="126" customFormat="false" ht="18" hidden="false" customHeight="true" outlineLevel="0" collapsed="false">
      <c r="A126" s="16" t="n">
        <v>24</v>
      </c>
      <c r="B126" s="17" t="s">
        <v>911</v>
      </c>
      <c r="C126" s="58" t="n">
        <v>46241</v>
      </c>
      <c r="D126" s="58" t="n">
        <v>46245</v>
      </c>
      <c r="E126" s="54" t="n">
        <v>5</v>
      </c>
      <c r="F126" s="18" t="n">
        <v>62475</v>
      </c>
      <c r="G126" s="60" t="s">
        <v>912</v>
      </c>
      <c r="H126" s="16" t="s">
        <v>858</v>
      </c>
      <c r="I126" s="54" t="n">
        <v>35</v>
      </c>
      <c r="J126" s="19" t="s">
        <v>913</v>
      </c>
    </row>
    <row r="127" customFormat="false" ht="29.25" hidden="false" customHeight="true" outlineLevel="0" collapsed="false">
      <c r="A127" s="16" t="n">
        <v>25</v>
      </c>
      <c r="B127" s="17" t="s">
        <v>914</v>
      </c>
      <c r="C127" s="58" t="n">
        <v>46242</v>
      </c>
      <c r="D127" s="58" t="n">
        <v>46322</v>
      </c>
      <c r="E127" s="54" t="n">
        <v>69</v>
      </c>
      <c r="F127" s="18" t="n">
        <v>542616.31</v>
      </c>
      <c r="G127" s="60" t="s">
        <v>915</v>
      </c>
      <c r="H127" s="16" t="s">
        <v>854</v>
      </c>
      <c r="I127" s="54" t="n">
        <v>0</v>
      </c>
      <c r="J127" s="19" t="s">
        <v>916</v>
      </c>
    </row>
    <row r="128" customFormat="false" ht="29.25" hidden="false" customHeight="true" outlineLevel="0" collapsed="false">
      <c r="A128" s="16" t="n">
        <v>26</v>
      </c>
      <c r="B128" s="17" t="s">
        <v>914</v>
      </c>
      <c r="C128" s="58" t="n">
        <v>46242</v>
      </c>
      <c r="D128" s="58" t="n">
        <v>46307</v>
      </c>
      <c r="E128" s="54" t="n">
        <v>56</v>
      </c>
      <c r="F128" s="18" t="n">
        <v>542659.99</v>
      </c>
      <c r="G128" s="60" t="s">
        <v>917</v>
      </c>
      <c r="H128" s="16" t="s">
        <v>854</v>
      </c>
      <c r="I128" s="54" t="n">
        <v>14</v>
      </c>
      <c r="J128" s="19" t="s">
        <v>918</v>
      </c>
    </row>
    <row r="129" customFormat="false" ht="29.25" hidden="false" customHeight="true" outlineLevel="0" collapsed="false">
      <c r="A129" s="16" t="n">
        <v>27</v>
      </c>
      <c r="B129" s="17" t="s">
        <v>919</v>
      </c>
      <c r="C129" s="58" t="n">
        <v>46244</v>
      </c>
      <c r="D129" s="58" t="n">
        <v>46251</v>
      </c>
      <c r="E129" s="54" t="n">
        <v>6</v>
      </c>
      <c r="F129" s="18" t="n">
        <v>2816.9</v>
      </c>
      <c r="G129" s="60" t="s">
        <v>920</v>
      </c>
      <c r="H129" s="16" t="s">
        <v>872</v>
      </c>
      <c r="I129" s="54" t="n">
        <v>18</v>
      </c>
      <c r="J129" s="19" t="s">
        <v>921</v>
      </c>
    </row>
    <row r="130" customFormat="false" ht="18" hidden="false" customHeight="true" outlineLevel="0" collapsed="false">
      <c r="A130" s="16" t="n">
        <v>28</v>
      </c>
      <c r="B130" s="17" t="s">
        <v>922</v>
      </c>
      <c r="C130" s="58" t="n">
        <v>46246</v>
      </c>
      <c r="D130" s="58" t="n">
        <v>46259</v>
      </c>
      <c r="E130" s="54" t="n">
        <v>14</v>
      </c>
      <c r="F130" s="18" t="n">
        <v>26775</v>
      </c>
      <c r="G130" s="60" t="s">
        <v>923</v>
      </c>
      <c r="H130" s="16" t="s">
        <v>858</v>
      </c>
      <c r="I130" s="54" t="n">
        <v>35</v>
      </c>
      <c r="J130" s="19" t="s">
        <v>913</v>
      </c>
    </row>
    <row r="131" customFormat="false" ht="29.25" hidden="false" customHeight="true" outlineLevel="0" collapsed="false">
      <c r="A131" s="16" t="n">
        <v>29</v>
      </c>
      <c r="B131" s="17" t="s">
        <v>924</v>
      </c>
      <c r="C131" s="58" t="n">
        <v>46247</v>
      </c>
      <c r="D131" s="58" t="n">
        <v>46254</v>
      </c>
      <c r="E131" s="54" t="n">
        <v>6</v>
      </c>
      <c r="F131" s="18" t="n">
        <v>2816.9</v>
      </c>
      <c r="G131" s="60" t="s">
        <v>925</v>
      </c>
      <c r="H131" s="16" t="s">
        <v>872</v>
      </c>
      <c r="I131" s="54" t="n">
        <v>15</v>
      </c>
      <c r="J131" s="19" t="s">
        <v>921</v>
      </c>
    </row>
    <row r="132" customFormat="false" ht="29.25" hidden="false" customHeight="true" outlineLevel="0" collapsed="false">
      <c r="A132" s="16" t="n">
        <v>30</v>
      </c>
      <c r="B132" s="17" t="s">
        <v>926</v>
      </c>
      <c r="C132" s="58" t="n">
        <v>46247</v>
      </c>
      <c r="D132" s="58" t="n">
        <v>46254</v>
      </c>
      <c r="E132" s="54" t="n">
        <v>6</v>
      </c>
      <c r="F132" s="18" t="n">
        <v>2816.9</v>
      </c>
      <c r="G132" s="60" t="s">
        <v>927</v>
      </c>
      <c r="H132" s="16" t="s">
        <v>872</v>
      </c>
      <c r="I132" s="54" t="n">
        <v>15</v>
      </c>
      <c r="J132" s="19" t="s">
        <v>921</v>
      </c>
    </row>
    <row r="133" customFormat="false" ht="29.25" hidden="false" customHeight="true" outlineLevel="0" collapsed="false">
      <c r="A133" s="16" t="n">
        <v>31</v>
      </c>
      <c r="B133" s="17" t="s">
        <v>928</v>
      </c>
      <c r="C133" s="58" t="n">
        <v>46247</v>
      </c>
      <c r="D133" s="58" t="n">
        <v>46254</v>
      </c>
      <c r="E133" s="54" t="n">
        <v>6</v>
      </c>
      <c r="F133" s="18" t="n">
        <v>1877.94</v>
      </c>
      <c r="G133" s="60" t="s">
        <v>929</v>
      </c>
      <c r="H133" s="16" t="s">
        <v>872</v>
      </c>
      <c r="I133" s="54" t="n">
        <v>15</v>
      </c>
      <c r="J133" s="19" t="s">
        <v>921</v>
      </c>
    </row>
    <row r="134" customFormat="false" ht="29.25" hidden="false" customHeight="true" outlineLevel="0" collapsed="false">
      <c r="A134" s="16" t="n">
        <v>32</v>
      </c>
      <c r="B134" s="17" t="s">
        <v>930</v>
      </c>
      <c r="C134" s="58" t="n">
        <v>46247</v>
      </c>
      <c r="D134" s="58" t="n">
        <v>46259</v>
      </c>
      <c r="E134" s="54" t="n">
        <v>9</v>
      </c>
      <c r="F134" s="18" t="n">
        <v>3756.88</v>
      </c>
      <c r="G134" s="60" t="s">
        <v>931</v>
      </c>
      <c r="H134" s="16" t="s">
        <v>872</v>
      </c>
      <c r="I134" s="54" t="n">
        <v>24</v>
      </c>
      <c r="J134" s="19" t="s">
        <v>873</v>
      </c>
    </row>
    <row r="135" customFormat="false" ht="29.25" hidden="false" customHeight="true" outlineLevel="0" collapsed="false">
      <c r="A135" s="16" t="n">
        <v>33</v>
      </c>
      <c r="B135" s="17" t="s">
        <v>932</v>
      </c>
      <c r="C135" s="58" t="n">
        <v>46247</v>
      </c>
      <c r="D135" s="58" t="n">
        <v>46259</v>
      </c>
      <c r="E135" s="54" t="n">
        <v>9</v>
      </c>
      <c r="F135" s="18" t="n">
        <v>3756.88</v>
      </c>
      <c r="G135" s="60" t="s">
        <v>933</v>
      </c>
      <c r="H135" s="16" t="s">
        <v>872</v>
      </c>
      <c r="I135" s="54" t="n">
        <v>24</v>
      </c>
      <c r="J135" s="19" t="s">
        <v>873</v>
      </c>
    </row>
    <row r="136" customFormat="false" ht="29.25" hidden="false" customHeight="true" outlineLevel="0" collapsed="false">
      <c r="A136" s="16" t="n">
        <v>34</v>
      </c>
      <c r="B136" s="17" t="s">
        <v>934</v>
      </c>
      <c r="C136" s="58" t="n">
        <v>46250</v>
      </c>
      <c r="D136" s="58" t="n">
        <v>46257</v>
      </c>
      <c r="E136" s="54" t="n">
        <v>6</v>
      </c>
      <c r="F136" s="18" t="n">
        <v>1877.94</v>
      </c>
      <c r="G136" s="60" t="s">
        <v>935</v>
      </c>
      <c r="H136" s="16" t="s">
        <v>872</v>
      </c>
      <c r="I136" s="54" t="n">
        <v>26</v>
      </c>
      <c r="J136" s="19" t="s">
        <v>921</v>
      </c>
    </row>
    <row r="137" customFormat="false" ht="29.25" hidden="false" customHeight="true" outlineLevel="0" collapsed="false">
      <c r="A137" s="16" t="n">
        <v>35</v>
      </c>
      <c r="B137" s="17" t="s">
        <v>936</v>
      </c>
      <c r="C137" s="58" t="n">
        <v>46250</v>
      </c>
      <c r="D137" s="58" t="n">
        <v>46260</v>
      </c>
      <c r="E137" s="54" t="n">
        <v>9</v>
      </c>
      <c r="F137" s="18" t="n">
        <v>3756.88</v>
      </c>
      <c r="G137" s="60" t="s">
        <v>937</v>
      </c>
      <c r="H137" s="16" t="s">
        <v>872</v>
      </c>
      <c r="I137" s="54" t="n">
        <v>23</v>
      </c>
      <c r="J137" s="19" t="s">
        <v>873</v>
      </c>
    </row>
    <row r="138" customFormat="false" ht="18" hidden="false" customHeight="true" outlineLevel="0" collapsed="false">
      <c r="A138" s="16" t="n">
        <v>36</v>
      </c>
      <c r="B138" s="17" t="s">
        <v>938</v>
      </c>
      <c r="C138" s="58" t="n">
        <v>46256</v>
      </c>
      <c r="D138" s="58" t="n">
        <v>46260</v>
      </c>
      <c r="E138" s="54" t="n">
        <v>5</v>
      </c>
      <c r="F138" s="18" t="n">
        <v>260346.53</v>
      </c>
      <c r="G138" s="60" t="s">
        <v>939</v>
      </c>
      <c r="H138" s="16" t="s">
        <v>854</v>
      </c>
      <c r="I138" s="54" t="n">
        <v>18</v>
      </c>
      <c r="J138" s="19" t="s">
        <v>940</v>
      </c>
    </row>
    <row r="139" customFormat="false" ht="18" hidden="false" customHeight="true" outlineLevel="0" collapsed="false">
      <c r="A139" s="16" t="n">
        <v>37</v>
      </c>
      <c r="B139" s="17" t="s">
        <v>941</v>
      </c>
      <c r="C139" s="58" t="n">
        <v>46256</v>
      </c>
      <c r="D139" s="58" t="n">
        <v>46260</v>
      </c>
      <c r="E139" s="54" t="n">
        <v>5</v>
      </c>
      <c r="F139" s="18" t="n">
        <v>318201.32</v>
      </c>
      <c r="G139" s="60" t="s">
        <v>942</v>
      </c>
      <c r="H139" s="16" t="s">
        <v>854</v>
      </c>
      <c r="I139" s="54" t="n">
        <v>18</v>
      </c>
      <c r="J139" s="19" t="s">
        <v>943</v>
      </c>
    </row>
    <row r="140" customFormat="false" ht="29.25" hidden="false" customHeight="true" outlineLevel="0" collapsed="false">
      <c r="A140" s="16" t="n">
        <v>38</v>
      </c>
      <c r="B140" s="17" t="s">
        <v>896</v>
      </c>
      <c r="C140" s="58" t="n">
        <v>46258</v>
      </c>
      <c r="D140" s="58" t="n">
        <v>46265</v>
      </c>
      <c r="E140" s="54" t="n">
        <v>7</v>
      </c>
      <c r="F140" s="18" t="n">
        <v>0</v>
      </c>
      <c r="G140" s="60" t="s">
        <v>944</v>
      </c>
      <c r="H140" s="16" t="s">
        <v>854</v>
      </c>
      <c r="I140" s="54" t="n">
        <v>23</v>
      </c>
      <c r="J140" s="19" t="s">
        <v>945</v>
      </c>
    </row>
    <row r="141" customFormat="false" ht="18" hidden="false" customHeight="true" outlineLevel="0" collapsed="false">
      <c r="A141" s="16" t="n">
        <v>39</v>
      </c>
      <c r="B141" s="17" t="s">
        <v>946</v>
      </c>
      <c r="C141" s="58" t="n">
        <v>46261</v>
      </c>
      <c r="D141" s="58" t="n">
        <v>46265</v>
      </c>
      <c r="E141" s="54" t="n">
        <v>4</v>
      </c>
      <c r="F141" s="18" t="n">
        <v>12086.23</v>
      </c>
      <c r="G141" s="60" t="s">
        <v>947</v>
      </c>
      <c r="H141" s="16" t="s">
        <v>854</v>
      </c>
      <c r="I141" s="54" t="n">
        <v>18</v>
      </c>
      <c r="J141" s="19" t="s">
        <v>948</v>
      </c>
    </row>
    <row r="142" customFormat="false" ht="18" hidden="false" customHeight="true" outlineLevel="0" collapsed="false">
      <c r="A142" s="16" t="n">
        <v>40</v>
      </c>
      <c r="B142" s="17" t="s">
        <v>949</v>
      </c>
      <c r="C142" s="58" t="n">
        <v>46266</v>
      </c>
      <c r="D142" s="58" t="n">
        <v>46273</v>
      </c>
      <c r="E142" s="54" t="n">
        <v>7</v>
      </c>
      <c r="F142" s="18" t="n">
        <v>12086.23</v>
      </c>
      <c r="G142" s="60" t="s">
        <v>950</v>
      </c>
      <c r="H142" s="16" t="s">
        <v>854</v>
      </c>
      <c r="I142" s="54" t="n">
        <v>18</v>
      </c>
      <c r="J142" s="19" t="s">
        <v>948</v>
      </c>
    </row>
    <row r="143" customFormat="false" ht="29.25" hidden="false" customHeight="true" outlineLevel="0" collapsed="false">
      <c r="A143" s="16" t="n">
        <v>41</v>
      </c>
      <c r="B143" s="17" t="s">
        <v>904</v>
      </c>
      <c r="C143" s="58" t="n">
        <v>46266</v>
      </c>
      <c r="D143" s="58" t="n">
        <v>46285</v>
      </c>
      <c r="E143" s="54" t="n">
        <v>14</v>
      </c>
      <c r="F143" s="18" t="n">
        <v>0</v>
      </c>
      <c r="G143" s="60" t="s">
        <v>951</v>
      </c>
      <c r="H143" s="16" t="s">
        <v>872</v>
      </c>
      <c r="I143" s="54" t="n">
        <v>19</v>
      </c>
      <c r="J143" s="19" t="s">
        <v>945</v>
      </c>
    </row>
    <row r="144" customFormat="false" ht="18" hidden="false" customHeight="true" outlineLevel="0" collapsed="false">
      <c r="A144" s="16" t="n">
        <v>42</v>
      </c>
      <c r="B144" s="17" t="s">
        <v>952</v>
      </c>
      <c r="C144" s="58" t="n">
        <v>46270</v>
      </c>
      <c r="D144" s="58" t="n">
        <v>46277</v>
      </c>
      <c r="E144" s="54" t="n">
        <v>7</v>
      </c>
      <c r="F144" s="18" t="n">
        <v>56402.53</v>
      </c>
      <c r="G144" s="60" t="s">
        <v>953</v>
      </c>
      <c r="H144" s="16" t="s">
        <v>854</v>
      </c>
      <c r="I144" s="54" t="n">
        <v>18</v>
      </c>
      <c r="J144" s="19" t="s">
        <v>948</v>
      </c>
    </row>
    <row r="145" customFormat="false" ht="29.25" hidden="false" customHeight="true" outlineLevel="0" collapsed="false">
      <c r="A145" s="16" t="n">
        <v>43</v>
      </c>
      <c r="B145" s="17" t="s">
        <v>954</v>
      </c>
      <c r="C145" s="58" t="n">
        <v>46272</v>
      </c>
      <c r="D145" s="58" t="n">
        <v>46278</v>
      </c>
      <c r="E145" s="54" t="n">
        <v>6</v>
      </c>
      <c r="F145" s="18" t="n">
        <v>5000</v>
      </c>
      <c r="G145" s="60" t="s">
        <v>955</v>
      </c>
      <c r="H145" s="16" t="s">
        <v>854</v>
      </c>
      <c r="I145" s="54" t="n">
        <v>18</v>
      </c>
      <c r="J145" s="19" t="s">
        <v>956</v>
      </c>
    </row>
    <row r="146" customFormat="false" ht="29.25" hidden="false" customHeight="true" outlineLevel="0" collapsed="false">
      <c r="A146" s="16" t="n">
        <v>44</v>
      </c>
      <c r="B146" s="17" t="s">
        <v>957</v>
      </c>
      <c r="C146" s="58" t="n">
        <v>46273</v>
      </c>
      <c r="D146" s="58" t="n">
        <v>46298</v>
      </c>
      <c r="E146" s="54" t="n">
        <v>21</v>
      </c>
      <c r="F146" s="18" t="n">
        <v>147998.19</v>
      </c>
      <c r="G146" s="60" t="s">
        <v>958</v>
      </c>
      <c r="H146" s="16" t="s">
        <v>854</v>
      </c>
      <c r="I146" s="54" t="n">
        <v>14</v>
      </c>
      <c r="J146" s="19" t="s">
        <v>918</v>
      </c>
    </row>
    <row r="147" customFormat="false" ht="29.25" hidden="false" customHeight="true" outlineLevel="0" collapsed="false">
      <c r="A147" s="16" t="n">
        <v>45</v>
      </c>
      <c r="B147" s="17" t="s">
        <v>959</v>
      </c>
      <c r="C147" s="58" t="n">
        <v>46273</v>
      </c>
      <c r="D147" s="58" t="n">
        <v>46298</v>
      </c>
      <c r="E147" s="54" t="n">
        <v>21</v>
      </c>
      <c r="F147" s="18" t="n">
        <v>0</v>
      </c>
      <c r="G147" s="60" t="s">
        <v>960</v>
      </c>
      <c r="H147" s="16" t="s">
        <v>854</v>
      </c>
      <c r="I147" s="54" t="n">
        <v>14</v>
      </c>
      <c r="J147" s="19" t="s">
        <v>961</v>
      </c>
    </row>
    <row r="148" customFormat="false" ht="29.25" hidden="false" customHeight="true" outlineLevel="0" collapsed="false">
      <c r="A148" s="16" t="n">
        <v>46</v>
      </c>
      <c r="B148" s="17" t="s">
        <v>962</v>
      </c>
      <c r="C148" s="58" t="n">
        <v>46274</v>
      </c>
      <c r="D148" s="58" t="n">
        <v>46299</v>
      </c>
      <c r="E148" s="54" t="n">
        <v>17</v>
      </c>
      <c r="F148" s="18" t="n">
        <v>0</v>
      </c>
      <c r="G148" s="60" t="s">
        <v>963</v>
      </c>
      <c r="H148" s="16" t="s">
        <v>872</v>
      </c>
      <c r="I148" s="54" t="n">
        <v>12</v>
      </c>
      <c r="J148" s="19" t="s">
        <v>961</v>
      </c>
    </row>
    <row r="149" customFormat="false" ht="29.25" hidden="false" customHeight="true" outlineLevel="0" collapsed="false">
      <c r="A149" s="16" t="n">
        <v>47</v>
      </c>
      <c r="B149" s="17" t="s">
        <v>964</v>
      </c>
      <c r="C149" s="58" t="n">
        <v>46277</v>
      </c>
      <c r="D149" s="58" t="n">
        <v>46300</v>
      </c>
      <c r="E149" s="54" t="n">
        <v>20</v>
      </c>
      <c r="F149" s="18" t="n">
        <v>441252.18</v>
      </c>
      <c r="G149" s="60" t="s">
        <v>965</v>
      </c>
      <c r="H149" s="16" t="s">
        <v>854</v>
      </c>
      <c r="I149" s="54" t="n">
        <v>15</v>
      </c>
      <c r="J149" s="19" t="s">
        <v>966</v>
      </c>
    </row>
    <row r="150" customFormat="false" ht="29.25" hidden="false" customHeight="true" outlineLevel="0" collapsed="false">
      <c r="A150" s="16" t="n">
        <v>48</v>
      </c>
      <c r="B150" s="17" t="s">
        <v>906</v>
      </c>
      <c r="C150" s="58" t="n">
        <v>46286</v>
      </c>
      <c r="D150" s="58" t="n">
        <v>46291</v>
      </c>
      <c r="E150" s="54" t="n">
        <v>4</v>
      </c>
      <c r="F150" s="18" t="n">
        <v>26471.87</v>
      </c>
      <c r="G150" s="60" t="s">
        <v>967</v>
      </c>
      <c r="H150" s="16" t="s">
        <v>854</v>
      </c>
      <c r="I150" s="54" t="n">
        <v>23</v>
      </c>
      <c r="J150" s="19" t="s">
        <v>968</v>
      </c>
    </row>
    <row r="151" customFormat="false" ht="29.25" hidden="false" customHeight="true" outlineLevel="0" collapsed="false">
      <c r="A151" s="16" t="n">
        <v>49</v>
      </c>
      <c r="B151" s="17" t="s">
        <v>969</v>
      </c>
      <c r="C151" s="58" t="n">
        <v>46292</v>
      </c>
      <c r="D151" s="58" t="n">
        <v>46326</v>
      </c>
      <c r="E151" s="54" t="n">
        <v>30</v>
      </c>
      <c r="F151" s="18" t="n">
        <v>149928.13</v>
      </c>
      <c r="G151" s="60" t="s">
        <v>970</v>
      </c>
      <c r="H151" s="16" t="s">
        <v>854</v>
      </c>
      <c r="I151" s="54" t="n">
        <v>23</v>
      </c>
      <c r="J151" s="19" t="s">
        <v>971</v>
      </c>
    </row>
    <row r="152" customFormat="false" ht="29.25" hidden="false" customHeight="true" outlineLevel="0" collapsed="false">
      <c r="A152" s="16" t="n">
        <v>50</v>
      </c>
      <c r="B152" s="17" t="s">
        <v>972</v>
      </c>
      <c r="C152" s="58" t="n">
        <v>46299</v>
      </c>
      <c r="D152" s="58" t="n">
        <v>46314</v>
      </c>
      <c r="E152" s="54" t="n">
        <v>14</v>
      </c>
      <c r="F152" s="18" t="n">
        <v>295996.37</v>
      </c>
      <c r="G152" s="60" t="s">
        <v>973</v>
      </c>
      <c r="H152" s="16" t="s">
        <v>854</v>
      </c>
      <c r="I152" s="54" t="n">
        <v>15</v>
      </c>
      <c r="J152" s="19" t="s">
        <v>918</v>
      </c>
    </row>
    <row r="153" customFormat="false" ht="29.25" hidden="false" customHeight="true" outlineLevel="0" collapsed="false">
      <c r="A153" s="16" t="n">
        <v>51</v>
      </c>
      <c r="B153" s="17" t="s">
        <v>974</v>
      </c>
      <c r="C153" s="58" t="n">
        <v>46299</v>
      </c>
      <c r="D153" s="58" t="n">
        <v>46314</v>
      </c>
      <c r="E153" s="54" t="n">
        <v>14</v>
      </c>
      <c r="F153" s="18" t="n">
        <v>0</v>
      </c>
      <c r="G153" s="60" t="s">
        <v>975</v>
      </c>
      <c r="H153" s="16" t="s">
        <v>854</v>
      </c>
      <c r="I153" s="54" t="n">
        <v>15</v>
      </c>
      <c r="J153" s="19" t="s">
        <v>961</v>
      </c>
    </row>
    <row r="154" customFormat="false" ht="29.25" hidden="false" customHeight="true" outlineLevel="0" collapsed="false">
      <c r="A154" s="16" t="n">
        <v>52</v>
      </c>
      <c r="B154" s="17" t="s">
        <v>976</v>
      </c>
      <c r="C154" s="58" t="n">
        <v>46300</v>
      </c>
      <c r="D154" s="58" t="n">
        <v>46315</v>
      </c>
      <c r="E154" s="54" t="n">
        <v>12</v>
      </c>
      <c r="F154" s="18" t="n">
        <v>0</v>
      </c>
      <c r="G154" s="60" t="s">
        <v>977</v>
      </c>
      <c r="H154" s="16" t="s">
        <v>872</v>
      </c>
      <c r="I154" s="54" t="n">
        <v>13</v>
      </c>
      <c r="J154" s="19" t="s">
        <v>961</v>
      </c>
    </row>
    <row r="155" customFormat="false" ht="29.25" hidden="false" customHeight="true" outlineLevel="0" collapsed="false">
      <c r="A155" s="16" t="n">
        <v>53</v>
      </c>
      <c r="B155" s="17" t="s">
        <v>978</v>
      </c>
      <c r="C155" s="58" t="n">
        <v>46301</v>
      </c>
      <c r="D155" s="58" t="n">
        <v>46319</v>
      </c>
      <c r="E155" s="54" t="n">
        <v>16</v>
      </c>
      <c r="F155" s="18" t="n">
        <v>701992.11</v>
      </c>
      <c r="G155" s="60" t="s">
        <v>979</v>
      </c>
      <c r="H155" s="16" t="s">
        <v>854</v>
      </c>
      <c r="I155" s="54" t="n">
        <v>15</v>
      </c>
      <c r="J155" s="19" t="s">
        <v>966</v>
      </c>
    </row>
    <row r="156" customFormat="false" ht="18" hidden="false" customHeight="true" outlineLevel="0" collapsed="false">
      <c r="A156" s="16" t="n">
        <v>54</v>
      </c>
      <c r="B156" s="17" t="s">
        <v>980</v>
      </c>
      <c r="C156" s="58" t="n">
        <v>46303</v>
      </c>
      <c r="D156" s="58" t="n">
        <v>46324</v>
      </c>
      <c r="E156" s="54" t="n">
        <v>19</v>
      </c>
      <c r="F156" s="18" t="n">
        <v>260739.93</v>
      </c>
      <c r="G156" s="60" t="s">
        <v>981</v>
      </c>
      <c r="H156" s="16" t="s">
        <v>854</v>
      </c>
      <c r="I156" s="54" t="n">
        <v>15</v>
      </c>
      <c r="J156" s="19" t="s">
        <v>966</v>
      </c>
    </row>
    <row r="157" customFormat="false" ht="29.25" hidden="false" customHeight="true" outlineLevel="0" collapsed="false">
      <c r="A157" s="16" t="n">
        <v>55</v>
      </c>
      <c r="B157" s="17" t="s">
        <v>982</v>
      </c>
      <c r="C157" s="58" t="n">
        <v>46315</v>
      </c>
      <c r="D157" s="58" t="n">
        <v>46330</v>
      </c>
      <c r="E157" s="54" t="n">
        <v>14</v>
      </c>
      <c r="F157" s="18" t="n">
        <v>443958.8</v>
      </c>
      <c r="G157" s="60" t="s">
        <v>983</v>
      </c>
      <c r="H157" s="16" t="s">
        <v>854</v>
      </c>
      <c r="I157" s="54" t="n">
        <v>0</v>
      </c>
      <c r="J157" s="19" t="s">
        <v>916</v>
      </c>
    </row>
    <row r="158" customFormat="false" ht="29.25" hidden="false" customHeight="true" outlineLevel="0" collapsed="false">
      <c r="A158" s="16" t="n">
        <v>56</v>
      </c>
      <c r="B158" s="17" t="s">
        <v>984</v>
      </c>
      <c r="C158" s="58" t="n">
        <v>46315</v>
      </c>
      <c r="D158" s="58" t="n">
        <v>46330</v>
      </c>
      <c r="E158" s="54" t="n">
        <v>14</v>
      </c>
      <c r="F158" s="18" t="n">
        <v>0</v>
      </c>
      <c r="G158" s="60" t="s">
        <v>985</v>
      </c>
      <c r="H158" s="16" t="s">
        <v>854</v>
      </c>
      <c r="I158" s="54" t="n">
        <v>0</v>
      </c>
      <c r="J158" s="19" t="s">
        <v>986</v>
      </c>
    </row>
    <row r="159" customFormat="false" ht="29.25" hidden="false" customHeight="true" outlineLevel="0" collapsed="false">
      <c r="A159" s="16" t="n">
        <v>57</v>
      </c>
      <c r="B159" s="17" t="s">
        <v>964</v>
      </c>
      <c r="C159" s="58" t="n">
        <v>46317</v>
      </c>
      <c r="D159" s="58" t="n">
        <v>46323</v>
      </c>
      <c r="E159" s="54" t="n">
        <v>6</v>
      </c>
      <c r="F159" s="18" t="n">
        <v>441252.18</v>
      </c>
      <c r="G159" s="60" t="s">
        <v>987</v>
      </c>
      <c r="H159" s="16" t="s">
        <v>854</v>
      </c>
      <c r="I159" s="54" t="n">
        <v>0</v>
      </c>
      <c r="J159" s="19" t="s">
        <v>988</v>
      </c>
    </row>
    <row r="160" customFormat="false" ht="29.25" hidden="false" customHeight="true" outlineLevel="0" collapsed="false">
      <c r="A160" s="16" t="n">
        <v>58</v>
      </c>
      <c r="B160" s="17" t="s">
        <v>989</v>
      </c>
      <c r="C160" s="58" t="n">
        <v>46317</v>
      </c>
      <c r="D160" s="58" t="n">
        <v>46331</v>
      </c>
      <c r="E160" s="54" t="n">
        <v>13</v>
      </c>
      <c r="F160" s="18" t="n">
        <v>0</v>
      </c>
      <c r="G160" s="60" t="s">
        <v>990</v>
      </c>
      <c r="H160" s="16" t="s">
        <v>854</v>
      </c>
      <c r="I160" s="54" t="n">
        <v>0</v>
      </c>
      <c r="J160" s="19" t="s">
        <v>986</v>
      </c>
    </row>
    <row r="161" customFormat="false" ht="29.25" hidden="false" customHeight="true" outlineLevel="0" collapsed="false">
      <c r="A161" s="16" t="n">
        <v>59</v>
      </c>
      <c r="B161" s="17" t="s">
        <v>978</v>
      </c>
      <c r="C161" s="58" t="n">
        <v>46324</v>
      </c>
      <c r="D161" s="58" t="n">
        <v>46337</v>
      </c>
      <c r="E161" s="54" t="n">
        <v>12</v>
      </c>
      <c r="F161" s="18" t="n">
        <v>701992.11</v>
      </c>
      <c r="G161" s="60" t="s">
        <v>991</v>
      </c>
      <c r="H161" s="16" t="s">
        <v>854</v>
      </c>
      <c r="I161" s="54" t="n">
        <v>0</v>
      </c>
      <c r="J161" s="19" t="s">
        <v>988</v>
      </c>
    </row>
    <row r="162" customFormat="false" ht="18" hidden="false" customHeight="true" outlineLevel="0" collapsed="false">
      <c r="A162" s="16" t="n">
        <v>60</v>
      </c>
      <c r="B162" s="17" t="s">
        <v>992</v>
      </c>
      <c r="C162" s="58" t="n">
        <v>46326</v>
      </c>
      <c r="D162" s="58" t="n">
        <v>46330</v>
      </c>
      <c r="E162" s="54" t="n">
        <v>5</v>
      </c>
      <c r="F162" s="18" t="n">
        <v>260739.93</v>
      </c>
      <c r="G162" s="60" t="s">
        <v>993</v>
      </c>
      <c r="H162" s="16" t="s">
        <v>854</v>
      </c>
      <c r="I162" s="54" t="n">
        <v>15</v>
      </c>
      <c r="J162" s="19" t="s">
        <v>966</v>
      </c>
    </row>
    <row r="163" customFormat="false" ht="18" hidden="false" customHeight="true" outlineLevel="0" collapsed="false">
      <c r="A163" s="16" t="n">
        <v>61</v>
      </c>
      <c r="B163" s="17" t="s">
        <v>980</v>
      </c>
      <c r="C163" s="58" t="n">
        <v>46327</v>
      </c>
      <c r="D163" s="58" t="n">
        <v>46343</v>
      </c>
      <c r="E163" s="54" t="n">
        <v>15</v>
      </c>
      <c r="F163" s="18" t="n">
        <v>260739.93</v>
      </c>
      <c r="G163" s="60" t="s">
        <v>994</v>
      </c>
      <c r="H163" s="16" t="s">
        <v>854</v>
      </c>
      <c r="I163" s="54" t="n">
        <v>0</v>
      </c>
      <c r="J163" s="19" t="s">
        <v>988</v>
      </c>
    </row>
    <row r="164" customFormat="false" ht="29.25" hidden="false" customHeight="true" outlineLevel="0" collapsed="false">
      <c r="A164" s="16" t="n">
        <v>62</v>
      </c>
      <c r="B164" s="17" t="s">
        <v>995</v>
      </c>
      <c r="C164" s="58" t="n">
        <v>46327</v>
      </c>
      <c r="D164" s="58" t="n">
        <v>46327</v>
      </c>
      <c r="E164" s="54" t="n">
        <v>1</v>
      </c>
      <c r="F164" s="18" t="n">
        <v>0</v>
      </c>
      <c r="G164" s="60" t="s">
        <v>996</v>
      </c>
      <c r="H164" s="16" t="s">
        <v>854</v>
      </c>
      <c r="I164" s="54" t="n">
        <v>23</v>
      </c>
      <c r="J164" s="19" t="s">
        <v>997</v>
      </c>
    </row>
    <row r="165" customFormat="false" ht="29.25" hidden="false" customHeight="true" outlineLevel="0" collapsed="false">
      <c r="A165" s="16" t="n">
        <v>63</v>
      </c>
      <c r="B165" s="17" t="s">
        <v>998</v>
      </c>
      <c r="C165" s="58" t="n">
        <v>46328</v>
      </c>
      <c r="D165" s="58" t="n">
        <v>46329</v>
      </c>
      <c r="E165" s="54" t="n">
        <v>2</v>
      </c>
      <c r="F165" s="18" t="n">
        <v>0</v>
      </c>
      <c r="G165" s="60" t="s">
        <v>999</v>
      </c>
      <c r="H165" s="16" t="s">
        <v>872</v>
      </c>
      <c r="I165" s="54" t="n">
        <v>19</v>
      </c>
      <c r="J165" s="19" t="s">
        <v>997</v>
      </c>
    </row>
    <row r="166" customFormat="false" ht="29.25" hidden="false" customHeight="true" outlineLevel="0" collapsed="false">
      <c r="A166" s="16" t="n">
        <v>64</v>
      </c>
      <c r="B166" s="17" t="s">
        <v>1000</v>
      </c>
      <c r="C166" s="58" t="n">
        <v>46331</v>
      </c>
      <c r="D166" s="58" t="n">
        <v>46337</v>
      </c>
      <c r="E166" s="54" t="n">
        <v>6</v>
      </c>
      <c r="F166" s="18" t="n">
        <v>340967.6</v>
      </c>
      <c r="G166" s="60" t="s">
        <v>1001</v>
      </c>
      <c r="H166" s="16" t="s">
        <v>854</v>
      </c>
      <c r="I166" s="54" t="n">
        <v>15</v>
      </c>
      <c r="J166" s="19" t="s">
        <v>966</v>
      </c>
    </row>
    <row r="167" customFormat="false" ht="29.25" hidden="false" customHeight="true" outlineLevel="0" collapsed="false">
      <c r="A167" s="16" t="n">
        <v>65</v>
      </c>
      <c r="B167" s="17" t="s">
        <v>1002</v>
      </c>
      <c r="C167" s="58" t="n">
        <v>46335</v>
      </c>
      <c r="D167" s="58" t="n">
        <v>46340</v>
      </c>
      <c r="E167" s="54" t="n">
        <v>5</v>
      </c>
      <c r="F167" s="18" t="n">
        <v>44773.92</v>
      </c>
      <c r="G167" s="60" t="s">
        <v>1003</v>
      </c>
      <c r="H167" s="16" t="s">
        <v>854</v>
      </c>
      <c r="I167" s="54" t="n">
        <v>17</v>
      </c>
      <c r="J167" s="19" t="s">
        <v>1004</v>
      </c>
    </row>
    <row r="168" customFormat="false" ht="29.25" hidden="false" customHeight="true" outlineLevel="0" collapsed="false">
      <c r="A168" s="16" t="n">
        <v>66</v>
      </c>
      <c r="B168" s="17" t="s">
        <v>1005</v>
      </c>
      <c r="C168" s="58" t="n">
        <v>46337</v>
      </c>
      <c r="D168" s="58" t="n">
        <v>46340</v>
      </c>
      <c r="E168" s="54" t="n">
        <v>3</v>
      </c>
      <c r="F168" s="18" t="n">
        <v>22386.96</v>
      </c>
      <c r="G168" s="60" t="s">
        <v>1006</v>
      </c>
      <c r="H168" s="16" t="s">
        <v>854</v>
      </c>
      <c r="I168" s="54" t="n">
        <v>17</v>
      </c>
      <c r="J168" s="19" t="s">
        <v>1004</v>
      </c>
    </row>
    <row r="169" customFormat="false" ht="18" hidden="false" customHeight="true" outlineLevel="0" collapsed="false">
      <c r="A169" s="16" t="n">
        <v>67</v>
      </c>
      <c r="B169" s="17" t="s">
        <v>1007</v>
      </c>
      <c r="C169" s="58" t="n">
        <v>46338</v>
      </c>
      <c r="D169" s="58" t="n">
        <v>46342</v>
      </c>
      <c r="E169" s="54" t="n">
        <v>4</v>
      </c>
      <c r="F169" s="18" t="n">
        <v>156708.71</v>
      </c>
      <c r="G169" s="60" t="s">
        <v>1008</v>
      </c>
      <c r="H169" s="16" t="s">
        <v>854</v>
      </c>
      <c r="I169" s="54" t="n">
        <v>15</v>
      </c>
      <c r="J169" s="19" t="s">
        <v>1004</v>
      </c>
    </row>
    <row r="170" customFormat="false" ht="18" hidden="false" customHeight="true" outlineLevel="0" collapsed="false">
      <c r="A170" s="16" t="n">
        <v>68</v>
      </c>
      <c r="B170" s="17" t="s">
        <v>992</v>
      </c>
      <c r="C170" s="58" t="n">
        <v>46344</v>
      </c>
      <c r="D170" s="58" t="n">
        <v>46349</v>
      </c>
      <c r="E170" s="54" t="n">
        <v>5</v>
      </c>
      <c r="F170" s="18" t="n">
        <v>260739.93</v>
      </c>
      <c r="G170" s="60" t="s">
        <v>1009</v>
      </c>
      <c r="H170" s="16" t="s">
        <v>854</v>
      </c>
      <c r="I170" s="54" t="n">
        <v>0</v>
      </c>
      <c r="J170" s="19" t="s">
        <v>988</v>
      </c>
    </row>
    <row r="171" customFormat="false" ht="29.25" hidden="false" customHeight="true" outlineLevel="0" collapsed="false">
      <c r="A171" s="16" t="n">
        <v>69</v>
      </c>
      <c r="B171" s="17" t="s">
        <v>1000</v>
      </c>
      <c r="C171" s="58" t="n">
        <v>46350</v>
      </c>
      <c r="D171" s="58" t="n">
        <v>46356</v>
      </c>
      <c r="E171" s="54" t="n">
        <v>6</v>
      </c>
      <c r="F171" s="18" t="n">
        <v>340967.6</v>
      </c>
      <c r="G171" s="60" t="s">
        <v>1010</v>
      </c>
      <c r="H171" s="16" t="s">
        <v>854</v>
      </c>
      <c r="I171" s="54" t="n">
        <v>0</v>
      </c>
      <c r="J171" s="19" t="s">
        <v>988</v>
      </c>
    </row>
    <row r="172" customFormat="false" ht="29.25" hidden="false" customHeight="true" outlineLevel="0" collapsed="false">
      <c r="A172" s="16" t="n">
        <v>70</v>
      </c>
      <c r="B172" s="17" t="s">
        <v>1002</v>
      </c>
      <c r="C172" s="58" t="n">
        <v>46354</v>
      </c>
      <c r="D172" s="58" t="n">
        <v>46358</v>
      </c>
      <c r="E172" s="54" t="n">
        <v>5</v>
      </c>
      <c r="F172" s="18" t="n">
        <v>44773.92</v>
      </c>
      <c r="G172" s="60" t="s">
        <v>1011</v>
      </c>
      <c r="H172" s="16" t="s">
        <v>854</v>
      </c>
      <c r="I172" s="54" t="n">
        <v>0</v>
      </c>
      <c r="J172" s="19" t="s">
        <v>1012</v>
      </c>
    </row>
    <row r="173" customFormat="false" ht="29.25" hidden="false" customHeight="true" outlineLevel="0" collapsed="false">
      <c r="A173" s="16" t="n">
        <v>71</v>
      </c>
      <c r="B173" s="17" t="s">
        <v>1005</v>
      </c>
      <c r="C173" s="58" t="n">
        <v>46356</v>
      </c>
      <c r="D173" s="58" t="n">
        <v>46358</v>
      </c>
      <c r="E173" s="54" t="n">
        <v>3</v>
      </c>
      <c r="F173" s="18" t="n">
        <v>22386.96</v>
      </c>
      <c r="G173" s="60" t="s">
        <v>1013</v>
      </c>
      <c r="H173" s="16" t="s">
        <v>854</v>
      </c>
      <c r="I173" s="54" t="n">
        <v>5</v>
      </c>
      <c r="J173" s="19" t="s">
        <v>1012</v>
      </c>
    </row>
    <row r="174" customFormat="false" ht="18" hidden="false" customHeight="true" outlineLevel="0" collapsed="false">
      <c r="A174" s="16" t="n">
        <v>72</v>
      </c>
      <c r="B174" s="17" t="s">
        <v>1007</v>
      </c>
      <c r="C174" s="58" t="n">
        <v>46357</v>
      </c>
      <c r="D174" s="58" t="n">
        <v>46359</v>
      </c>
      <c r="E174" s="54" t="n">
        <v>3</v>
      </c>
      <c r="F174" s="18" t="n">
        <v>156708.71</v>
      </c>
      <c r="G174" s="60" t="s">
        <v>1014</v>
      </c>
      <c r="H174" s="16" t="s">
        <v>854</v>
      </c>
      <c r="I174" s="54" t="n">
        <v>0</v>
      </c>
      <c r="J174" s="19" t="s">
        <v>1012</v>
      </c>
    </row>
    <row r="175" customFormat="false" ht="18" hidden="false" customHeight="true" outlineLevel="0" collapsed="false">
      <c r="A175" s="16" t="n">
        <v>73</v>
      </c>
      <c r="B175" s="17" t="s">
        <v>1015</v>
      </c>
      <c r="C175" s="58" t="n">
        <v>46359</v>
      </c>
      <c r="D175" s="58" t="n">
        <v>46359</v>
      </c>
      <c r="E175" s="54" t="n">
        <v>0</v>
      </c>
      <c r="F175" s="18" t="n">
        <v>0</v>
      </c>
      <c r="G175" s="60" t="s">
        <v>1016</v>
      </c>
      <c r="H175" s="16" t="s">
        <v>854</v>
      </c>
      <c r="I175" s="54" t="n">
        <v>0</v>
      </c>
      <c r="J175" s="19" t="s">
        <v>1017</v>
      </c>
    </row>
    <row r="176" customFormat="false" ht="18" hidden="false" customHeight="true" outlineLevel="0" collapsed="false">
      <c r="A176" s="16" t="n">
        <v>74</v>
      </c>
      <c r="B176" s="17" t="s">
        <v>1018</v>
      </c>
      <c r="C176" s="58" t="n">
        <v>46361</v>
      </c>
      <c r="D176" s="58" t="n">
        <v>46364</v>
      </c>
      <c r="E176" s="54" t="n">
        <v>4</v>
      </c>
      <c r="F176" s="18" t="n">
        <v>64302.97</v>
      </c>
      <c r="G176" s="60" t="s">
        <v>1019</v>
      </c>
      <c r="H176" s="16" t="s">
        <v>854</v>
      </c>
      <c r="I176" s="54" t="n">
        <v>0</v>
      </c>
      <c r="J176" s="19" t="s">
        <v>1017</v>
      </c>
    </row>
    <row r="177" customFormat="false" ht="18" hidden="false" customHeight="true" outlineLevel="0" collapsed="false">
      <c r="A177" s="16" t="n">
        <v>75</v>
      </c>
      <c r="B177" s="17" t="s">
        <v>1020</v>
      </c>
      <c r="C177" s="58" t="n">
        <v>46365</v>
      </c>
      <c r="D177" s="58" t="n">
        <v>46372</v>
      </c>
      <c r="E177" s="54" t="n">
        <v>7</v>
      </c>
      <c r="F177" s="18" t="n">
        <v>100152.99</v>
      </c>
      <c r="G177" s="60" t="s">
        <v>1021</v>
      </c>
      <c r="H177" s="16" t="s">
        <v>854</v>
      </c>
      <c r="I177" s="54" t="n">
        <v>0</v>
      </c>
      <c r="J177" s="19" t="s">
        <v>1022</v>
      </c>
    </row>
    <row r="178" customFormat="false" ht="18" hidden="false" customHeight="true" outlineLevel="0" collapsed="false">
      <c r="A178" s="16" t="n">
        <v>76</v>
      </c>
      <c r="B178" s="17" t="s">
        <v>1023</v>
      </c>
      <c r="C178" s="58" t="n">
        <v>46365</v>
      </c>
      <c r="D178" s="58" t="n">
        <v>46372</v>
      </c>
      <c r="E178" s="54" t="n">
        <v>7</v>
      </c>
      <c r="F178" s="18" t="n">
        <v>100152.99</v>
      </c>
      <c r="G178" s="60" t="s">
        <v>1024</v>
      </c>
      <c r="H178" s="16" t="s">
        <v>854</v>
      </c>
      <c r="I178" s="54" t="n">
        <v>0</v>
      </c>
      <c r="J178" s="19" t="s">
        <v>1022</v>
      </c>
    </row>
    <row r="179" customFormat="false" ht="18" hidden="false" customHeight="true" outlineLevel="0" collapsed="false">
      <c r="A179" s="16" t="n">
        <v>77</v>
      </c>
      <c r="B179" s="17" t="s">
        <v>1025</v>
      </c>
      <c r="C179" s="58" t="n">
        <v>46372</v>
      </c>
      <c r="D179" s="58" t="n">
        <v>46372</v>
      </c>
      <c r="E179" s="54" t="n">
        <v>0</v>
      </c>
      <c r="F179" s="18" t="n">
        <v>0</v>
      </c>
      <c r="G179" s="60" t="s">
        <v>1026</v>
      </c>
      <c r="H179" s="16" t="s">
        <v>854</v>
      </c>
      <c r="I179" s="54" t="n">
        <v>7</v>
      </c>
      <c r="J179" s="19" t="s">
        <v>862</v>
      </c>
    </row>
    <row r="180" customFormat="false" ht="18" hidden="false" customHeight="true" outlineLevel="0" collapsed="false">
      <c r="A180" s="16" t="n">
        <v>78</v>
      </c>
      <c r="B180" s="17" t="s">
        <v>1027</v>
      </c>
      <c r="C180" s="58" t="n">
        <v>46372</v>
      </c>
      <c r="D180" s="58" t="n">
        <v>46372</v>
      </c>
      <c r="E180" s="54" t="n">
        <v>0</v>
      </c>
      <c r="F180" s="18" t="n">
        <v>0</v>
      </c>
      <c r="G180" s="60" t="s">
        <v>1028</v>
      </c>
      <c r="H180" s="16" t="s">
        <v>854</v>
      </c>
      <c r="I180" s="54" t="n">
        <v>7</v>
      </c>
      <c r="J180" s="19" t="s">
        <v>862</v>
      </c>
    </row>
    <row r="181" customFormat="false" ht="29.25" hidden="false" customHeight="true" outlineLevel="0" collapsed="false">
      <c r="A181" s="16" t="n">
        <v>79</v>
      </c>
      <c r="B181" s="17" t="s">
        <v>1029</v>
      </c>
      <c r="C181" s="58" t="n">
        <v>46373</v>
      </c>
      <c r="D181" s="58" t="n">
        <v>46380</v>
      </c>
      <c r="E181" s="54" t="n">
        <v>7</v>
      </c>
      <c r="F181" s="18" t="n">
        <v>50000</v>
      </c>
      <c r="G181" s="60" t="s">
        <v>1030</v>
      </c>
      <c r="H181" s="16" t="s">
        <v>854</v>
      </c>
      <c r="I181" s="54" t="n">
        <v>0</v>
      </c>
      <c r="J181" s="19" t="s">
        <v>1031</v>
      </c>
    </row>
    <row r="182" customFormat="false" ht="18" hidden="false" customHeight="true" outlineLevel="0" collapsed="false">
      <c r="A182" s="16" t="n">
        <v>80</v>
      </c>
      <c r="B182" s="17" t="s">
        <v>1032</v>
      </c>
      <c r="C182" s="58" t="n">
        <v>46373</v>
      </c>
      <c r="D182" s="58" t="n">
        <v>46380</v>
      </c>
      <c r="E182" s="54" t="n">
        <v>7</v>
      </c>
      <c r="F182" s="18" t="n">
        <v>0</v>
      </c>
      <c r="G182" s="60" t="s">
        <v>1033</v>
      </c>
      <c r="H182" s="16" t="s">
        <v>854</v>
      </c>
      <c r="I182" s="54" t="n">
        <v>0</v>
      </c>
      <c r="J182" s="19" t="s">
        <v>1034</v>
      </c>
    </row>
    <row r="183" customFormat="false" ht="18" hidden="false" customHeight="true" outlineLevel="0" collapsed="false">
      <c r="A183" s="16" t="n">
        <v>81</v>
      </c>
      <c r="B183" s="17" t="s">
        <v>1035</v>
      </c>
      <c r="C183" s="58" t="n">
        <v>46380</v>
      </c>
      <c r="D183" s="58" t="n">
        <v>46380</v>
      </c>
      <c r="E183" s="54" t="n">
        <v>0</v>
      </c>
      <c r="F183" s="18" t="n">
        <v>0</v>
      </c>
      <c r="G183" s="60" t="s">
        <v>1036</v>
      </c>
      <c r="H183" s="16" t="s">
        <v>858</v>
      </c>
      <c r="I183" s="54" t="n">
        <v>0</v>
      </c>
      <c r="J183" s="19" t="s">
        <v>859</v>
      </c>
    </row>
    <row r="184" customFormat="false" ht="29.25" hidden="false" customHeight="true" outlineLevel="0" collapsed="false">
      <c r="A184" s="23"/>
      <c r="B184" s="23" t="s">
        <v>1037</v>
      </c>
      <c r="C184" s="23"/>
      <c r="D184" s="23"/>
      <c r="E184" s="23"/>
      <c r="F184" s="35" t="n">
        <f aca="false">SUM(F103:F183)</f>
        <v>8110296.62</v>
      </c>
      <c r="G184" s="23"/>
      <c r="H184" s="23"/>
      <c r="I184" s="23"/>
      <c r="J184" s="19" t="s">
        <v>1038</v>
      </c>
    </row>
  </sheetData>
  <mergeCells count="55">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5:J45"/>
    <mergeCell ref="I46:J46"/>
    <mergeCell ref="I47:J47"/>
    <mergeCell ref="I48:J48"/>
    <mergeCell ref="I49:J49"/>
    <mergeCell ref="I50:J50"/>
    <mergeCell ref="I51:J51"/>
    <mergeCell ref="I53:J53"/>
    <mergeCell ref="I54:J54"/>
    <mergeCell ref="I55:J55"/>
    <mergeCell ref="A57:J57"/>
    <mergeCell ref="A58:J58"/>
    <mergeCell ref="A100:J100"/>
    <mergeCell ref="A101:J10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1039</v>
      </c>
    </row>
    <row r="2" customFormat="false" ht="15.75" hidden="false" customHeight="true" outlineLevel="0" collapsed="false">
      <c r="A2" s="9" t="s">
        <v>1040</v>
      </c>
    </row>
    <row r="3" customFormat="false" ht="15" hidden="false" customHeight="true" outlineLevel="0" collapsed="false">
      <c r="A3" s="10" t="s">
        <v>1041</v>
      </c>
    </row>
    <row r="4" customFormat="false" ht="30" hidden="false" customHeight="true" outlineLevel="0" collapsed="false">
      <c r="A4" s="61" t="s">
        <v>1042</v>
      </c>
    </row>
    <row r="5" customFormat="false" ht="19.5" hidden="false" customHeight="true" outlineLevel="0" collapsed="false">
      <c r="A5" s="62"/>
      <c r="B5" s="62"/>
      <c r="C5" s="63" t="s">
        <v>1043</v>
      </c>
      <c r="D5" s="63"/>
      <c r="E5" s="63"/>
      <c r="F5" s="63"/>
      <c r="G5" s="63"/>
    </row>
    <row r="6" customFormat="false" ht="31.5" hidden="false" customHeight="true" outlineLevel="0" collapsed="false">
      <c r="A6" s="13" t="s">
        <v>35</v>
      </c>
      <c r="B6" s="13" t="s">
        <v>36</v>
      </c>
      <c r="C6" s="13" t="s">
        <v>37</v>
      </c>
      <c r="D6" s="13" t="s">
        <v>38</v>
      </c>
      <c r="E6" s="13" t="s">
        <v>39</v>
      </c>
      <c r="F6" s="13" t="s">
        <v>40</v>
      </c>
      <c r="G6" s="13" t="s">
        <v>1044</v>
      </c>
    </row>
    <row r="7" customFormat="false" ht="21.75" hidden="false" customHeight="true" outlineLevel="0" collapsed="false">
      <c r="A7" s="64" t="s">
        <v>1045</v>
      </c>
      <c r="B7" s="64"/>
      <c r="C7" s="64"/>
      <c r="D7" s="64"/>
      <c r="E7" s="64"/>
      <c r="F7" s="64"/>
      <c r="G7" s="64"/>
    </row>
    <row r="8" customFormat="false" ht="45" hidden="false" customHeight="true" outlineLevel="0" collapsed="false">
      <c r="A8" s="65" t="n">
        <v>1</v>
      </c>
      <c r="B8" s="66" t="s">
        <v>1046</v>
      </c>
      <c r="C8" s="65" t="s">
        <v>49</v>
      </c>
      <c r="D8" s="67" t="n">
        <v>1</v>
      </c>
      <c r="E8" s="67" t="n">
        <v>816000</v>
      </c>
      <c r="F8" s="68" t="n">
        <v>816000</v>
      </c>
      <c r="G8" s="69"/>
    </row>
    <row r="9" customFormat="false" ht="21.75" hidden="false" customHeight="true" outlineLevel="0" collapsed="false">
      <c r="A9" s="64" t="s">
        <v>54</v>
      </c>
      <c r="B9" s="64"/>
      <c r="C9" s="64"/>
      <c r="D9" s="64"/>
      <c r="E9" s="64"/>
      <c r="F9" s="64"/>
      <c r="G9" s="64"/>
    </row>
    <row r="10" customFormat="false" ht="96.75" hidden="false" customHeight="true" outlineLevel="0" collapsed="false">
      <c r="A10" s="65" t="n">
        <v>2</v>
      </c>
      <c r="B10" s="66" t="s">
        <v>1047</v>
      </c>
      <c r="C10" s="65" t="s">
        <v>49</v>
      </c>
      <c r="D10" s="67" t="n">
        <v>1</v>
      </c>
      <c r="E10" s="67" t="n">
        <v>102000</v>
      </c>
      <c r="F10" s="68" t="n">
        <v>102000</v>
      </c>
      <c r="G10" s="69"/>
    </row>
    <row r="11" customFormat="false" ht="21.75" hidden="false" customHeight="true" outlineLevel="0" collapsed="false">
      <c r="A11" s="64" t="s">
        <v>1048</v>
      </c>
      <c r="B11" s="64"/>
      <c r="C11" s="64"/>
      <c r="D11" s="64"/>
      <c r="E11" s="64"/>
      <c r="F11" s="64"/>
      <c r="G11" s="64"/>
    </row>
    <row r="12" customFormat="false" ht="70.5" hidden="false" customHeight="true" outlineLevel="0" collapsed="false">
      <c r="A12" s="65" t="n">
        <v>3</v>
      </c>
      <c r="B12" s="66" t="s">
        <v>1049</v>
      </c>
      <c r="C12" s="65" t="s">
        <v>49</v>
      </c>
      <c r="D12" s="67" t="n">
        <v>1</v>
      </c>
      <c r="E12" s="67" t="n">
        <v>18000</v>
      </c>
      <c r="F12" s="68" t="n">
        <v>18000</v>
      </c>
      <c r="G12" s="69"/>
    </row>
    <row r="13" customFormat="false" ht="258.75" hidden="false" customHeight="true" outlineLevel="0" collapsed="false">
      <c r="A13" s="65" t="n">
        <v>4</v>
      </c>
      <c r="B13" s="66" t="s">
        <v>1050</v>
      </c>
      <c r="C13" s="65" t="s">
        <v>49</v>
      </c>
      <c r="D13" s="67" t="n">
        <v>1</v>
      </c>
      <c r="E13" s="67" t="n">
        <v>31500</v>
      </c>
      <c r="F13" s="68" t="n">
        <v>31500</v>
      </c>
      <c r="G13" s="69"/>
    </row>
    <row r="14" customFormat="false" ht="14.25" hidden="false" customHeight="false" outlineLevel="0" collapsed="false">
      <c r="A14" s="64" t="s">
        <v>1051</v>
      </c>
      <c r="B14" s="64"/>
      <c r="C14" s="64"/>
      <c r="D14" s="64"/>
      <c r="E14" s="64"/>
      <c r="F14" s="64"/>
      <c r="G14" s="64"/>
    </row>
    <row r="15" customFormat="false" ht="72" hidden="false" customHeight="true" outlineLevel="0" collapsed="false">
      <c r="A15" s="65" t="n">
        <v>5</v>
      </c>
      <c r="B15" s="66" t="s">
        <v>1052</v>
      </c>
      <c r="C15" s="65" t="s">
        <v>1053</v>
      </c>
      <c r="D15" s="67" t="n">
        <v>1050</v>
      </c>
      <c r="E15" s="67" t="n">
        <v>6</v>
      </c>
      <c r="F15" s="68" t="n">
        <v>6300</v>
      </c>
      <c r="G15" s="69"/>
    </row>
    <row r="16" customFormat="false" ht="100.5" hidden="false" customHeight="true" outlineLevel="0" collapsed="false">
      <c r="A16" s="65" t="n">
        <v>6</v>
      </c>
      <c r="B16" s="66" t="s">
        <v>1054</v>
      </c>
      <c r="C16" s="65" t="s">
        <v>1055</v>
      </c>
      <c r="D16" s="67" t="n">
        <v>1050</v>
      </c>
      <c r="E16" s="67" t="n">
        <v>54</v>
      </c>
      <c r="F16" s="68" t="n">
        <v>56700</v>
      </c>
      <c r="G16" s="69"/>
    </row>
    <row r="17" customFormat="false" ht="144" hidden="false" customHeight="true" outlineLevel="0" collapsed="false">
      <c r="A17" s="65" t="n">
        <v>7</v>
      </c>
      <c r="B17" s="66" t="s">
        <v>1056</v>
      </c>
      <c r="C17" s="65" t="s">
        <v>1055</v>
      </c>
      <c r="D17" s="67" t="n">
        <v>1050</v>
      </c>
      <c r="E17" s="67" t="n">
        <v>60</v>
      </c>
      <c r="F17" s="68" t="n">
        <v>63000</v>
      </c>
      <c r="G17" s="69"/>
    </row>
    <row r="18" customFormat="false" ht="14.25" hidden="false" customHeight="false" outlineLevel="0" collapsed="false">
      <c r="A18" s="64" t="s">
        <v>1057</v>
      </c>
      <c r="B18" s="64"/>
      <c r="C18" s="64"/>
      <c r="D18" s="64"/>
      <c r="E18" s="64"/>
      <c r="F18" s="64"/>
      <c r="G18" s="64"/>
    </row>
    <row r="19" customFormat="false" ht="57" hidden="false" customHeight="true" outlineLevel="0" collapsed="false">
      <c r="A19" s="65" t="n">
        <v>8</v>
      </c>
      <c r="B19" s="66" t="s">
        <v>1058</v>
      </c>
      <c r="C19" s="65" t="s">
        <v>1053</v>
      </c>
      <c r="D19" s="67" t="n">
        <v>1050</v>
      </c>
      <c r="E19" s="67" t="n">
        <v>120</v>
      </c>
      <c r="F19" s="68" t="n">
        <v>126000</v>
      </c>
      <c r="G19" s="69"/>
    </row>
    <row r="20" customFormat="false" ht="186.75" hidden="false" customHeight="true" outlineLevel="0" collapsed="false">
      <c r="A20" s="65" t="n">
        <v>9</v>
      </c>
      <c r="B20" s="66" t="s">
        <v>1059</v>
      </c>
      <c r="C20" s="65" t="s">
        <v>1055</v>
      </c>
      <c r="D20" s="67" t="n">
        <v>435.3</v>
      </c>
      <c r="E20" s="67" t="n">
        <v>1920</v>
      </c>
      <c r="F20" s="68" t="n">
        <v>835776</v>
      </c>
      <c r="G20" s="69"/>
    </row>
    <row r="21" customFormat="false" ht="144" hidden="false" customHeight="true" outlineLevel="0" collapsed="false">
      <c r="A21" s="65" t="n">
        <v>10</v>
      </c>
      <c r="B21" s="66" t="s">
        <v>1060</v>
      </c>
      <c r="C21" s="65" t="s">
        <v>1053</v>
      </c>
      <c r="D21" s="67" t="n">
        <v>1050</v>
      </c>
      <c r="E21" s="67" t="n">
        <v>108</v>
      </c>
      <c r="F21" s="68" t="n">
        <v>113400</v>
      </c>
      <c r="G21" s="69"/>
    </row>
    <row r="22" customFormat="false" ht="28.5" hidden="false" customHeight="true" outlineLevel="0" collapsed="false">
      <c r="A22" s="65" t="n">
        <v>11</v>
      </c>
      <c r="B22" s="66" t="s">
        <v>1061</v>
      </c>
      <c r="C22" s="65" t="s">
        <v>1053</v>
      </c>
      <c r="D22" s="67" t="n">
        <v>1773.2</v>
      </c>
      <c r="E22" s="67" t="n">
        <v>120</v>
      </c>
      <c r="F22" s="68" t="n">
        <v>212784</v>
      </c>
      <c r="G22" s="69"/>
    </row>
    <row r="23" customFormat="false" ht="230.25" hidden="false" customHeight="true" outlineLevel="0" collapsed="false">
      <c r="A23" s="65" t="n">
        <v>12</v>
      </c>
      <c r="B23" s="66" t="s">
        <v>1062</v>
      </c>
      <c r="C23" s="65" t="s">
        <v>37</v>
      </c>
      <c r="D23" s="67" t="n">
        <v>3</v>
      </c>
      <c r="E23" s="67" t="n">
        <v>1890000</v>
      </c>
      <c r="F23" s="68" t="n">
        <v>5670000</v>
      </c>
      <c r="G23" s="69"/>
    </row>
    <row r="24" customFormat="false" ht="129" hidden="false" customHeight="true" outlineLevel="0" collapsed="false">
      <c r="A24" s="65" t="n">
        <v>13</v>
      </c>
      <c r="B24" s="66" t="s">
        <v>1063</v>
      </c>
      <c r="C24" s="65" t="s">
        <v>37</v>
      </c>
      <c r="D24" s="67" t="n">
        <v>3</v>
      </c>
      <c r="E24" s="67" t="n">
        <v>204000</v>
      </c>
      <c r="F24" s="68" t="n">
        <v>612000</v>
      </c>
      <c r="G24" s="69"/>
    </row>
    <row r="25" customFormat="false" ht="115.5" hidden="false" customHeight="true" outlineLevel="0" collapsed="false">
      <c r="A25" s="65" t="n">
        <v>14</v>
      </c>
      <c r="B25" s="66" t="s">
        <v>1064</v>
      </c>
      <c r="C25" s="65" t="s">
        <v>49</v>
      </c>
      <c r="D25" s="67" t="n">
        <v>1</v>
      </c>
      <c r="E25" s="67" t="n">
        <v>486000</v>
      </c>
      <c r="F25" s="68" t="n">
        <v>486000</v>
      </c>
      <c r="G25" s="69"/>
    </row>
    <row r="26" customFormat="false" ht="15" hidden="false" customHeight="true" outlineLevel="0" collapsed="false">
      <c r="A26" s="70"/>
      <c r="B26" s="71" t="s">
        <v>1065</v>
      </c>
      <c r="C26" s="70"/>
      <c r="D26" s="70"/>
      <c r="E26" s="70"/>
      <c r="F26" s="72" t="n">
        <f aca="false">SUM(F8:F25)</f>
        <v>9149460</v>
      </c>
      <c r="G26" s="70"/>
    </row>
    <row r="27" customFormat="false" ht="36" hidden="false" customHeight="true" outlineLevel="0" collapsed="false">
      <c r="B27" s="73"/>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1066</v>
      </c>
    </row>
    <row r="2" customFormat="false" ht="15" hidden="false" customHeight="true" outlineLevel="0" collapsed="false">
      <c r="A2" s="74" t="s">
        <v>44</v>
      </c>
      <c r="C2" s="74" t="s">
        <v>1067</v>
      </c>
      <c r="E2" s="74" t="s">
        <v>1068</v>
      </c>
      <c r="G2" s="74" t="s">
        <v>1069</v>
      </c>
      <c r="I2" s="74" t="s">
        <v>1070</v>
      </c>
      <c r="K2" s="74" t="s">
        <v>1071</v>
      </c>
    </row>
    <row r="3" customFormat="false" ht="15" hidden="false" customHeight="true" outlineLevel="0" collapsed="false">
      <c r="A3" s="75" t="s">
        <v>1072</v>
      </c>
      <c r="C3" s="75" t="s">
        <v>1073</v>
      </c>
      <c r="E3" s="75" t="s">
        <v>1074</v>
      </c>
      <c r="G3" s="75" t="s">
        <v>1075</v>
      </c>
      <c r="I3" s="75" t="s">
        <v>1076</v>
      </c>
      <c r="K3" s="75" t="s">
        <v>1077</v>
      </c>
    </row>
    <row r="4" customFormat="false" ht="15" hidden="false" customHeight="true" outlineLevel="0" collapsed="false">
      <c r="A4" s="75" t="s">
        <v>1078</v>
      </c>
      <c r="C4" s="75" t="s">
        <v>1079</v>
      </c>
      <c r="E4" s="75" t="s">
        <v>1080</v>
      </c>
      <c r="G4" s="75" t="s">
        <v>1081</v>
      </c>
      <c r="I4" s="75" t="s">
        <v>1082</v>
      </c>
      <c r="K4" s="75" t="s">
        <v>1083</v>
      </c>
    </row>
    <row r="5" customFormat="false" ht="15" hidden="false" customHeight="true" outlineLevel="0" collapsed="false">
      <c r="A5" s="75" t="s">
        <v>1084</v>
      </c>
      <c r="C5" s="75" t="s">
        <v>1085</v>
      </c>
      <c r="E5" s="75" t="s">
        <v>1086</v>
      </c>
      <c r="G5" s="75" t="s">
        <v>1087</v>
      </c>
      <c r="I5" s="75" t="s">
        <v>1088</v>
      </c>
      <c r="K5" s="75" t="s">
        <v>1089</v>
      </c>
    </row>
    <row r="6" customFormat="false" ht="15" hidden="false" customHeight="true" outlineLevel="0" collapsed="false">
      <c r="A6" s="75" t="s">
        <v>1082</v>
      </c>
      <c r="C6" s="75" t="s">
        <v>52</v>
      </c>
      <c r="E6" s="75" t="s">
        <v>1090</v>
      </c>
      <c r="G6" s="75" t="s">
        <v>1091</v>
      </c>
      <c r="I6" s="75" t="s">
        <v>1092</v>
      </c>
      <c r="K6" s="75" t="s">
        <v>1093</v>
      </c>
    </row>
    <row r="7" customFormat="false" ht="15" hidden="false" customHeight="true" outlineLevel="0" collapsed="false">
      <c r="A7" s="75" t="s">
        <v>53</v>
      </c>
      <c r="C7" s="75" t="s">
        <v>63</v>
      </c>
      <c r="E7" s="75" t="s">
        <v>1094</v>
      </c>
      <c r="G7" s="75" t="s">
        <v>1095</v>
      </c>
      <c r="I7" s="75" t="s">
        <v>1096</v>
      </c>
      <c r="K7" s="75" t="s">
        <v>1097</v>
      </c>
    </row>
    <row r="8" customFormat="false" ht="15" hidden="false" customHeight="true" outlineLevel="0" collapsed="false">
      <c r="A8" s="75" t="s">
        <v>1098</v>
      </c>
      <c r="C8" s="75" t="s">
        <v>1099</v>
      </c>
      <c r="G8" s="75" t="s">
        <v>1100</v>
      </c>
      <c r="I8" s="75" t="s">
        <v>1101</v>
      </c>
      <c r="K8" s="75" t="s">
        <v>1102</v>
      </c>
    </row>
    <row r="9" customFormat="false" ht="15" hidden="false" customHeight="true" outlineLevel="0" collapsed="false">
      <c r="A9" s="75" t="s">
        <v>1103</v>
      </c>
      <c r="C9" s="75" t="s">
        <v>1104</v>
      </c>
      <c r="G9" s="75" t="s">
        <v>1105</v>
      </c>
      <c r="K9" s="75" t="s">
        <v>1106</v>
      </c>
    </row>
    <row r="10" customFormat="false" ht="15" hidden="false" customHeight="true" outlineLevel="0" collapsed="false">
      <c r="A10" s="75" t="s">
        <v>1107</v>
      </c>
      <c r="C10" s="75" t="s">
        <v>1108</v>
      </c>
      <c r="G10" s="75" t="s">
        <v>1109</v>
      </c>
      <c r="K10" s="75" t="s">
        <v>1110</v>
      </c>
    </row>
    <row r="11" customFormat="false" ht="15" hidden="false" customHeight="true" outlineLevel="0" collapsed="false">
      <c r="A11" s="75" t="s">
        <v>1111</v>
      </c>
      <c r="C11" s="75" t="s">
        <v>1112</v>
      </c>
      <c r="G11" s="75" t="s">
        <v>1113</v>
      </c>
    </row>
    <row r="12" customFormat="false" ht="15" hidden="false" customHeight="true" outlineLevel="0" collapsed="false">
      <c r="A12" s="75" t="s">
        <v>1114</v>
      </c>
      <c r="G12" s="75" t="s">
        <v>56</v>
      </c>
    </row>
    <row r="13" customFormat="false" ht="14.25" hidden="false" customHeight="false" outlineLevel="0" collapsed="false">
      <c r="A13" s="76" t="s">
        <v>1115</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2026-09-30T08:34:00Z</dcterms:created>
  <dcterms:modified xsi:type="dcterms:W3CDTF">2026-09-30T08:34:00Z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
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<sst xmlns="http://schemas.openxmlformats.org/spreadsheetml/2006/main" count="4087" uniqueCount="1868">
  <si>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</si>
  <si>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</si>
  <si>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</si>
  <si>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</si>
  <si>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</si>
  <si>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</si>
  <si>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</si>
  <si>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</si>
  <si>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</si>
  <si>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</si>
  <si>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</si>
  <si>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</si>
  <si>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</si>
  <si>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</si>
  <si>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</si>
  <si>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</si>
  <si>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</si>
  <si>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</si>
  <si>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</si>
  <si>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</si>
  <si>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</si>
  <si>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</si>
  <si>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</si>
  <si>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</si>
  <si>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</si>
  <si>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</si>
  <si>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</si>
  <si>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</si>
  <si>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</si>
  <si>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</si>
  <si>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</si>
  <si>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</si>
  <si>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</si>
  <si>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</si>
  <si>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</si>
  <si>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</si>
  <si>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</si>
  <si>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</si>
  <si>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</si>
  <si>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</si>
  <si>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</si>
  <si>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</si>
  <si>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</si>
  <si>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</si>
  <si>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</si>
  <si>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</si>
  <si>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</si>
  <si>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</si>
  <si>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</si>
  <si>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</si>
  <si>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</si>
  <si>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 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</si>
  <si>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</si>
  <si>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</si>
  <si>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</si>
  <si>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</si>
  <si>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</si>
  <si>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</si>
  <si>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</si>
  <si>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</si>
  <si>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</si>
  <si>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</si>
  <si>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 Lowest of the Contractor's three quotations, adopted for dismantling, segregation and loading only on the scope recorded in the previous revision; the quotation itself is not attached to this revision and its scope split is not yet confirmed in writing
• Haulage and handover are Item 4. See 'Build-Up' Item 3</t>
  </si>
  <si>
    <t xml:space="preserve">Market Tested</t>
  </si>
  <si>
    <t xml:space="preserve">Provisional - scope confirmation</t>
  </si>
  <si>
    <t xml:space="preserve">Removal and Disposal of Damaged TSE Tank to Approved Landfill</t>
  </si>
  <si>
    <t xml:space="preserve">• Haulage only
• The Engineer's (KEO) email of 30-Aug-2026: materials are handed to the Employer locally, so no disposal or tipping applies
•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</si>
  <si>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</si>
  <si>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</si>
  <si>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 Plant, access, power, storage handling and helpers that the tank supplier excludes (supply-and-install scope as described, 'Build-Up' Assumption 9); erection, sealant and fixings are in the tank price
• Helpers: the approved manpower histogram, priced once at SAR 150 a working day
• Packaging and site waste cleared weekly
• Plant days: from the programme activity dates
• No plant schedule has been submitted
•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</si>
  <si>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</si>
  <si>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</si>
  <si>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</si>
  <si>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</si>
  <si>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 The Contractor's adopted lowest quotation at net supplier cost, before the 5 per cent Overhead and Profit
• It prices an insulated tank; the Engineer's (KEO) email of 30-Aug-2026 is that insulation is not required, so a lower price is expected
• Quotation lapsed 08-Aug-2026; base panels not confirmed. See 'Build-Up' Item 6</t>
  </si>
  <si>
    <t xml:space="preserve">Provisional - quotation and specification</t>
  </si>
  <si>
    <t xml:space="preserve">Testing, Commissioning, Hydrostatic/Leak Testing, System Integration and Handover</t>
  </si>
  <si>
    <t xml:space="preserve">• Hydrostatic test on one fill re-used for the second tank (Engineer's email of 30-Aug-2026), interior cleaning of each tank, disinfection of the wetted surfaces by the test water and of the surfaces above it by spraying, and an operating fill of Tank 1 for the integrated demonstration - no network refill is assumed - with two working days for the laboratory results before it
• Tankered water at the local haulage rate; the source is unconfirmed
• The method is provisional until the Contractor's method statement is accepted by the Engineer
• The Contractor's parallel testing is shown for comparison, not included
• Third-party factory test at nil pending evidence that it is required
•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</si>
  <si>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</si>
  <si>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</si>
  <si>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 Priced to the RFP specification
• The Contractor's different materials (HDPE pipe, gate valve, motorised valve) are not approved and are shown for information
• No quantities yet: shop drawings rejected, take-off awaited. See 'Build-Up' Item 8</t>
  </si>
  <si>
    <t xml:space="preserve">Provisional - take-off pending</t>
  </si>
  <si>
    <t xml:space="preserve">SUBTOTAL (SAR), VAT excluded</t>
  </si>
  <si>
    <t xml:space="preserve">Overhead and Profit, 5 per cent</t>
  </si>
  <si>
    <t xml:space="preserve">• 5 per cent as the Contractor's submission, within the Bill of Quantities Preamble cap
• Covers head-office overheads (management, administration, finance, procurement) and profit only
• Site staff, welfare, plant, power, water, security, insurance endorsement and close-out are priced in the items, whether one site or two</t>
  </si>
  <si>
    <t xml:space="preserve">TOTAL (SAR), VAT excluded</t>
  </si>
  <si>
    <t xml:space="preserve">Contractor columns are as submitted
•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 The programme is under the Engineer's approval, not agreed; the Contractor has been instructed and is on site, the instruction reference not yet supplied</t>
  </si>
  <si>
    <t xml:space="preserve">This assessment is preliminary
• It establishes a reasonable commercial provision on the information available at 30-Sep-2026 and does not constitute agreement of the final Variation value
•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
• The early Tank 1 test depends on the Tank 1 base starting on time; the look-ahead of 29-Sep-2026 shows it about 15 working days late ('Build-Up Comparison' item 17, sensitivity S2)</t>
  </si>
  <si>
    <t xml:space="preserve">ASSESSED RATE BUILD-UPS</t>
  </si>
  <si>
    <t xml:space="preserve">How to read this tab: each line is quantity x rate = amount, with the reason beside it ('Basis': what the line buys, how many, how long, the rate and where the quantity comes from)
• Item totals go to column J of the 'Assessment' tab; the 'Return' link on each total row goes back there
• A quantity in blue is a link to the 'Programme' tab row it is calculated from - click it
• Units: a 'month' is 30.4 calendar days; a 'day' is one calendar day of hire or attendance; a 'person-day' is one person for one working day; working days exclude Fridays.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</si>
  <si>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</si>
  <si>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</si>
  <si>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</si>
  <si>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 How long: the Contractor's programme has the site occupied from mobilisation on 22-Aug-2026 to the end of demobilisation, about 4 months ('Programme' tab, period D1); the end is fixed by the pump-room readiness date of 03-Dec-2026 and the tie-in, testing and demobilisation after it
• Each staff role is priced only for the phases in which it is needed ('Programme' tab, roles R1 to R5)
• Design staff are shared with the main Contract (Item 2). Power is in Item 5
• The tank supplier's price includes its own crew's mobilisation; the foundations and steel base frames exist
• The programme is under the Engineer's approval, not agreed</t>
  </si>
  <si>
    <t xml:space="preserve">Ref</t>
  </si>
  <si>
    <t xml:space="preserve">Basis</t>
  </si>
  <si>
    <t xml:space="preserve">1.1</t>
  </si>
  <si>
    <t xml:space="preserve">Site engineer - dedicated to the tank site</t>
  </si>
  <si>
    <t xml:space="preserve">month</t>
  </si>
  <si>
    <t xml:space="preserve">• Dedicated for the site period, mobilisation to the end of demobilisation, with the phase duties set out on the 'Programme' tab, Section 4, role R1
• Rate: assessed allowance (Riyadh market, Sep-2026)</t>
  </si>
  <si>
    <t xml:space="preserve">1.2</t>
  </si>
  <si>
    <t xml:space="preserve">HSE officer - dedicated</t>
  </si>
  <si>
    <t xml:space="preserve">• Dedicated for the site period with the phase duties at 'Programme' tab, Section 4, role R2
• Rate: assessed allowance (Riyadh market, Sep-2026)</t>
  </si>
  <si>
    <t xml:space="preserve">1.3</t>
  </si>
  <si>
    <t xml:space="preserve">QA/QC inspector - dedicated (daily inspections, ITPs and WIRs during erection)</t>
  </si>
  <si>
    <t xml:space="preserve">• From the start of dismantling to completion of testing and commissioning only ('Programme' tab, Section 4, role R3); not during mobilisation or demobilisation
• Rate: assessed allowance (Riyadh market, Sep-2026)</t>
  </si>
  <si>
    <t xml:space="preserve">1.4</t>
  </si>
  <si>
    <t xml:space="preserve">Works foreman - dedicated</t>
  </si>
  <si>
    <t xml:space="preserve">• Dedicated for the site period: the Contractor's own labour is on site from mobilisation to demobilisation ('Programme' tab, Section 4, role R4)
• Rate: assessed allowance (Riyadh market, Sep-2026)</t>
  </si>
  <si>
    <t xml:space="preserve">1.5</t>
  </si>
  <si>
    <t xml:space="preserve">Storekeeper / timekeeper</t>
  </si>
  <si>
    <t xml:space="preserve">• From the first delivery to completion of testing only ('Programme' tab, Section 4, role R5)
• Rate: assessed allowance (Riyadh market, Sep-2026)</t>
  </si>
  <si>
    <t xml:space="preserve">1.6</t>
  </si>
  <si>
    <t xml:space="preserve">Site office porta cabin, air-conditioned, rental with electricity connection and maintenance</t>
  </si>
  <si>
    <t xml:space="preserve">• Site period D1 on the 'Programme' tab, Section 3: 22-Aug-2026 (activity QCD18TSEMOB1250) to 26-Dec-2026, the assessed end of demobilisation, 127 calendar days; the SAMA Submitted Programme ends on 24-Dec-2026 (activity QCD18TSEDMOB1020)
• Rate: assessed allowance (Riyadh market, Sep-2026)</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</si>
  <si>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</si>
  <si>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</si>
  <si>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</si>
  <si>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</si>
  <si>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</si>
  <si>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</si>
  <si>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</si>
  <si>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 Two 10 m3 deliveries a week for the weeks of the site period D1 on the 'Programme' tab, Section 3; no mains water at the tank site
• Rate: assessed allowance (Riyadh market, Sep-2026)</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</si>
  <si>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</si>
  <si>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</si>
  <si>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</si>
  <si>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</si>
  <si>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</si>
  <si>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 2 No. containers for the storage window D7 on the 'Programme' tab, Section 3, first delivery to the Tank 2 roof finish
• Rate: assessed allowance (Riyadh market, Sep-2026)</t>
  </si>
  <si>
    <t xml:space="preserve">1.12</t>
  </si>
  <si>
    <t xml:space="preserve">Workforce transport to the tank site, daily bus</t>
  </si>
  <si>
    <t xml:space="preserve">• Separate site outside the D-18 boundary; site period D1 on the 'Programme' tab, Section 3
• Rate: assessed allowance (Riyadh market, Sep-2026)</t>
  </si>
  <si>
    <t xml:space="preserve">1.13</t>
  </si>
  <si>
    <t xml:space="preserve">Watchmen for the tank site - 2 No., nights and rest-day cover</t>
  </si>
  <si>
    <t xml:space="preserve">• Quantity: two watchmen for the site period D1 on the 'Programme' tab, Section 3: one person cannot cover every night and every Friday within statutory working hours, and the tank panels are stored in the open
• Included pending confirmation whether the Employer's security covers the lower plateau; delete if it does
• Rate: assessed allowance (Riyadh market, Sep-2026)</t>
  </si>
  <si>
    <t xml:space="preserve">1.14</t>
  </si>
  <si>
    <t xml:space="preserve">Mobilisation - flatbed trips delivering cabins, containers and small plant</t>
  </si>
  <si>
    <t xml:space="preserve">trip</t>
  </si>
  <si>
    <t xml:space="preserve">• 5 trips retained: the programme gives no trip count (activity QCD18TSEMOB1240, mobilisation, 5 working days)
• Rate: assessed allowance (Riyadh market, Sep-2026)</t>
  </si>
  <si>
    <t xml:space="preserve">1.15</t>
  </si>
  <si>
    <t xml:space="preserve">Demobilisation - flatbed trips removing cabins, containers and small plant</t>
  </si>
  <si>
    <t xml:space="preserve">• 5 trips retained: the programme gives no trip count (activity QCD18TSEDMOB1020, demobilisation, 7 working days)
• Rate: assessed allowance (Riyadh market, Sep-2026)</t>
  </si>
  <si>
    <t xml:space="preserve">1.16</t>
  </si>
  <si>
    <t xml:space="preserve">Site clean-up on demobilisation, 4 No. x 3 days</t>
  </si>
  <si>
    <t xml:space="preserve">person-day</t>
  </si>
  <si>
    <t xml:space="preserve">Rate: assessed allowance (Riyadh market, Sep-2026)</t>
  </si>
  <si>
    <t xml:space="preserve">1.17</t>
  </si>
  <si>
    <t xml:space="preserve">Insurance endorsement - extension of the Contractor's All Risks and third-party liability cover to the tank site</t>
  </si>
  <si>
    <t xml:space="preserve">item</t>
  </si>
  <si>
    <t xml:space="preserve">• The Contract insurances cover the Site as defined; the tank site is outside it
• Assumed at 0.2 per cent of the works value (every other line of this assessment with the 5 per cent Overhead and Profit), calculated in the rate cell; the insurer's endorsement premium is to be substantiated by the Contractor</t>
  </si>
  <si>
    <t xml:space="preserve">1.18</t>
  </si>
  <si>
    <t xml:space="preserve">Personal protective equipment, full sets</t>
  </si>
  <si>
    <t xml:space="preserve">• Peak Contractor headcount from the resource bridge ('Programme' tab, Section 4): up to 12 approved helpers in the peak week (W10), five site staff (roles R1 to R5) and the pipework testing crew of 2 - about 20 sets; the supplier's crews wear their own
• Rate: assessed allowance (Riyadh market, Sep-2026)</t>
  </si>
  <si>
    <t xml:space="preserve">1.19</t>
  </si>
  <si>
    <t xml:space="preserve">Site safety signage and notice boards</t>
  </si>
  <si>
    <t xml:space="preserve">• HSE signage at the work area, distinct from the traffic signs at 1.20
• Rate: assessed allowance (Riyadh market, Sep-2026)</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</si>
  <si>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</si>
  <si>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</si>
  <si>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</si>
  <si>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</si>
  <si>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</si>
  <si>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</si>
  <si>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 Hire basis
•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</si>
  <si>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</si>
  <si>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</si>
  <si>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</si>
  <si>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 3 days after demobilisation: the Engineer's completion inspection, the correction list and the warranties collation
• Reduced from 8 days because the site engineer's monthly period at 1.1 now runs to the end of demobilisation and the programmed close-out activity (QCD18TSEDMOB3020, 17 to 24-Dec-2026) falls inside it
• Test records, ITP/WIR close-out and as-built drawings are in Item 7 (7.20 and 7.21), not here
• Rate: assessed allowance (Riyadh market, Sep-2026)</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</si>
  <si>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</si>
  <si>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</si>
  <si>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</si>
  <si>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</si>
  <si>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</si>
  <si>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 All documentation is issued electronically via Aconex; no printing is included</t>
  </si>
  <si>
    <t xml:space="preserve">2.1</t>
  </si>
  <si>
    <t xml:space="preserve">Design engineer - design coordination and review of the supplier's calculations, method statements and ITPs</t>
  </si>
  <si>
    <t xml:space="preserve">• 2 months retained: the programme shows shop drawings 07 to 25-Aug-2026 (activities QCD18TSEENG1240 and 1250) with resubmissions to 29-Sep-2026 and the pipework shop drawings still in preparation, consistent with the period assessed
• Method statements and plans are 2.5
• Rate: assessed allowance (Riyadh market, Sep-2026)</t>
  </si>
  <si>
    <t xml:space="preserve">2.2</t>
  </si>
  <si>
    <t xml:space="preserve">CAD draughtsman - shop drawings and design-stage submittals</t>
  </si>
  <si>
    <t xml:space="preserve">• 1.5 months retained on the same programme evidence as 2.1
• As-built drawings at close-out are line 7.21
• Rate: assessed allowance (Riyadh market, Sep-2026)</t>
  </si>
  <si>
    <t xml:space="preserve">2.3</t>
  </si>
  <si>
    <t xml:space="preserve">Dimensional and verticality survey of the erected tanks and as-built pick-up - 2-man crew with instrument</t>
  </si>
  <si>
    <t xml:space="preserve">crew-day</t>
  </si>
  <si>
    <t xml:space="preserve">• 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 Not setting out: the steel base frames are already installed on concrete supports (site photograph, Aug-2026)
• Rate: assessed allowance (Riyadh market, Sep-2026)</t>
  </si>
  <si>
    <t xml:space="preserve">2.4</t>
  </si>
  <si>
    <t xml:space="preserve">Submittal administration - document controller</t>
  </si>
  <si>
    <t xml:space="preserve">• The programme carries 20 deliverable and submittal activities plus the material approval and inspection requests; 8 days of document control, doubled from the previous revision on that evidence
• Rate: assessed allowance (Riyadh market, Sep-2026)</t>
  </si>
  <si>
    <t xml:space="preserve">2.5</t>
  </si>
  <si>
    <t xml:space="preserve">Method statements, risk assessments and project plans - preparation by the Contractor's engineer (tank installation, pipe installation and tie-in method statements; HSE, CEMP, quality, execution and mobilisation plans; ITP)</t>
  </si>
  <si>
    <t xml:space="preserve">• Quantity: 12.5 engineer-days for the nine documents the programme requires for this works package (QCD18TSEMOB1050 and 1080 to 1150): tank installation (with the supplier's input), pipe installation and tie-in method statements at 2 days each; HSE, CEMP, quality, execution and mobilisation plans at 1 day each, as extensions of the contract-level plans; the ITP at 1.5 days; each with one resubmission
• Project documents for a separate site, not head-office overheads, so priced here and not in the Overhead and Profit ('Assessment' tab, row 20)
• The dismantling method statement is inside the Item 3 quotation; submittal administration is 2.4
• Rate: assessed allowance (Riyadh market, Sep-2026)
• Prepared 21-Jul to 15-Aug-2026, before the Item 1 site staff start on 22-Aug-2026; the design engineer at 2.1 reviews them and does not prepare them</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</si>
  <si>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</si>
  <si>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</si>
  <si>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</si>
  <si>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 Haulage and handover of the materials are Item 4
• The first-principles check below supports the amount; it is not included in the assessment</t>
  </si>
  <si>
    <t xml:space="preserve">3.1</t>
  </si>
  <si>
    <t xml:space="preserve">Adopted: Al Mousa Trading Co. quotation S04647 dated 10-Aug-2026 - existing tank dismantling, 1 No.</t>
  </si>
  <si>
    <t xml:space="preserve">• Lowest of three: PIPECO Q3363-R2 dated 06-Aug-2026 SAR 90,000; Professional Bayan PB/Q/0086/2026 dated 12-Aug-2026 SAR 80,000
•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</si>
  <si>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</si>
  <si>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</si>
  <si>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</si>
  <si>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</si>
  <si>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</si>
  <si>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</si>
  <si>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</si>
  <si>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</si>
  <si>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</si>
  <si>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</si>
  <si>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</si>
  <si>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</si>
  <si>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</si>
  <si>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</si>
  <si>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</si>
  <si>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</si>
  <si>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</si>
  <si>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</si>
  <si>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</si>
  <si>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</si>
  <si>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</si>
  <si>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</si>
  <si>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</si>
  <si>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</si>
  <si>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</si>
  <si>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</si>
  <si>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</si>
  <si>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</si>
  <si>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</si>
  <si>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</si>
  <si>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</si>
  <si>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</si>
  <si>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</si>
  <si>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</si>
  <si>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</si>
  <si>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</si>
  <si>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 No disposal or tipping charge therefore applies
•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</si>
  <si>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</si>
  <si>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</si>
  <si>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</si>
  <si>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 14 loads: the Contractor's load count, retained; the panels, roof and bracing of one 34 m x 30 m x 4 m tank are about 2,700 m2 of panel, which loose-stacked with the bracing is consistent with 10 to 14 loads of a 30 m3 truck
•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</si>
  <si>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</si>
  <si>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</si>
  <si>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</si>
  <si>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 Erection itself, with the sealant and the fixings, is in the supplier's supply-and-install price (Item 6)
• Helpers: the approved manpower histogram's helper row, priced once ('Programme' tab, Section 4)
• Plant days: counted from the programme activity dates on the same tab; one boom truck and one telehandler is an assessed assumption; the Contractor's plant schedule is outstanding
•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</si>
  <si>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</si>
  <si>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</si>
  <si>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 Rate includes operator and fuel
• Hire days B5 on the 'Programme' tab, Section 4, built from the XER activity dates: alternate days through each tank's walls-and-bracing window, every roof-support and roof-panel day, less the overlap of the two tanks, plus offloading days outside those
• The Contractor's methodology names forklifts, cranes and pallet jacks (Engineer's (KEO) email of 30-Aug-2026); no plant schedule has been submitted
• Rate: assessed allowance (Riyadh market, Sep-2026)</t>
  </si>
  <si>
    <t xml:space="preserve">5.2</t>
  </si>
  <si>
    <t xml:space="preserve">Telehandler / forklift</t>
  </si>
  <si>
    <t xml:space="preserve">• Rate includes operator and fuel
• Hire days T3 on the 'Programme' tab, Section 4, built from the XER activity dates: continuous from the first delivery to the Tank 2 walls finish, plus the Tank 2 roof days; one unit is a provisional utilisation assumption
• Rate: assessed allowance (Riyadh market, Sep-2026)</t>
  </si>
  <si>
    <t xml:space="preserve">5.3</t>
  </si>
  <si>
    <t xml:space="preserve">Perimeter scaffolding and edge protection - supply, erect, 3-month hire, dismantle</t>
  </si>
  <si>
    <t xml:space="preserve">m2</t>
  </si>
  <si>
    <t xml:space="preserve">• Quantity: 2 tanks x 140 m external face x 5.0 m to the guardrail = 1,400 m2 (the scaffold stands outside the 128 m tank perimeter and rises above the 4 m panel height)
• The rate includes erection, 3 months' hire and dismantling
• Rate: assessed allowance (Riyadh market, Sep-2026)</t>
  </si>
  <si>
    <t xml:space="preserve">5.4</t>
  </si>
  <si>
    <t xml:space="preserve">Mobile aluminium access towers, 2 No. for the access window, whole hire months</t>
  </si>
  <si>
    <t xml:space="preserve">tower-month</t>
  </si>
  <si>
    <t xml:space="preserve">• 2 No. for the access window D6 on the 'Programme' tab, Section 3, rounded up to whole hire months
• Rate: assessed allowance (Riyadh market, Sep-2026)</t>
  </si>
  <si>
    <t xml:space="preserve">5.5</t>
  </si>
  <si>
    <t xml:space="preserve">Access-tower relocations and re-inspections</t>
  </si>
  <si>
    <t xml:space="preserve">5.6</t>
  </si>
  <si>
    <t xml:space="preserve">Podium steps, 2 No. for the access window, whole hire months</t>
  </si>
  <si>
    <t xml:space="preserve">unit-month</t>
  </si>
  <si>
    <t xml:space="preserve">5.7</t>
  </si>
  <si>
    <t xml:space="preserve">Generator 100 kVA for the works, daytime running with fuel</t>
  </si>
  <si>
    <t xml:space="preserve">• Works period D2 on the 'Programme' tab, Section 3, to completion of commissioning
• Power is excluded by the tank supplier scope described (Assumption 9); no Site power expected at the tank site
• Rate: assessed allowance (Riyadh market, Sep-2026)</t>
  </si>
  <si>
    <t xml:space="preserve">5.8</t>
  </si>
  <si>
    <t xml:space="preserve">Generator 30 kVA for the site office and welfare cabins, continuous running with fuel, whole period</t>
  </si>
  <si>
    <t xml:space="preserve">• Site period D1 on the 'Programme' tab, Section 3; air conditioning and lighting run around the clock at a separate site
• Rate: SAR 8,571 a month - fuel at about 3.5 litres an hour x 24 hours x 30.4 days x SAR 1.79 a litre (Saudi Aramco diesel price from 01-Jan-2026) = SAR 4,571, plus hire at SAR 4,000 a month, the lower end of published Saudi hire rates for small sets - assessed allowance</t>
  </si>
  <si>
    <t xml:space="preserve">5.9</t>
  </si>
  <si>
    <t xml:space="preserve">Site transport, pick-up / flatbed</t>
  </si>
  <si>
    <t xml:space="preserve">Site period D1 on the 'Programme' tab, Section 3. Rate: assessed allowance (Riyadh market, Sep-2026)</t>
  </si>
  <si>
    <t xml:space="preserve">5.10</t>
  </si>
  <si>
    <t xml:space="preserve">Contractor's helpers - the approved manpower histogram helper row (85 person-weeks), person-months</t>
  </si>
  <si>
    <t xml:space="preserve">person-month</t>
  </si>
  <si>
    <t xml:space="preserve">• Rate: SAR 150 a day x 26 working days = SAR 3,900 a person-month, the same labourer day rate as every other labour line (1.16, 7.8, 8.18); the programme works 10-hour days, 6 days a week
• The approved manpower histogram's helper row, 85 person-weeks, as reproduced week by week on the 'Programme' tab, Section 4, converted to person-days on each week's working days (506 person-days), plus the 9 additional helper person-days assessed in the dated check there (28 to 30-Nov-2026, 3 a day above the approved 3), converted to person-months at 26 working days; every helper person-day priced once here, so the transfer labour 7.4 is nil and 7.8 carries only the Tank 2 disinfection after the histogram ends
• The dismantling-week helpers are priced provisionally (S7)
• Skilled people are within Items 3, 6 and 8 on their recorded or described scopes ('Build-Up' Assumption 9) and are not priced
• The rate is an assessed allowance</t>
  </si>
  <si>
    <t xml:space="preserve">5.11</t>
  </si>
  <si>
    <t xml:space="preserve">Power and hand tools, slings and lifting tackle for the Contractor's helpers - unloading, shifting and attendance</t>
  </si>
  <si>
    <t xml:space="preserve">• The supplier installs with its own erection tools (Assumption 9); the Contractor's helpers need their own tools and tackle for the unloading and shifting the supplier excludes
• Erection window D3 on the 'Programme' tab, Section 3
• Rate: assessed allowance (Riyadh market, Sep-2026)</t>
  </si>
  <si>
    <t xml:space="preserve">5.12</t>
  </si>
  <si>
    <t xml:space="preserve">Sealant-application tools and jointing consumables</t>
  </si>
  <si>
    <t xml:space="preserve">• Included in the supplier's price (Assumption 9): the leak sealant is supplied by the tank supplier (quotation MNT-AY-486, specification item 6) and its application at every joint is the supplier's installation work (RFP Scope of Works work package 2)
• No Contractor sealant tools or consumables are needed, so nil
• Previously 2 tanks at SAR 1,500.00</t>
  </si>
  <si>
    <t xml:space="preserve">5.13</t>
  </si>
  <si>
    <t xml:space="preserve">Panel storage and handling consumables - timber packers, covers, strapping and cleaning materials for the Contractor's storage and shifting of the tank materials</t>
  </si>
  <si>
    <t xml:space="preserve">• Quantity: 2 tanks
• The bolts, nuts, washers and tie rods are supplied and fixed by the tank supplier (MNT-AY-486, items 3 and 4; Assumption 9) and are not priced here
• Storing the materials until the site is ready and moving them to the installation area fall to the supplier's client, the Contractor (MNT-AY-486 note, page 2): the consumables for that handling are a fair Contractor cost, priced once here; the containers are 1.11 and the plant 5.1 and 5.2
• Rate: assessed allowance
• Previously 'fixings, touch-up and miscellaneous consumables', 2 tanks at SAR 2,250.00</t>
  </si>
  <si>
    <t xml:space="preserve">5.14</t>
  </si>
  <si>
    <t xml:space="preserve">Mobile lighting towers, 2 No. for the erection window</t>
  </si>
  <si>
    <t xml:space="preserve">• 2 No. for the erection window D3 on the 'Programme' tab, Section 3
• Rate: assessed allowance (Riyadh market, Sep-2026)</t>
  </si>
  <si>
    <t xml:space="preserve">5.15</t>
  </si>
  <si>
    <t xml:space="preserve">Temporary distribution boards and cabling</t>
  </si>
  <si>
    <t xml:space="preserve">5.16</t>
  </si>
  <si>
    <t xml:space="preserve">Packaging and site waste removal - pallets, crates, strapping and general site waste, one truck load a week</t>
  </si>
  <si>
    <t xml:space="preserve">• Quantity: one load a week for the weeks of the site period D1 on the 'Programme' tab, Section 3, rounded up to whole weeks as line 1.9; the tank panels arrive on pallets in crates and the packaging is the Contractor's to clear (supplier scope, Assumption 9)
• Rate: the local haulage trip at 4.1 - assessed allowance</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</si>
  <si>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</si>
  <si>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</si>
  <si>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</si>
  <si>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 The quotation is for an insulated tank
• The Engineer's (KEO) email of 30-Aug-2026: thermal insulation is not required, so a lower non-insulated price is expected and has been requested; the rate below will change when it is received
• Scope: supply, installation and testing on the split described in Assumption 9 - the Contractor provides helpers, unloading and shifting, storage, plant, scaffolding, power, piping and test water
•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</si>
  <si>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</si>
  <si>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</si>
  <si>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 Lowest of three: PIPECO Q3363-R2 dated 06-Aug-2026 SAR 2,899,000/tank (insulated, 1 partition, 10-year warranty on manufacture and installation); Professional Bayan PB/Q/0086/2026 dated 12-Aug-2026 SAR 2,950,000/tank (ex-works supply only)
• Rate per gross m3: SAR 677 against PIPECO SAR 711
•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</si>
  <si>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</si>
  <si>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</si>
  <si>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</si>
  <si>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 Hydrostatic test water: one fill of 3,774 m3 tankered into Tank 1 (7.1), tested, pumped across to Tank 2 (7.2, 7.3) and topped up (7.5). The Engineer's email of 30-Aug-2026 allows the water to be re-used. SAMA's programme fills both tanks at once; shown for comparison on the 'Programme' tab, Section 5, not included.
• Disinfection: each interior cleaned first (7.26); the chlorinated test water (7.6, 7.7) disinfects the wetted surfaces; the surfaces above the 3.7 m test level are sprayed separately (7.25); dechlorination before any discharge (7.9); samples and laboratory tests (7.10, 7.11).
• Functional commissioning: component checks after the tie-in, then the integrated demonstration with both tanks connected and holding water (7.13 to 7.19). Tank 2 holds the test water; Tank 1 gets an operating fill of about 1,020 m3 by tanker (7.24).
• Why the Tank 1 fill is priced: a network refill after the tie-in is not confirmed as available or free, and a demonstration of Tank 1 on valves and instruments alone is not shown to meet RFP Scope of Works 5.2.
• Dates ('Programme' tab, P18 to P22): Tank 1 test 17 to 24-Nov; transfer 05 to 07-Dec; Tank 2 test 08 to 12-Dec; Tank 1 operating fill 09 to 10-Dec; integrated commissioning 15 to 17-Dec-2026, after two working days for the laboratory results on the 12-Dec samples.
• Provisional until the Contractor's method statement is accepted by the Engineer: water source, disinfection method, depth required in Tank 1, and whether the water is kept as first stock or discharged.
• Not included: the supplier's own leak-test supervision (Item 6); re-testing after a failed test (the Contractor's obligation, RFP Scope of Works 5.1); pipework testing (Item 8).</t>
  </si>
  <si>
    <t xml:space="preserve">7.1</t>
  </si>
  <si>
    <t xml:space="preserve">Test water - first tank fill to test level</t>
  </si>
  <si>
    <t xml:space="preserve">• Quantity: 3,774 m3, the volume at the 3.7 m test level (RFP Scope of Works section 1), one fill only - the same water is pumped to Tank 2 (Engineer's email of 30-Aug-2026); water for testing is excluded by the supplier (MNT-AY-486 exclusion 5, Assumption 9)
• Rate: tankered water at SAR 15.00/m3 - one 30 m3 load at SAR 450, the local haulage rate assessed at 4.1; any charge for the water itself is to be substantiated once the source is confirmed, and a network source confirmed by the Employer would replace the rate</t>
  </si>
  <si>
    <t xml:space="preserve">7.2</t>
  </si>
  <si>
    <t xml:space="preserve">Transfer pump hire - Tank 1 to Tank 2</t>
  </si>
  <si>
    <t xml:space="preserve">• The transfer P19 and the Tank 2 test P20 on the 'Programme' tab (7 days); pump duty an assessed assumption; the Contractor's method statement is outstanding
• Rate: assessed allowance (Riyadh market, Sep-2026)</t>
  </si>
  <si>
    <t xml:space="preserve">7.3</t>
  </si>
  <si>
    <t xml:space="preserve">Transfer hoses and fittings hire</t>
  </si>
  <si>
    <t xml:space="preserve">week</t>
  </si>
  <si>
    <t xml:space="preserve">7.4</t>
  </si>
  <si>
    <t xml:space="preserve">Transfer labour, 2 No. x 3 days</t>
  </si>
  <si>
    <t xml:space="preserve">• Included in line 5.10 (approved histogram helpers): the transfer labour is within the approved manpower histogram, whose helper person-days are all priced at 5.10 ('Programme' tab, Section 4, week W16); priced once
• Previously 2 No. x 3 days</t>
  </si>
  <si>
    <t xml:space="preserve">7.5</t>
  </si>
  <si>
    <t xml:space="preserve">Top-up water for losses and test level</t>
  </si>
  <si>
    <t xml:space="preserve">• Quantity: 10 per cent of the first fill, for losses while the water waits in Tank 1 and for topping Tank 2 up to its test level - assessed basis
• Rate: tankered water at SAR 15.00/m3, the rate at line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</si>
  <si>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</si>
  <si>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</si>
  <si>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</si>
  <si>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</si>
  <si>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</si>
  <si>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</si>
  <si>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</si>
  <si>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 Helper person-days after the approved histogram ends on 11-Dec-2026 ('Programme' tab, Section 4, dated check): Tank 2 sampling and inspection on 12-Dec and dechlorination in the tank on 13-Dec
• The dosing of the test water in Tank 1 (01 to 03-Dec) falls within the approved weeks priced at 5.10; the water is kept in Tank 2 as first stock, so there is no discharge
• Previously 2 No. x 10 days</t>
  </si>
  <si>
    <t xml:space="preserve">7.9</t>
  </si>
  <si>
    <t xml:space="preserve">Dechlorination chemicals - in the tank, before the water is kept or discharged</t>
  </si>
  <si>
    <t xml:space="preserve">7.10</t>
  </si>
  <si>
    <t xml:space="preserve">Sampling, transport and handling</t>
  </si>
  <si>
    <t xml:space="preserve">7.11</t>
  </si>
  <si>
    <t xml:space="preserve">Third-party laboratory water-quality tests</t>
  </si>
  <si>
    <t xml:space="preserve">sample</t>
  </si>
  <si>
    <t xml:space="preserve">• Excluded by the tank supplier scope described (Assumption 9)
• Rate: assessed allowance (Riyadh market, Sep-2026)</t>
  </si>
  <si>
    <t xml:space="preserve">7.12</t>
  </si>
  <si>
    <t xml:space="preserve">Third-party inspection visits</t>
  </si>
  <si>
    <t xml:space="preserve">visit</t>
  </si>
  <si>
    <t xml:space="preserve">• Not assessed: RFP Scope of Works 5.1 and 5.2 require the tests to be witnessed by the Engineer, not inspected by a third party, and the third-party factory acceptance test is dealt with at 7.23
• Previously 2 visits at SAR 2,400.00</t>
  </si>
  <si>
    <t xml:space="preserve">7.13</t>
  </si>
  <si>
    <t xml:space="preserve">Commissioning engineer</t>
  </si>
  <si>
    <t xml:space="preserve">• Component checks and integrated commissioning (P21 and P21b on the 'Programme' tab) plus one day at each hydrostatic test hold; reduced from 15 days because the fills and holds are supervised by the QA/QC inspector (1.3) and the supplier (Item 6)
• Rate: assessed allowance (Riyadh market, Sep-2026)</t>
  </si>
  <si>
    <t xml:space="preserve">7.14</t>
  </si>
  <si>
    <t xml:space="preserve">MEP technicians - pump and network interfaces, 2 No. x 6 days (RFP Scope of Works, work package 9 - system integration)</t>
  </si>
  <si>
    <t xml:space="preserve">• 2 No. for the component checks and the integrated commissioning (P21 and P21b on the 'Programme' tab); reduced from 2 No. x 10 days
• Rate: assessed allowance (Riyadh market, Sep-2026)</t>
  </si>
  <si>
    <t xml:space="preserve">7.15</t>
  </si>
  <si>
    <t xml:space="preserve">Electrician - instrument and readout connections</t>
  </si>
  <si>
    <t xml:space="preserve">7.16</t>
  </si>
  <si>
    <t xml:space="preserve">Integration coordination engineer - tie-ins with the Employer and Engineer</t>
  </si>
  <si>
    <t xml:space="preserve">• Tie-in connections (P16 on the 'Programme' tab, 4 working days) plus one day of integrated commissioning
• Rate: assessed allowance (Riyadh market, Sep-2026)</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</si>
  <si>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</si>
  <si>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</si>
  <si>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</si>
  <si>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</si>
  <si>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</si>
  <si>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</si>
  <si>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</si>
  <si>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</si>
  <si>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 1 month retained: test records run from the first hydrostatic test to the close-out (P18 to P23 on the 'Programme' tab, about five weeks on either basis)
• Rate: assessed allowance (Riyadh market, Sep-2026)</t>
  </si>
  <si>
    <t xml:space="preserve">7.21</t>
  </si>
  <si>
    <t xml:space="preserve">As-built mark-ups at close-out - draughtsman, issued via Aconex</t>
  </si>
  <si>
    <t xml:space="preserve">7.22</t>
  </si>
  <si>
    <t xml:space="preserve">Tanker and pump standby during filling and test holds</t>
  </si>
  <si>
    <t xml:space="preserve">• Pump and hose set standing by through the two 24-hour holds and two days of contingency between the Tank 1 test and the transfer; tankers work during the fill and are paid at 7.1, not here
• Rate: assessed allowance (Riyadh market, Sep-2026)</t>
  </si>
  <si>
    <t xml:space="preserve">7.23</t>
  </si>
  <si>
    <t xml:space="preserve">Third-party factory acceptance test of the GRP panels - inspector days and travel to the factory</t>
  </si>
  <si>
    <t xml:space="preserve">• Not assessed
• The Contractor is arranging a third-party factory acceptance test (PQD, ITP, procedure and inspector CV submitted 26 to 28-Sep-2026 per its deliverables list of 29-Sep-2026)
• RFP-027 Scope of Works 5.3 requires hydrostatic factory test reports among the handover documents; that is the manufacturer's own test record, within the supplier's supply, and does not require a third-party inspector
•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</si>
  <si>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</si>
  <si>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</si>
  <si>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 Quantity: 34 m x 30 m x 1.0 m = 1,020 m3, an assessed operating depth for the witnessed pumping demonstration from Tank 1 (RFP Scope of Works 5.2, integrated system commissioning) - the Engineer decides the depth; Tank 1 is empty after its test water is pumped to Tank 2
• Filled by tanker on 09 and 10-Dec-2026 while Tank 2 is on its hold ('Programme' tab, window P20b), attended by the approved histogram helpers (duty H11), so no extra labour and no programme effect
• A network refill after the tie-in is not assumed: no source, cost or timing has been confirmed by the Employer
• If the Engineer requires Tank 1 at full test level for the commissioning, see sensitivity S8 on the 'Programme' tab
• Rate: tankered water at SAR 15.00/m3, the rate at line 7.1; the water source is unconfirmed</t>
  </si>
  <si>
    <t xml:space="preserve">7.25</t>
  </si>
  <si>
    <t xml:space="preserve">Disinfection of the tank surfaces above the test water line (walls above 3.7 m, roof underside, hatches) - spray or swab application, both tanks</t>
  </si>
  <si>
    <t xml:space="preserve">• Quantity: 2 tanks
• The chlorinated test water (7.6, 7.7) disinfects only the surfaces it touches, up to the 3.7 m test level; the surfaces above it are not covered by that method and need a separate spray or swab application (AWWA C652 surface-application method)
• Tank 2 between the cleaning at 7.26 and the transfer (03 to 05-Dec-2026; 04-Dec is a Friday), Tank 1 on 08-Dec after it is emptied
• Rate: Assessed basis per tank - 2 people x 2 days, sprayer hire, hypochlorite solution and confined-space attendance; the Contractor's method statement is outstanding
• Its labour is priced here, outside the histogram helpers: the spare approved people on those days (daily check: 2 on 03-Dec, none on 05-Dec, 1 on 08-Dec) do not cover it</t>
  </si>
  <si>
    <t xml:space="preserve">7.26</t>
  </si>
  <si>
    <t xml:space="preserve">Interior cleaning of each tank before disinfection - debris removal and pressure washing, 2 people x 2 days with washer and water</t>
  </si>
  <si>
    <t xml:space="preserve">• Quantity: 2 tanks
• AWWA C652 starts with a clean interior; erection debris, dust and sealant residue are removed before the water is dosed
• Rate: 2 people x 2 days at SAR 150 (SAR 600), pressure washer 2 days at SAR 500 (SAR 1,000), wash water 12 m3 at SAR 15 as line 7.1 (SAR 180) - assessed allowance; the Contractor's method statement is outstanding
• Tank 1 after the roof closes (12 to 16-Nov); Tank 2 between the end of its mechanical works (03-Dec) and the transfer (05-Dec), ahead of the spray at 7.25; labour outside the histogram helpers</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</si>
  <si>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</si>
  <si>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</si>
  <si>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</si>
  <si>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</si>
  <si>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 Priced to the RFP specification: uPVC below DN150, GRP or ductile iron above, butterfly isolation valves
• The Contractor is buying different materials (HDPE pipe, a gate valve, a motorised valve); these are not approved and are shown after line 8.21 for information only
• No quantities exist yet - the pipework shop drawings were rejected and no take-off has been received - so the quantities are assessed from the RFP sketch and are provisional
• Rates include installation
•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</si>
  <si>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</si>
  <si>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</si>
  <si>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</si>
  <si>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 Assessed run lengths for inlet, outlet and overflow of 2 tanks - take-off required
• The Contractor is procuring HDPE pipe of 355 mm and 315 mm outside diameter (nominal size subject to the pipe standard and SDR and to the Engineer's confirmation): see the alternative after line 8.21
• Rate: assessed allowance (Riyadh market, Sep-2026)</t>
  </si>
  <si>
    <t xml:space="preserve">8.2</t>
  </si>
  <si>
    <t xml:space="preserve">Small-bore pipework below DN150 - uPVC Schedule 40, supplied and installed</t>
  </si>
  <si>
    <t xml:space="preserve">• Assessed - take-off required
•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 Rate: assessed allowance (Riyadh market, Sep-2026)</t>
  </si>
  <si>
    <t xml:space="preserve">8.3</t>
  </si>
  <si>
    <t xml:space="preserve">Resilient-seated butterfly isolation valves DN150-DN300, lever-operated up to DN200 and gearbox-operated above, installed</t>
  </si>
  <si>
    <t xml:space="preserve">• Assessed count - take-off required; the procurement tracker lists 2 valves (a gate valve DN300 and a motorised butterfly valve DN355), neither to the specified type or operation - see the alternative after line 8.21
• Rate: assessed allowance (Riyadh market, Sep-2026)</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</si>
  <si>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</si>
  <si>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</si>
  <si>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</si>
  <si>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</si>
  <si>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</si>
  <si>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</si>
  <si>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</si>
  <si>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</si>
  <si>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</si>
  <si>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</si>
  <si>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</si>
  <si>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</si>
  <si>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</si>
  <si>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</si>
  <si>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</si>
  <si>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 Excluded from the tank supplier scope; the programme shows level transmitters installed on both tanks (activities QCD18TSECONT1MW2060 and QCD18TSECONT2MW2040)
• Rate: assessed allowance (Riyadh market, Sep-2026)</t>
  </si>
  <si>
    <t xml:space="preserve">8.11</t>
  </si>
  <si>
    <t xml:space="preserve">Instrument cabling and conduit to readout points</t>
  </si>
  <si>
    <t xml:space="preserve">Assessed run length - take-off required. Rate: assessed allowance (Riyadh market, Sep-2026)</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</si>
  <si>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</si>
  <si>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</si>
  <si>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</si>
  <si>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</si>
  <si>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</si>
  <si>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</si>
  <si>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 Tie-in connections with the existing pump room after the readiness milestone of 03-Dec-2026 (activity QCD18TSECONTC2040, 4 working days)
• Rate: assessed allowance (Riyadh market, Sep-2026)</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</si>
  <si>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</si>
  <si>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</si>
  <si>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</si>
  <si>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</si>
  <si>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</si>
  <si>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</si>
  <si>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</si>
  <si>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</si>
  <si>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</si>
  <si>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</si>
  <si>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</si>
  <si>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</si>
  <si>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</si>
  <si>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</si>
  <si>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</si>
  <si>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</si>
  <si>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</si>
  <si>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</si>
  <si>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</si>
  <si>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</si>
  <si>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</si>
  <si>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 Same assessed length as 8.1 (no take-off)
• Union Pipe Industry supply per the procurement tracker of 29-Sep-2026; PQD approved Code B 16-Sep-2026, material approval request under preparation - not approved against the GRP or ductile iron specification
• The tracker gives outside diameters, not nominal sizes; the nominal size, pressure class and SDR are to be confirmed on the approved shop drawings and by the Engineer
• Rate: assessed allowance (Riyadh market, Sep-2026)</t>
  </si>
  <si>
    <t xml:space="preserve">a.2</t>
  </si>
  <si>
    <t xml:space="preserve">uPVC pipe, 160 mm and 110 mm outside diameter (nominal size subject to the pipe standard and to the Engineer's confirmation), with uPVC elbows, supplied and installed - in place of line 8.2</t>
  </si>
  <si>
    <t xml:space="preserve">• Same assessed length and rate as 8.2: the material conforms below DN150
• Al Muneef supply; PQD submitted 15-Sep-2026, material approval request under preparation</t>
  </si>
  <si>
    <t xml:space="preserve">a.3</t>
  </si>
  <si>
    <t xml:space="preserve">Gate valve DN300, installed - in place of one valve at line 8.3</t>
  </si>
  <si>
    <t xml:space="preserve">• Saudi Pipe Systems supply
• Does not conform: the RFP General Piping Requirements call for resilient-seated butterfly isolation valves
• Rate: assessed allowance (Riyadh market, Sep-2026)</t>
  </si>
  <si>
    <t xml:space="preserve">a.4</t>
  </si>
  <si>
    <t xml:space="preserve">Motorised butterfly valve DN355 as listed by the Contractor, installed, actuator included, power and control supply excluded - in place of one valve at line 8.3</t>
  </si>
  <si>
    <t xml:space="preserve">• Saudi Pipe Systems supply
• Does not conform: the RFP requires gearbox operation above DN200; a motorised valve needs a power and control supply that is in no party's scope
• Rate: assessed allowance (Riyadh market, Sep-2026)</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</si>
  <si>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</si>
  <si>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</si>
  <si>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</si>
  <si>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</si>
  <si>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</si>
  <si>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</si>
  <si>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</si>
  <si>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 The Daywork Schedule applies only to Engineer-instructed daywork and is not used</t>
  </si>
  <si>
    <t xml:space="preserve">2. Rates marked 'assessed allowance' or 'assumption' are assessed Riyadh market rates (Sep-2026):
• crane 50 t SAR 2,500/day
• boom truck SAR 1,200/day and telehandler SAR 900/day, both with operator and fuel
• scaffolding SAR 55/m2
• generator 100 kVA SAR 11,000/month with fuel
• general labour SAR 150/day (helpers SAR 3,900 per person-month at 26 working days)
• rigger SAR 250/day
• site engineer SAR 12,000/month
• HSE and QA/QC SAR 10,000/month
• foreman SAR 8,000/month
• test water SAR 15.00/m3 tankered (one 30 m3 load at the local haulage rate)
• site water SAR 350 per 10 m3 delivery
• generator 30 kVA SAR 8,571/month continuous with fuel (hire SAR 4,000 plus diesel at SAR 1.79 a litre)
• local haulage SAR 450/load
• HDPE PE100 pipe 355 mm outside diameter supplied and installed SAR 280/m
• gate valve DN300 SAR 6,500
• motorised butterfly valve DN355 as listed SAR 14,000 excluding power and control</t>
  </si>
  <si>
    <t xml:space="preserve">3. Programme: every period on this tab comes from the Contractor's programme of 29-Sep-2026, imported as received on the 'XER WBS' tab and worked through on the 'Programme' tab
• It is under the Engineer's approval, not agreed
• Site period 22-Aug-2026 to the end of demobilisation, fixed by the pump-room readiness date of 03-Dec-2026 and what follows it
• The staged tank deliveries (7 to 9 weeks for the first tank, 12 to 14 for the second, delivered duty paid from the UAE) are the Contractor's risk: no standby or prolongation is priced
• Dates after 28-Sep-2026 are forecasts</t>
  </si>
  <si>
    <t xml:space="preserve">4. The Engineer's (KEO) email of 30-Aug-2026, relied on above:
• water and power are arranged by the Contractor pending the Employer's confirmation of local sources
• one tank is filled and the water re-used for the second
• dismantled materials are handed to the Employer at a location assumed to be local
• thermal insulation is not required
• the Contractor's methodology uses forklifts, cranes and pallet jacks
• no CAD drawings exist beyond the marked-up schematic in the RFP</t>
  </si>
  <si>
    <t xml:space="preserve">5. The tank site is outside the D-18 site boundary
• Whether the Employer's security covers the lower plateau is to be confirmed; two watchmen are included pending that confirmation
• The Contract insurances cover the Site as defined, so an endorsement extending cover to the tank site is allowed
• All documentation is issued electronically via Aconex</t>
  </si>
  <si>
    <t xml:space="preserve">6. The 5 per cent Overhead and Profit on the 'Assessment' tab is head-office overhead and profit only; every site cost is in the items
•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</si>
  <si>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</si>
  <si>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</si>
  <si>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assessment assumption
• The split of work between the tank supplier and the Contractor is taken as described in the Al Muhaideb National Tanks (National Factory for Fiberglass) quotation MNT-AY-486 dated 24-Jun-2026 with its tank and foundation drawings dated 06-May-2026, received 30-Sep-2026
•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 The supplier's client, the Contractor, stores the materials until the site is ready and transports them to the installation area by its own means (note, page 2)
• This is not the adopted Al Mousa S04488 / Stalwart offer
• It is a different supplier, a different tank (3,000 m3 gross, 30 (15+15) m x 25 m x 4 m, 3 No., non-insulated, with partition), addressed to WTB, dated June 2026 with 15 days' validity, priced at SAR 1,575,000 per tank net of the discount, VAT excluded (SAR 525 per gross m3)
• Its price is not adopted; its scope split is applied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</si>
  <si>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</si>
  <si>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 It submitted a rate build-up for Items 1, 5, 7 and 8
• This tab sets each component of that submission against the assessed build-up on the 'Build-Up' tab and records whether the amount claimed is supported
•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</si>
  <si>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</si>
  <si>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</si>
  <si>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</si>
  <si>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</si>
  <si>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</si>
  <si>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</si>
  <si>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</si>
  <si>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</si>
  <si>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</si>
  <si>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</si>
  <si>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</si>
  <si>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</si>
  <si>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</si>
  <si>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</si>
  <si>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</si>
  <si>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</si>
  <si>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</si>
  <si>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</si>
  <si>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</si>
  <si>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</si>
  <si>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</si>
  <si>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</si>
  <si>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</si>
  <si>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</si>
  <si>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</si>
  <si>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</si>
  <si>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</si>
  <si>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</si>
  <si>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</si>
  <si>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</si>
  <si>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</si>
  <si>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</si>
  <si>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</si>
  <si>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</si>
  <si>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</si>
  <si>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 Mobilisation is more than transport, and each part is assessed once, elsewhere: plant and cabin transport at 'Build-Up' 1.14 (demobilisation 1.15, against line 1.8 here); method statements, risk assessments and project plans at 2.5; submittal administration at 2.4; the dedicated site engineer and HSE officer, who run the inductions, permits, progress meetings and reporting, at 1.1 and 1.2; design coordination at 2.1
• Head-office attendance at progress meetings is in the 5 per cent Overhead and Profit
• The tank installer's own mobilisation is inside the supplier price (Item 6, Assumption 9)
• No trips or rates were stated by the Contractor</t>
  </si>
  <si>
    <t xml:space="preserve">Construction Facilities - welfare &amp; First Aid facilities</t>
  </si>
  <si>
    <t xml:space="preserve">Per Contract Preliminaries: welfare and First Aid facilities provision at site</t>
  </si>
  <si>
    <t xml:space="preserve">• Assessed as a site office cabin, a welfare cabin and a WC unit for the site period from the programme ('Build-Up' 1.6 to 1.8)
•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</si>
  <si>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</si>
  <si>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</si>
  <si>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</si>
  <si>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</si>
  <si>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</si>
  <si>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 Assessed as daily workforce transport to the tank site ('Build-Up' 1.12)
•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</si>
  <si>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</si>
  <si>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</si>
  <si>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 Assessed as tankered site water and a storage tank for the whole period ('Build-Up' 1.9 and 1.10)
• Power is assessed against the Contractor's Item 5, line 5.4 (generators), in Section 4 of this tab, and is not repeated here. No basis stated</t>
  </si>
  <si>
    <t xml:space="preserve">Permits, insurance, HSE setup &amp; signage</t>
  </si>
  <si>
    <t xml:space="preserve">Standard preliminary cost</t>
  </si>
  <si>
    <t xml:space="preserve">• Assessed as a dedicated HSE officer, an insurance endorsement extending the Contract cover to the tank site, PPE and site safety signage ('Build-Up' 1.2 and 1.17 to 1.19)
• Traffic signs are against line 1.3. No basis stated</t>
  </si>
  <si>
    <t xml:space="preserve">Close out (Completion and Correction List, Warranties, Project Record Documents)</t>
  </si>
  <si>
    <t xml:space="preserve">Per Contract Preliminaries Item 22: Close out documentation</t>
  </si>
  <si>
    <t xml:space="preserve">• Assessed as a separate completion procedure for the tank site: inspections, correction list and warranties ('Build-Up' 1.22 and 1.23)
• Test records, ITP/WIR close-out and as-built drawings are assessed under Item 7 and not repeated
• No resource or duration stated</t>
  </si>
  <si>
    <t xml:space="preserve">Demobilization at completion (equipment removal, site clean-up, facility removal)</t>
  </si>
  <si>
    <t xml:space="preserve">Mirrors mobilization scope at close-out</t>
  </si>
  <si>
    <t xml:space="preserve">• Assessed as demobilisation trips and site clean-up ('Build-Up' 1.15 and 1.16)
• No trips, labour or rates stated</t>
  </si>
  <si>
    <t xml:space="preserve">Assessed but not identified in the Contractor's build-up: site supervision, storage and security</t>
  </si>
  <si>
    <t xml:space="preserve">• Site engineer, QA/QC inspector, works foreman, storekeeper, storage containers and two watchmen ('Build-Up' 1.1, 1.3 to 1.5, 1.11 and 1.13)
•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</si>
  <si>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</si>
  <si>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</si>
  <si>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 Amount values". It provides no support for the amount claimed
•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</si>
  <si>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</si>
  <si>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</si>
  <si>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</si>
  <si>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</si>
  <si>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 Assessed as 1,400 m2 of perimeter scaffold, access towers and podium steps ('Build-Up' 5.3 to 5.6)
• No area, period or rate stated</t>
  </si>
  <si>
    <t xml:space="preserve">Mobile crane(s) rental for tank panel erection (duration-based)</t>
  </si>
  <si>
    <t xml:space="preserve">Per RFP wording: 'cranes'</t>
  </si>
  <si>
    <t xml:space="preserve">• Assessed as a telehandler for the hire days on the 'Programme' tab, Section 4 ('Build-Up' 5.2): lifting is by the boom truck and telehandler ('Build-Up' 5.1, 5.2) rather than a mobile crane; the dismantling check at c.3 keeps a crane for the damaged tank only
• The Contractor's plant schedule is awaited
• No capacity, units, period or rate stated</t>
  </si>
  <si>
    <t xml:space="preserve">Boom trucks / man-lifts for elevated works</t>
  </si>
  <si>
    <t xml:space="preserve">Per RFP wording: 'boom trucks'</t>
  </si>
  <si>
    <t xml:space="preserve">• Assessed as a boom truck for the hire days on the 'Programme' tab, Section 4 ('Build-Up' 5.1)
• No units, period or rate stated</t>
  </si>
  <si>
    <t xml:space="preserve">Generators - rental &amp; fuel for site power</t>
  </si>
  <si>
    <t xml:space="preserve">Per RFP wording: 'generators'</t>
  </si>
  <si>
    <t xml:space="preserve">• Assessed as a 100 kVA works set by day and a 30 kVA welfare set running continuously, the works set to the end of commissioning and the welfare set for the whole period, with fuel, and distribution boards ('Build-Up' 5.7, 5.8 and 5.15)
• All site power is assessed here; none is assessed under the Contractor's Item 1, line 1.5 (temporary utilities), in Section 3 of this tab, so there is no double count
• No set size, period or fuel basis stated</t>
  </si>
  <si>
    <t xml:space="preserve">Site trucks &amp; transport (materials, spoil, deliveries)</t>
  </si>
  <si>
    <t xml:space="preserve">Per RFP wording: 'trucks'</t>
  </si>
  <si>
    <t xml:space="preserve">• Assessed as a site pick-up for the site period from the programme and a weekly load of packaging and site waste ('Build-Up' 5.9 and 5.16)
• No vehicles, period or rate stated</t>
  </si>
  <si>
    <t xml:space="preserve">Small tools &amp; consumables (hand tools, torque tools, sealants application tools)</t>
  </si>
  <si>
    <t xml:space="preserve">Per RFP wording: 'small tools'</t>
  </si>
  <si>
    <t xml:space="preserve">Assessed as the helpers' power and hand tools and the storage and handling consumables ('Build-Up' 5.11 and 5.13); sealant tools and jointing consumables are within the supplier's price ('Build-Up' 5.12, nil). No basis stated.</t>
  </si>
  <si>
    <t xml:space="preserve">Temporary facilities upkeep (site cabins, storage, lighting) for works duration</t>
  </si>
  <si>
    <t xml:space="preserve">Per RFP wording: 'temporary facilities'</t>
  </si>
  <si>
    <t xml:space="preserve">• Assessed as lighting towers ('Build-Up' 5.14); cabins and storage are under Item 1
•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</si>
  <si>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</si>
  <si>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</si>
  <si>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</si>
  <si>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</si>
  <si>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 person-days taken from the approved histogram on the 'Programme' tab, Section 4, priced once and converted to person-months ('Build-Up' 5.10).</t>
  </si>
  <si>
    <t xml:space="preserve">Column F foots to the item total on the 'Assessment' tab, row 14.</t>
  </si>
  <si>
    <t xml:space="preserve">5.  ITEM 7 - TESTING, COMMISSIONING AND HANDOVER</t>
  </si>
  <si>
    <t xml:space="preserve">Claimed as 2 No. at SAR 213,200.00 each
• The basic leak-test supervision is already in the tank supplier's price under Item 6
• Assessed amounts are for both tanks. 'Scope' in the Contractor's stated basis means the RFP Scope of Works</t>
  </si>
  <si>
    <t xml:space="preserve">Hydrostatic / leak test per tank (water fill, 24-hr hold, drain, re-test if needed)</t>
  </si>
  <si>
    <t xml:space="preserve">Per Scope 5.1</t>
  </si>
  <si>
    <t xml:space="preserve">• Assessed as one fill with transfer to the second tank, interior cleaning, disinfection of the wetted surfaces and of the surfaces above the test water line, dechlorination, water-quality testing and standby ('Build-Up' 7.1 to 7.12, 7.22, 7.23, 7.25 and 7.26)
• Re-testing is the Contractor's obligation and is not allowed
• No volume, source or rate stated</t>
  </si>
  <si>
    <t xml:space="preserve">Component &amp; instrumentation function testing (level instruments, valves, nozzles)</t>
  </si>
  <si>
    <t xml:space="preserve">Per Scope 5.2 - T&amp;C Programme</t>
  </si>
  <si>
    <t xml:space="preserve">• Assessed as an electrician, a calibration technician, certified calibrations and test equipment ('Build-Up' 7.15 and 7.17 to 7.19)
• No counts or rates stated</t>
  </si>
  <si>
    <t xml:space="preserve">Subsystem validation (tank-pump-network interface verification)</t>
  </si>
  <si>
    <t xml:space="preserve">Per Scope 5.2</t>
  </si>
  <si>
    <t xml:space="preserve">• Assessed as MEP technicians and integration coordination ('Build-Up' 7.14 and 7.16)
• No resource or duration stated</t>
  </si>
  <si>
    <t xml:space="preserve">Integrated system commissioning (full operational demonstration, witness testing)</t>
  </si>
  <si>
    <t xml:space="preserve">• Assessed as a commissioning engineer for 8 days and the Tank 1 operating fill for the demonstration ('Build-Up' 7.13 and 7.24)
• The Engineer's representative attendance, included in the Contractor's labour, is not a Contractor cost</t>
  </si>
  <si>
    <t xml:space="preserve">Documentation &amp; handover (as-built, test certificates, O&amp;M manuals, ITP/WIR close-out)</t>
  </si>
  <si>
    <t xml:space="preserve">Per Scope 5.3</t>
  </si>
  <si>
    <t xml:space="preserve">• Assessed as a technical clerk and as-built mark-ups ('Build-Up' 7.20 and 7.21)
•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</si>
  <si>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</si>
  <si>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</si>
  <si>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 The take-off from the marked-up schematic in the RFP was requested and has not been provided
•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</si>
  <si>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</si>
  <si>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</si>
  <si>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 Assessed as 200 m of DN200-300 and 60 m of small-bore pipework with joints and flanges, supplied and installed ('Build-Up' 8.1, 8.2 and 8.4 to 8.6)
•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</si>
  <si>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</si>
  <si>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</si>
  <si>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</si>
  <si>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</si>
  <si>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</si>
  <si>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</si>
  <si>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</si>
  <si>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</si>
  <si>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</si>
  <si>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</si>
  <si>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</si>
  <si>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</si>
  <si>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97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</si>
  <si>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</si>
  <si>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</si>
  <si>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</si>
  <si>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</si>
  <si>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</si>
  <si>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</si>
  <si>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</si>
  <si>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</si>
  <si>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</si>
  <si>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</si>
  <si>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</si>
  <si>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</si>
  <si>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</si>
  <si>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</si>
  <si>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</si>
  <si>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</si>
  <si>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</si>
  <si>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 Baseline programme (data date 01-Jul-2026), S-curve, cash flow, manpower histogram and look-ahead received 29-Sep-2026; under the Engineer's approval
•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</si>
  <si>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</si>
  <si>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</si>
  <si>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</si>
  <si>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</si>
  <si>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</si>
  <si>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</si>
  <si>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</si>
  <si>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</si>
  <si>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</si>
  <si>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</si>
  <si>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</si>
  <si>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</si>
  <si>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</si>
  <si>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</si>
  <si>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</si>
  <si>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</si>
  <si>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Basis of the Overhead and Profit on the Variation: 5 per cent as submitted by the Contractor, or the Provisional Sum percentage under the Contract</t>
  </si>
  <si>
    <t xml:space="preserve">To be confirmed with the Employer</t>
  </si>
  <si>
    <t xml:space="preserve">Whether the Employer keeps the test water in Tank 2 as first stock after commissioning; otherwise about 4,800 m3 must be tankered away (not priced; about SAR 72,000 at the 4.1 haulage rate)</t>
  </si>
  <si>
    <t xml:space="preserve">Whether the Tank 1 hydrostatic test can still precede the tie-in: the look-ahead of 29-Sep-2026 shows the Tank 1 base panels starting about 15 working days late, which consumes the float that the early test relies on (sensitivity S2)</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</si>
  <si>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</si>
  <si>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 That spread is the Contractor's own allocation of the sums claimed; it is evidence of how the Contractor intends to apply for payment against each activity, not evidence of the cost of any activity or of where any part of a lump sum sits
•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</si>
  <si>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</si>
  <si>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</si>
  <si>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</si>
  <si>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</si>
  <si>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</si>
  <si>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</si>
  <si>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</si>
  <si>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 Equals Item 1 x 1.05 exactly
• SAR 578,547.85 of the SAR 714,000.00 is loaded on the two 5-day mobilisation activities (22 to 26-Aug-2026), SAR 85,452.15 on the submittal activities and SAR 50,000.00 on demobilisation, so the Contractor will apply for most of Item 1 in the first week on site</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</si>
  <si>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</si>
  <si>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</si>
  <si>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</si>
  <si>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</si>
  <si>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</si>
  <si>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</si>
  <si>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</si>
  <si>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</si>
  <si>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</si>
  <si>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</si>
  <si>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 Equals Items 5 to 8 x 1.05 exactly
•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</si>
  <si>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</si>
  <si>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</si>
  <si>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 The Contractor's allocation to testing and commissioning is less than half of its Item 7 claim; the balance of Item 7 is not identifiable within the loading of the erection and tie-in activities
•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</si>
  <si>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</si>
  <si>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</si>
  <si>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 August carries the purchase order for the tanks (SAR 348,110.34) and the start of manufacturing: value the Contractor expects to draw before anything is installed
•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</si>
  <si>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</si>
  <si>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</si>
  <si>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</si>
  <si>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</si>
  <si>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</si>
  <si>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</si>
  <si>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</si>
  <si>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</si>
  <si>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</si>
  <si>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</si>
  <si>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</si>
  <si>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</si>
  <si>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</si>
  <si>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</si>
  <si>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</si>
  <si>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</si>
  <si>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</si>
  <si>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 The workbook does not say whose labour it is
•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 Until the Contractor answers (Section 7, item 10), the skilled rows are not priced (their work sits within Items 3, 6 and 8) and the helper row is priced once at 'Build-Up' line 5.10 ('Programme' tab, Section 4); the histogram also fixes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</si>
  <si>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</si>
  <si>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</si>
  <si>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</si>
  <si>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</si>
  <si>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</si>
  <si>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</si>
  <si>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</si>
  <si>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</si>
  <si>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</si>
  <si>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</si>
  <si>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</si>
  <si>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</si>
  <si>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</si>
  <si>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</si>
  <si>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</si>
  <si>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</si>
  <si>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</si>
  <si>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</si>
  <si>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</si>
  <si>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</si>
  <si>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</si>
  <si>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</si>
  <si>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</si>
  <si>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</si>
  <si>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</si>
  <si>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</si>
  <si>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</si>
  <si>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A figure built from several inputs opens its first source; the other inputs are visible in the formula.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</si>
  <si>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</si>
  <si>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</si>
  <si>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</si>
  <si>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</si>
  <si>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</si>
  <si>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</si>
  <si>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</si>
  <si>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</si>
  <si>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</si>
  <si>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</si>
  <si>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</si>
  <si>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</si>
  <si>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</si>
  <si>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</si>
  <si>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</si>
  <si>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</si>
  <si>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 Calendar exception in QC05958-BSL01THF-TSE.xer (Saudi National Day)
•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</si>
  <si>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</si>
  <si>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</si>
  <si>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</si>
  <si>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</si>
  <si>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</si>
  <si>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</si>
  <si>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</si>
  <si>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</si>
  <si>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</si>
  <si>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</si>
  <si>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</si>
  <si>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</si>
  <si>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</si>
  <si>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</si>
  <si>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</si>
  <si>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 Activities QCD18TSEMOB1240 and QCD18TSEMOB1250, 22 to 26-Aug-2026, QC05958-BSL01THF-TSE.xer
• Mobilisation has taken place (the existing tank is dismantled)</t>
  </si>
  <si>
    <t xml:space="preserve">P2</t>
  </si>
  <si>
    <t xml:space="preserve">Dismantling of the existing damaged Tank-1 (calendar days)</t>
  </si>
  <si>
    <t xml:space="preserve">• Activities QCD18TSECONDSM1020 to 1030, 27-Aug to 12-Sep-2026, QC05958-BSL01THF-TSE.xer
• Complete per the look-ahead of 29-Sep-2026 (data date 28-Sep-2026); the completion date is not recorded, so the programmed dates are kept
• Dismantling, segregation and loading are within the Item 3 quotation</t>
  </si>
  <si>
    <t xml:space="preserve">P3</t>
  </si>
  <si>
    <t xml:space="preserve">Tank 1 - base panels (working days)</t>
  </si>
  <si>
    <t xml:space="preserve">• Activity QCD18TSECONT1INS1020, 12-Sep to 05-Oct-2026, 20 working days, linked to the partial delivery QCD18TSEPRC1120 (08-Sep to 03-Oct-2026, start 3 days after, finish 2 days after). Taken as submitted
• The identical work on Tank 2 (QCD18TSECONT2INS1020) is programmed at 6 working days - a productivity cross-check only (Section 4, S5)
• The look-ahead forecasts the start as 30-Sep-2026, delivery-driven, the Contractor's risk</t>
  </si>
  <si>
    <t xml:space="preserve">P4</t>
  </si>
  <si>
    <t xml:space="preserve">Tank 1 - wall panels (working days)</t>
  </si>
  <si>
    <t xml:space="preserve">• Activity QCD18TSECONT1INS1030, 06 to 24-Oct-2026, 16 working days, linked to the wall-panel delivery QCD18TSEPRC1170 (start 2 days after, finish 4 days after)
• Taken as submitted; Tank 2 walls (QCD18TSECONT2INS1030) 12 working days, cross-check only</t>
  </si>
  <si>
    <t xml:space="preserve">P5</t>
  </si>
  <si>
    <t xml:space="preserve">Tank 1 - bracing (working days)</t>
  </si>
  <si>
    <t xml:space="preserve">• Activity QCD18TSECONT1INS1060, 08 to 29-Oct-2026, 19 working days, starting 2 days after the walls and finishing 5 days after them
•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</si>
  <si>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</si>
  <si>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</si>
  <si>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</si>
  <si>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</si>
  <si>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</si>
  <si>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</si>
  <si>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</si>
  <si>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</si>
  <si>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 Activities QCD18TSECONT1MW2050, 2060 and 2055, 09 to 16-Nov-2026
•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</si>
  <si>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</si>
  <si>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</si>
  <si>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</si>
  <si>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</si>
  <si>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</si>
  <si>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</si>
  <si>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</si>
  <si>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</si>
  <si>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</si>
  <si>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</si>
  <si>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</si>
  <si>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</si>
  <si>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</si>
  <si>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</si>
  <si>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</si>
  <si>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</si>
  <si>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</si>
  <si>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</si>
  <si>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</si>
  <si>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</si>
  <si>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</si>
  <si>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 Activity QCD18TSECONIF2050, 03-Dec-2026, zero duration
•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</si>
  <si>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</si>
  <si>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</si>
  <si>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</si>
  <si>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</si>
  <si>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</si>
  <si>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 SAMA Submitted Programme only: activities QCD18TSECONTCT12050 and QCD18TSECONTCT22030, 09 to 16-Dec-2026, 7 working days each, in parallel, with two simultaneous fills
• Not included in the assessment: the Engineer's (KEO) email of 30-Aug-2026 states that installation and testing will not be in parallel and that one tank is filled and the water re-used for the second
• The sequential, task-based sequence the assessment uses is at P18 to P22</t>
  </si>
  <si>
    <t xml:space="preserve">P18</t>
  </si>
  <si>
    <t xml:space="preserve">Hydrostatic test - Tank 1, before the tie-in (working days)</t>
  </si>
  <si>
    <t xml:space="preserve">• Assessment allowance: starts the working day after the Tank 1 mechanical works (submitted date) and takes the 7 working days the Contractor programmed per tank
• Elapsed sequence assumed within those 7 days: tankered filling about 5 working days, the 24-hour hold (unattended apart from level readings), inspection of joints and nozzles and records 1 day
•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 Attendance: the QA/QC inspector (1.3, monthly) and the commissioning engineer for one day at the end of the hold (7.13); the supplier's leak-test supervision is within Item 6
• It sits inside the 15 working days of float the programme gives Tank 1 (17 to 24-Nov-2026)
•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</si>
  <si>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</si>
  <si>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</si>
  <si>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 Starts the working day after both the Tank 1 test has passed (P18) and Tank 2 is ready to receive water (mechanical works complete, P14, interior flushed)
• Pumped tank to tank through temporary hoses with the outlet valves isolated; the tie-in is not needed for the transfer. 3 working days is an assessed assumption; the Contractor's method statement is outstanding: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</si>
  <si>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</si>
  <si>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</si>
  <si>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 Elapsed 4 working days (08, 09, 10 and 12-Dec; 11-Dec is a Friday): top-up to test level on 08-Dec, the 24-hour hold on 09-Dec (unattended apart from level readings), inspection on 10-Dec, sampling and inspection on 12-Dec - 3 attended days out of 4 (Section 4, dated check H8)
• With the 3 transfer days the Tank 2 sequence is 7 working days from the start of the transfer, the programme's per-tank figure
•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</si>
  <si>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</si>
  <si>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</si>
  <si>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 Assessed basis: Tank 1 is empty after the transfer (P19), and the integrated commissioning (P21b) needs both tanks connected and holding water
• About 1,020 m3 (1 m depth) is tankered in on the two working days after the tie-in and the transfer, while Tank 2 is on its hold - off the critical path, attended by the approved helpers (Section 4, duty H11)
• The depth the Engineer requires is not established; a full fill is sensitivity S8
• Water from the network after the tie-in is not assumed: no source has been confirmed
•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</si>
  <si>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</si>
  <si>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</si>
  <si>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 RFP Scope of Works 5.2, component testing and subsystem validation
•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 Staffing at 'Build-Up' lines 7.13 to 7.18</t>
  </si>
  <si>
    <t xml:space="preserve">P21b</t>
  </si>
  <si>
    <t xml:space="preserve">Integrated system commissioning - full operational demonstration and witness testing (working days)</t>
  </si>
  <si>
    <t xml:space="preserve">• RFP Scope of Works 5.2, integrated system commissioning
• Starts on the third working day after the last of the tie-in (P16), the Tank 2 hydrostatic test (P20), the component checks (P21) and the Tank 1 operating fill (P20b): two working days are allowed for the laboratory results on the Tank 2 samples and the Engineer's acceptance, because both tanks must have passed and be connected before full operation is demonstrated
• Pumping is demonstrated from Tank 2, which holds the dechlorinated test water, and from Tank 1 on its 1,020 m3 operating fill ('Build-Up' line 7.24; S8 if the Engineer requires more). 3 working days is an assessed assumption on the same footing as P21</t>
  </si>
  <si>
    <t xml:space="preserve">P22</t>
  </si>
  <si>
    <t xml:space="preserve">Completion of testing and commissioning - both tanks</t>
  </si>
  <si>
    <t xml:space="preserve">• SAMA Submitted Programme: completion milestones QCD18TSEOMS1040 and 1050, 16-Dec-2026, with parallel testing
•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</si>
  <si>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</si>
  <si>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</si>
  <si>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 Activities QCD18TSEDMOB1020 and QCD18TSEDMOB3020, 17 to 24-Dec-2026, 7 working days in parallel
• Assessed basis: demobilisation follows the completion of testing (P22), 19 to 26-Dec-2026</t>
  </si>
  <si>
    <t xml:space="preserve">Derived periods used in Sections 4 and 5</t>
  </si>
  <si>
    <t xml:space="preserve">D1</t>
  </si>
  <si>
    <t xml:space="preserve">Site period - mobilisation start to demobilisation finish (calendar days)</t>
  </si>
  <si>
    <t xml:space="preserve">• The continuous site establishment runs for this period: welfare cabins, WC, water tank and deliveries, the 30 kVA welfare generator, the site pick-up, workforce transport, the two watchmen and the weekly waste removal, and the site staff whose duties cover the demobilisation week (Section 4, roles)
• SAMA Submitted Programme: 22-Aug to 24-Dec-2026
• Assessment allowance: the same erection dates with the sequential testing fitted in, conditional on the early Tank 1 test (P18)
•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</si>
  <si>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</si>
  <si>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</si>
  <si>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</si>
  <si>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</si>
  <si>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</si>
  <si>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</si>
  <si>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</si>
  <si>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</si>
  <si>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</si>
  <si>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</si>
  <si>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</si>
  <si>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 First delivery 08-Sep-2026 to the Tank 2 roof finish 30-Nov-2026
•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</si>
  <si>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after each tank's interior is cleaned (7.26)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two working days are allowed for the laboratory results and the Engineer's acceptance; a longer turnaround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</si>
  <si>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</si>
  <si>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</si>
  <si>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</si>
  <si>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 Tank 1 test 09 to 16-Dec-2026; transfer 17 to 20-Dec; Tank 2 test 21 to 24-Dec; component checks 09 to 12-Dec and the Tank 1 operating fill 21 to 22-Dec in parallel; laboratory results and acceptance 26 and 27-Dec; integrated commissioning 28 to 30-Dec-2026; demobilisation 31-Dec-2026 to 07-Jan-2027 (Fridays excluded)
• The additional site days against D1 are shown at S3</t>
  </si>
  <si>
    <t xml:space="preserve">S3</t>
  </si>
  <si>
    <t xml:space="preserve">S2 - complete incremental amount, excluding Overhead and Profit (first column: additional site days; third column: SAR)</t>
  </si>
  <si>
    <t xml:space="preserve">• 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 The erection-window, plant, helper, access, container and Item 7 lines do not move because only the testing tail moves
•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</si>
  <si>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</si>
  <si>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</si>
  <si>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</si>
  <si>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</si>
  <si>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</si>
  <si>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</si>
  <si>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</si>
  <si>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</si>
  <si>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</si>
  <si>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</si>
  <si>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</si>
  <si>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</si>
  <si>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</si>
  <si>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</si>
  <si>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</si>
  <si>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</si>
  <si>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</si>
  <si>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 Skilled: mobilisation 22 to 26-Aug then dismantling from 27-Aug - allocation between Contractor mobilisation and the Item 3 crew unresolved
• Helpers: site set-up; provisionally priced (S7)</t>
  </si>
  <si>
    <t xml:space="preserve">W2</t>
  </si>
  <si>
    <t xml:space="preserve">04-Sep-2026 - Dismantling</t>
  </si>
  <si>
    <t xml:space="preserve">• Skilled: dismantling crew, within Item 3 (recorded)
• Helpers: attendance - provisionally priced, may be within the Item 3 crew (S7)</t>
  </si>
  <si>
    <t xml:space="preserve">W3</t>
  </si>
  <si>
    <t xml:space="preserve">11-Sep-2026 - Dismantling ends; survey; first base-panel batch</t>
  </si>
  <si>
    <t xml:space="preserve">• Skilled: dismantling crew, within Item 3 (recorded)
• Helpers: attendance and first-batch offloading - provisionally priced (S7)</t>
  </si>
  <si>
    <t xml:space="preserve">W4</t>
  </si>
  <si>
    <t xml:space="preserve">18-Sep-2026 - Single front - Tank 1 base panels (programmed)</t>
  </si>
  <si>
    <t xml:space="preserve">• Skilled: tank erection crew, within Item 6 (recorded scope)
• Helpers: panel handling
• Counted: QCD18TSECONT1INS1020</t>
  </si>
  <si>
    <t xml:space="preserve">W5</t>
  </si>
  <si>
    <t xml:space="preserve">25-Sep-2026 - Single front - Tank 1 base (5-day week, 23-Sep off)</t>
  </si>
  <si>
    <t xml:space="preserve">W6</t>
  </si>
  <si>
    <t xml:space="preserve">02-Oct-2026 - Single front - Tank 1 base</t>
  </si>
  <si>
    <t xml:space="preserve">W7</t>
  </si>
  <si>
    <t xml:space="preserve">09-Oct-2026 - Single front - Tank 1 walls and bracing; wall-panel batches</t>
  </si>
  <si>
    <t xml:space="preserve">• Skilled: tank erection crew, within Item 6 (recorded scope)
• Helpers: panel handling; the helpers offload the wall-panel batches within the same days
• Counted: QCD18TSECONT1INS1020, QCD18TSECONT1INS1030, QCD18TSECONT1INS1060</t>
  </si>
  <si>
    <t xml:space="preserve">W8</t>
  </si>
  <si>
    <t xml:space="preserve">16-Oct-2026 - Single front - Tank 1 walls and bracing</t>
  </si>
  <si>
    <t xml:space="preserve">• Skilled: tank erection crew, within Item 6 (recorded scope)
• Helpers: panel handling
• Counted: QCD18TSECONT1INS1030, QCD18TSECONT1INS1060</t>
  </si>
  <si>
    <t xml:space="preserve">W9</t>
  </si>
  <si>
    <t xml:space="preserve">23-Oct-2026 - Tank 2 kit expected 20-Oct; second front opens 22-Oct</t>
  </si>
  <si>
    <t xml:space="preserve">• Skilled: erection crews, Item 6
• Helpers: Tank 1 front plus offloading and the Tank 2 base
• Counted: QCD18TSECONT1INS1030, QCD18TSECONT1INS1060, QCD18TSECONT2INS1020</t>
  </si>
  <si>
    <t xml:space="preserve">W10</t>
  </si>
  <si>
    <t xml:space="preserve">30-Oct-2026 - Two fronts - Tank 1 bracing and roof supports; Tank 2 base and walls (peak)</t>
  </si>
  <si>
    <t xml:space="preserve">• Skilled: two erection crews, Item 6
• Helpers: two gangs
• Counted: QCD18TSECONT1INS1030, QCD18TSECONT1INS1060, QCD18TSECONT2INS1020, QCD18TSECONT2INS1030</t>
  </si>
  <si>
    <t xml:space="preserve">W11</t>
  </si>
  <si>
    <t xml:space="preserve">06-Nov-2026 - Two fronts - Tank 1 roof; Tank 2 walls and bracing</t>
  </si>
  <si>
    <t xml:space="preserve">• Skilled: two erection crews, Item 6
• Helpers: two gangs
• Counted: QCD18TSECONT2INS1030, QCD18TSECONT1INS1040, QCD18TSECONT2INS1060, QCD18TSECONT1INS1050</t>
  </si>
  <si>
    <t xml:space="preserve">W12</t>
  </si>
  <si>
    <t xml:space="preserve">13-Nov-2026 - Two fronts - Tank 1 roof and nozzles; Tank 2 bracing; pipe delivery</t>
  </si>
  <si>
    <t xml:space="preserve">• Skilled: erection crews (Item 6) and, from 12-Nov, pipework fitters (Item 8 rates) - split unresolved, both priced elsewhere
• Helpers: two gangs, pipe offloading
• Counted: QCD18TSECONT2INS1030, QCD18TSECONT2INS1060, QCD18TSECONT1INS1050</t>
  </si>
  <si>
    <t xml:space="preserve">W13</t>
  </si>
  <si>
    <t xml:space="preserve">20-Nov-2026 - Single front - Tank 2 roof supports; Tank 1 hydrostatic test</t>
  </si>
  <si>
    <t xml:space="preserve">• Skilled: erection crew (Item 6) or fitters (Item 8) - unresolved, both priced elsewhere
• Helpers: Tank 2 gang; Tank 1 fill attendance
• Counted: QCD18TSECONT2INS1060, QCD18TSECONT2INS1040</t>
  </si>
  <si>
    <t xml:space="preserve">W14</t>
  </si>
  <si>
    <t xml:space="preserve">27-Nov-2026 - Single front - Tank 2 roof panels</t>
  </si>
  <si>
    <t xml:space="preserve">• Skilled: erection crew (Item 6) or fitters (Item 8) - unresolved, both priced elsewhere
• Helpers: Tank 2 gang; Tank 1 fill attendance
• Counted: QCD18TSECONT2INS1040, QCD18TSECONT2INS1050</t>
  </si>
  <si>
    <t xml:space="preserve">W15</t>
  </si>
  <si>
    <t xml:space="preserve">04-Dec-2026 - Tank 2 nozzles; readiness milestone 03-Dec</t>
  </si>
  <si>
    <t xml:space="preserve">• Skilled: nozzle fitters (Item 6) and pipework (Item 8) - unresolved, both priced elsewhere
• Helpers: nozzle attendance; Tank 1 disinfection
• Counted: QCD18TSECONT2INS1050</t>
  </si>
  <si>
    <t xml:space="preserve">W16</t>
  </si>
  <si>
    <t xml:space="preserve">11-Dec-2026 - Tie-in; transfer; Tank 2 test; disinfection</t>
  </si>
  <si>
    <t xml:space="preserve">• Skilled: tie-in fitters within 8.14 and 8.15
• Helpers: transfer 05 to 07-Dec and Tank 2 top-up and hold attendance - priced here, so line 7.4 is nil</t>
  </si>
  <si>
    <t xml:space="preserve">W17</t>
  </si>
  <si>
    <t xml:space="preserve">18-Dec-2026 - Integrated commissioning to 17-Dec; demobilisation from 19-Dec (Assessed basis)</t>
  </si>
  <si>
    <t xml:space="preserve">No approved labour: Tank 2 sampling 12-Dec and dechlorination 13-Dec (7.8) and commissioning specialists (7.13 to 7.17) priced on their own lines</t>
  </si>
  <si>
    <t xml:space="preserve">W18</t>
  </si>
  <si>
    <t xml:space="preserve">25-Dec-2026 - Demobilisation, ending 26-Dec (Assessed basis)</t>
  </si>
  <si>
    <t xml:space="preserve">No approved labour: demobilisation clean-up is line 1.16</t>
  </si>
  <si>
    <t xml:space="preserve">Approved histogram totals (person-weeks) and helper person-days</t>
  </si>
  <si>
    <t xml:space="preserve">• 221 person-weeks: 136 skilled (within Items 3, 6 and 8 on their recorded scopes, not priced again) and 85 helpers (priced)
•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</si>
  <si>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</si>
  <si>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</si>
  <si>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</si>
  <si>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</si>
  <si>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</si>
  <si>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</si>
  <si>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</si>
  <si>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</si>
  <si>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</si>
  <si>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</si>
  <si>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</si>
  <si>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</si>
  <si>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</si>
  <si>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</si>
  <si>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</si>
  <si>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</si>
  <si>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</si>
  <si>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</si>
  <si>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</si>
  <si>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</si>
  <si>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 2 people on the 5 fill days (17, 18, 19-Nov in W13; 21, 22-Nov in W14)
•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</si>
  <si>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</si>
  <si>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</si>
  <si>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 5 people x 6 days: 24, 25, 26-Nov (W14); 28, 29, 30-Nov (W15)
•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</si>
  <si>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</si>
  <si>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</si>
  <si>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</si>
  <si>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</si>
  <si>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</si>
  <si>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</si>
  <si>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</si>
  <si>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</si>
  <si>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</si>
  <si>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</si>
  <si>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</si>
  <si>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</si>
  <si>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</si>
  <si>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</si>
  <si>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</si>
  <si>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</si>
  <si>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</si>
  <si>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</si>
  <si>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</si>
  <si>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</si>
  <si>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15 to 17-Dec (P21b) and demobilisation 19 to 26-Dec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</si>
  <si>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</si>
  <si>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</si>
  <si>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</si>
  <si>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</si>
  <si>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</si>
  <si>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</si>
  <si>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</si>
  <si>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 Spare is unused approved capacity; it is not deducted - the approved people are paid as approved
•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</si>
  <si>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</si>
  <si>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 28, 29 and 30-Nov: needed 6 (roof panels 5 + nozzle attendance 1), approved 3; additional 3 a day x 3 days = 9 person-days, added to 5.10
• Counted day by day - spare people on other days cannot cover a peak
•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</si>
  <si>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</si>
  <si>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</si>
  <si>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</si>
  <si>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</si>
  <si>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</si>
  <si>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</si>
  <si>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</si>
  <si>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</si>
  <si>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</si>
  <si>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</si>
  <si>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</si>
  <si>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</si>
  <si>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</si>
  <si>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</si>
  <si>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</si>
  <si>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</si>
  <si>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</si>
  <si>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</si>
  <si>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</si>
  <si>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</si>
  <si>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</si>
  <si>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</si>
  <si>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</si>
  <si>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</si>
  <si>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</si>
  <si>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</si>
  <si>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</si>
  <si>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</si>
  <si>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</si>
  <si>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</si>
  <si>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</si>
  <si>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</si>
  <si>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</si>
  <si>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</si>
  <si>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</si>
  <si>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</si>
  <si>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</si>
  <si>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</si>
  <si>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</si>
  <si>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</si>
  <si>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</si>
  <si>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</si>
  <si>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</si>
  <si>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</si>
  <si>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</si>
  <si>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</si>
  <si>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</si>
  <si>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</si>
  <si>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</si>
  <si>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</si>
  <si>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</si>
  <si>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</si>
  <si>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</si>
  <si>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</si>
  <si>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</si>
  <si>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</si>
  <si>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</si>
  <si>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</si>
  <si>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</si>
  <si>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</si>
  <si>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</si>
  <si>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</si>
  <si>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</si>
  <si>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</si>
  <si>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</si>
  <si>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</si>
  <si>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</si>
  <si>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</si>
  <si>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</si>
  <si>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</si>
  <si>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</si>
  <si>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</si>
  <si>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</si>
  <si>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</si>
  <si>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</si>
  <si>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</si>
  <si>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</si>
  <si>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</si>
  <si>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</si>
  <si>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</si>
  <si>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</si>
  <si>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</si>
  <si>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</si>
  <si>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</si>
  <si>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</si>
  <si>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</si>
  <si>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</si>
  <si>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</si>
  <si>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</si>
  <si>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</si>
  <si>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</si>
  <si>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</si>
  <si>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</si>
  <si>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</si>
  <si>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</si>
  <si>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</si>
  <si>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</si>
  <si>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</si>
  <si>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 QCD18TSEPRC1120 start to QCD18TSECONT2INS1030 finish: deliveries, base and wall panels of both tanks and the Tank 1 roof follow one another without a gap, so one unit is on hire every working day
•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</si>
  <si>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</si>
  <si>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</si>
  <si>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</si>
  <si>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</si>
  <si>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</si>
  <si>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</si>
  <si>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</si>
  <si>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</si>
  <si>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</si>
  <si>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</si>
  <si>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</si>
  <si>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</si>
  <si>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</si>
  <si>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</si>
  <si>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</si>
  <si>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</si>
  <si>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</si>
  <si>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</si>
  <si>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</si>
  <si>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</si>
  <si>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</si>
  <si>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</si>
  <si>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</si>
  <si>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</si>
  <si>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</si>
  <si>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</si>
  <si>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</si>
  <si>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</si>
  <si>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</si>
  <si>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</si>
  <si>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</si>
  <si>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</si>
  <si>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</si>
  <si>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</si>
  <si>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</si>
  <si>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</si>
  <si>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</si>
  <si>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</si>
  <si>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</si>
  <si>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</si>
  <si>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</si>
  <si>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</si>
  <si>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</si>
  <si>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</si>
  <si>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</si>
  <si>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</si>
  <si>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</si>
  <si>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</si>
  <si>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</si>
  <si>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</si>
  <si>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</si>
  <si>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</si>
  <si>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</si>
  <si>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</si>
  <si>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</si>
  <si>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</si>
  <si>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</si>
  <si>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</si>
  <si>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</si>
  <si>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</si>
  <si>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</si>
  <si>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</si>
  <si>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</si>
  <si>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</si>
  <si>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2 No. podium steps for the access window D6, rounded up to whole hire months</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</si>
  <si>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</si>
  <si>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</si>
  <si>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</si>
  <si>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</si>
  <si>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</si>
  <si>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</si>
  <si>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 SAMA Submitted Programme: both tanks filled at once for parallel testing (7,548 m3, RFP Scope of Works section 1)
•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</si>
  <si>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</si>
  <si>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</si>
  <si>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</si>
  <si>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</si>
  <si>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 SAMA Submitted Programme: the programmed 7-working-day parallel testing and commissioning activity plus one day at the hold
•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</si>
  <si>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</si>
  <si>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</si>
  <si>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 Assessed basis: 34 m x 30 m x 1.0 m operating depth in Tank 1 for the commissioning demonstration, tankered on 09 and 10-Dec-2026 (window P20b)
• Nil on the SAMA Submitted Programme, which fills both tanks in full for parallel testing</t>
  </si>
  <si>
    <t xml:space="preserve">• Pump and hose set standing by through the two 24-hour holds and two days of contingency between the Tank 1 test and the transfer; tankers are working, not standing by, during the fill
• The same on the SAMA Submitted Programme,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</si>
  <si>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</si>
  <si>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</si>
  <si>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</si>
  <si>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</si>
  <si>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</si>
  <si>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</si>
  <si>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</si>
  <si>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</si>
  <si>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</si>
  <si>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</si>
  <si>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bridge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</si>
  <si>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</si>
  <si>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</si>
  <si>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</si>
  <si>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</si>
  <si>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</si>
  <si>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 Excluding Overhead and Profit; not included in the assessment
•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</si>
  <si>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</si>
  <si>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over about four days at 750 m3 a day, with pump standby and 2 people attending), if the Engineer requires it and no network source is confirmed</t>
  </si>
  <si>
    <t xml:space="preserve">• Excluding Overhead and Profit; not included in the assessment
•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</si>
  <si>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</si>
  <si>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</si>
  <si>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</si>
  <si>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</si>
  <si>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</si>
  <si>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</si>
  <si>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</si>
  <si>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</si>
  <si>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</si>
  <si>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</si>
  <si>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</si>
  <si>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</si>
  <si>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</si>
  <si>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</si>
  <si>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</si>
  <si>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</si>
  <si>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</si>
  <si>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</si>
  <si>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</si>
  <si>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</si>
  <si>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</si>
  <si>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</si>
  <si>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</si>
  <si>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</si>
  <si>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</si>
  <si>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</si>
  <si>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</si>
  <si>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</si>
  <si>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</si>
  <si>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</si>
  <si>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</si>
  <si>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</si>
  <si>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</si>
  <si>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</si>
  <si>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</si>
  <si>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</si>
  <si>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</si>
  <si>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</si>
  <si>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</si>
  <si>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</si>
  <si>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</si>
  <si>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and rest-day security, 2 No., pending confirmation of the Employer's cover; Contractor</t>
  </si>
  <si>
    <t xml:space="preserve">Monthly, site period, 2 No.;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</si>
  <si>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</si>
  <si>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</si>
  <si>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</si>
  <si>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</si>
  <si>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</si>
  <si>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</si>
  <si>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</si>
  <si>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</si>
  <si>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</si>
  <si>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</si>
  <si>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</si>
  <si>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</si>
  <si>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</si>
  <si>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(Section 4: the peak approved helpers, roles R1 to R5 and the pipework testing crew)</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</si>
  <si>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</si>
  <si>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</si>
  <si>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</si>
  <si>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</si>
  <si>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</si>
  <si>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</si>
  <si>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</si>
  <si>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</si>
  <si>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</si>
  <si>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</si>
  <si>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</si>
  <si>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</si>
  <si>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</si>
  <si>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</si>
  <si>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</si>
  <si>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</si>
  <si>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</si>
  <si>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</si>
  <si>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</si>
  <si>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</si>
  <si>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</si>
  <si>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</si>
  <si>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</si>
  <si>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</si>
  <si>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</si>
  <si>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</si>
  <si>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</si>
  <si>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</si>
  <si>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</si>
  <si>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</si>
  <si>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</si>
  <si>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(20 submittal activities) and the MAR / MIR activities</t>
  </si>
  <si>
    <t xml:space="preserve">Submittal administration via Aconex; Contractor</t>
  </si>
  <si>
    <t xml:space="preserve">Attendance: 8 days</t>
  </si>
  <si>
    <t xml:space="preserve">QCD18TSEMOB1050 and QCD18TSEMOB1080 to QCD18TSEMOB1150 (nine preparation activities)</t>
  </si>
  <si>
    <t xml:space="preserve">Method statements, risk assessments and project plans for this works package; Contractor's engineer</t>
  </si>
  <si>
    <t xml:space="preserve">Quantity: 12.5 engineer-days assessed</t>
  </si>
  <si>
    <t xml:space="preserve">No - submittal administration is 2.4; the dismantling method statement is in Item 3; not in the Overhead and Profit</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</si>
  <si>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</si>
  <si>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</si>
  <si>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</si>
  <si>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Section 4 (weeks W1 to W3) carries the Contractor's helper attendance only, priced provisionally at 5.10 (S7)</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</si>
  <si>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</si>
  <si>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</si>
  <si>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</si>
  <si>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</si>
  <si>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</si>
  <si>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</si>
  <si>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</si>
  <si>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</si>
  <si>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</si>
  <si>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</si>
  <si>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</si>
  <si>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</si>
  <si>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</si>
  <si>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</si>
  <si>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</si>
  <si>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</si>
  <si>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1,400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</si>
  <si>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</si>
  <si>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</si>
  <si>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</si>
  <si>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</si>
  <si>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</si>
  <si>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</si>
  <si>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</si>
  <si>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</si>
  <si>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</si>
  <si>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</si>
  <si>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</si>
  <si>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</si>
  <si>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</si>
  <si>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</si>
  <si>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</si>
  <si>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</si>
  <si>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</si>
  <si>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</si>
  <si>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</si>
  <si>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</si>
  <si>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</si>
  <si>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</si>
  <si>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</si>
  <si>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</si>
  <si>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</si>
  <si>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</si>
  <si>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</si>
  <si>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</si>
  <si>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</si>
  <si>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</si>
  <si>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</si>
  <si>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</si>
  <si>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</si>
  <si>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</si>
  <si>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</si>
  <si>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</si>
  <si>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</si>
  <si>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Site service - whole site period D1</t>
  </si>
  <si>
    <t xml:space="preserve">Weekly removal of packaging and site waste; Contractor</t>
  </si>
  <si>
    <t xml:space="preserve">Quantity: one load a week for the weeks of the site period D1</t>
  </si>
  <si>
    <t xml:space="preserve">No - demobilisation clean-up is 1.16</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</si>
  <si>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</si>
  <si>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</si>
  <si>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</si>
  <si>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</si>
  <si>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</si>
  <si>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</si>
  <si>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</si>
  <si>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</si>
  <si>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</si>
  <si>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</si>
  <si>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</si>
  <si>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</si>
  <si>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</si>
  <si>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</si>
  <si>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</si>
  <si>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</si>
  <si>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</si>
  <si>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</si>
  <si>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</si>
  <si>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</si>
  <si>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</si>
  <si>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</si>
  <si>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</si>
  <si>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</si>
  <si>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</si>
  <si>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 and 13-Dec, after the histogram)</t>
  </si>
  <si>
    <t xml:space="preserve">Tank 2 inspection, sampling and dechlorination in the tank; Contractor helpers</t>
  </si>
  <si>
    <t xml:space="preserve">Attendance: person-days after 11-Dec from the dated check</t>
  </si>
  <si>
    <t xml:space="preserve">The Tank 1 dosing (H6) is within 5.10</t>
  </si>
  <si>
    <t xml:space="preserve">After P20</t>
  </si>
  <si>
    <t xml:space="preserve">Dechlorination in the tank before the water is kept or discharged; Contractor</t>
  </si>
  <si>
    <t xml:space="preserve">Quantity: 400 kg</t>
  </si>
  <si>
    <t xml:space="preserve">Sampling and transport; Contractor</t>
  </si>
  <si>
    <t xml:space="preserve">Laboratory water-quality tests; third-party laboratory</t>
  </si>
  <si>
    <t xml:space="preserve">Quantity: 6 samples</t>
  </si>
  <si>
    <t xml:space="preserve">No - excluded by the tank supplier scope described (Assumption 9)</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</si>
  <si>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</si>
  <si>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</si>
  <si>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</si>
  <si>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</si>
  <si>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</si>
  <si>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</si>
  <si>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</si>
  <si>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</si>
  <si>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</si>
  <si>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</si>
  <si>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</si>
  <si>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</si>
  <si>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</si>
  <si>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</si>
  <si>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</si>
  <si>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</si>
  <si>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</si>
  <si>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</si>
  <si>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</si>
  <si>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</si>
  <si>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</si>
  <si>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</si>
  <si>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</si>
  <si>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</si>
  <si>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</si>
  <si>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</si>
  <si>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</si>
  <si>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</si>
  <si>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</si>
  <si>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</si>
  <si>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</si>
  <si>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</si>
  <si>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</si>
  <si>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</si>
  <si>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</si>
  <si>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</si>
  <si>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</si>
  <si>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</si>
  <si>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</si>
  <si>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</si>
  <si>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</si>
  <si>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between the cleaning at 7.26 and the transfer (03 to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</si>
  <si>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</si>
  <si>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</si>
  <si>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Tank 1 after QCD18TSECONT1INS1050; Tank 2 after QCD18TSECONT2MW2030 (before P19)</t>
  </si>
  <si>
    <t xml:space="preserve">Interior cleaning before disinfection; Contractor crew within the rate</t>
  </si>
  <si>
    <t xml:space="preserve">No - the disinfection itself is 7.6 and 7.25</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</si>
  <si>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</si>
  <si>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</si>
  <si>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</si>
  <si>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</si>
  <si>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</si>
  <si>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</si>
  <si>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</si>
  <si>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</si>
  <si>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</si>
  <si>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</si>
  <si>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</si>
  <si>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</si>
  <si>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</si>
  <si>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</si>
  <si>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</si>
  <si>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</si>
  <si>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</si>
  <si>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</si>
  <si>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</si>
  <si>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</si>
  <si>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</si>
  <si>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</si>
  <si>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</si>
  <si>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</si>
  <si>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</si>
  <si>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</si>
  <si>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</si>
  <si>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</si>
  <si>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</si>
  <si>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</si>
  <si>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</si>
  <si>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</si>
  <si>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</si>
  <si>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</si>
  <si>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</si>
  <si>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Pipework test and flushing water; Contractor</t>
  </si>
  <si>
    <t xml:space="preserve">Quantity: 300 m3</t>
  </si>
  <si>
    <t xml:space="preserve">Pipework testing crew; Contractor</t>
  </si>
  <si>
    <t xml:space="preserve">Attendance: 2 No. x 12 days</t>
  </si>
  <si>
    <t xml:space="preserve">No - the pipework testing crew is not within the helper row priced at 5.10</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</si>
  <si>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</si>
  <si>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</si>
  <si>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</si>
  <si>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</si>
  <si>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</si>
  <si>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97 No. - one every 3 m plus one at each valve</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</si>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</sst>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u val="single"/>
      <sz val="10"/>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21"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21" fillId="3" borderId="12" xfId="0" applyFont="true" applyBorder="true" applyAlignment="true" applyProtection="false">
      <alignment horizontal="general" vertical="center" textRotation="0" wrapText="false" indent="0" shrinkToFit="false"/>
      <protection locked="true" hidden="false"/>
    </xf>
    <xf numFmtId="165" fontId="21"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21" fillId="0" borderId="8" xfId="0" applyFont="true" applyBorder="true" applyAlignment="true" applyProtection="false">
      <alignment horizontal="general" vertical="center" textRotation="0" wrapText="false" indent="0" shrinkToFit="false"/>
      <protection locked="true" hidden="false"/>
    </xf>
    <xf numFmtId="167" fontId="21" fillId="0" borderId="8" xfId="0" applyFont="true" applyBorder="true" applyAlignment="true" applyProtection="false">
      <alignment horizontal="general" vertical="center" textRotation="0" wrapText="false" indent="0" shrinkToFit="false"/>
      <protection locked="true" hidden="false"/>
    </xf>
    <xf numFmtId="171" fontId="21"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4" fontId="18" fillId="0" borderId="6" xfId="0" applyFont="true" applyBorder="true" applyAlignment="true" applyProtection="false">
      <alignment horizontal="center"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21"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tru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0" name="Image 1" descr="Picture"/>
        <xdr:cNvPicPr/>
      </xdr:nvPicPr>
      <xdr:blipFill>
        <a:blip r:embed="rId1"/>
        <a:stretch/>
      </xdr:blipFill>
      <xdr:spPr>
        <a:xfrm>
          <a:off x="0" y="0"/>
          <a:ext cx="7558200" cy="10156680"/>
        </a:xfrm>
        <a:prstGeom prst="rect">
          <a:avLst/>
        </a:prstGeom>
        <a:ln w="0">
          <a:noFill/>
        </a:ln>
      </xdr:spPr>
    </xdr:pic>
    <xdr:clientData/>
  </xdr:twoCellAnchor>
  <xdr:twoCellAnchor editAs="oneCell">
    <xdr:from>
      <xdr:col>1</xdr:col>
      <xdr:colOff>0</xdr:colOff>
      <xdr:row>6</xdr:row>
      <xdr:rowOff>0</xdr:rowOff>
    </xdr:from>
    <xdr:to>
      <xdr:col>7</xdr:col>
      <xdr:colOff>0</xdr:colOff>
      <xdr:row>10</xdr:row>
      <xdr:rowOff>0</xdr:rowOff>
    </xdr:to>
    <xdr:sp macro="" textlink="'Project Info'!$C$6">
      <xdr:nvSpPr>
        <xdr:cNvPr id="1001" name="CoverProjectName"/>
        <xdr:cNvSpPr txBox="1"/>
      </xdr:nvSpPr>
      <xdr:spPr>
        <a:xfrm>
          <a:off x="0" y="0"/>
          <a:ext cx="0" cy="0"/>
        </a:xfrm>
        <a:prstGeom prst="rect">
          <a:avLst/>
        </a:prstGeom>
        <a:noFill/>
        <a:ln w="9525">
          <a:noFill/>
        </a:ln>
      </xdr:spPr>
      <xdr:txBody>
        <a:bodyPr wrap="square" rtlCol="0" anchor="t"/>
        <a:lstStyle/>
        <a:p>
          <a:r>
            <a:rPr lang="en-GB" sz="2400" b="0">
              <a:solidFill>
                <a:srgbClr val="FFFFFF"/>
              </a:solidFill>
              <a:latin typeface="PT Sans"/>
              <a:cs typeface="PT Sans"/>
            </a:rPr>
            <a:t>Qiddiya D-18 - TSE Irrigation Storage Tanks (RFP-027)</a:t>
          </a:r>
        </a:p>
      </xdr:txBody>
    </xdr:sp>
    <xdr:clientData/>
  </xdr:twoCellAnchor>
  <xdr:twoCellAnchor editAs="oneCell">
    <xdr:from>
      <xdr:col>1</xdr:col>
      <xdr:colOff>0</xdr:colOff>
      <xdr:row>10</xdr:row>
      <xdr:rowOff>0</xdr:rowOff>
    </xdr:from>
    <xdr:to>
      <xdr:col>7</xdr:col>
      <xdr:colOff>0</xdr:colOff>
      <xdr:row>12</xdr:row>
      <xdr:rowOff>0</xdr:rowOff>
    </xdr:to>
    <xdr:sp macro="" textlink="'Project Info'!$C$7">
      <xdr:nvSpPr>
        <xdr:cNvPr id="1002" name="CoverClient"/>
        <xdr:cNvSpPr txBox="1"/>
      </xdr:nvSpPr>
      <xdr:spPr>
        <a:xfrm>
          <a:off x="0" y="0"/>
          <a:ext cx="0" cy="0"/>
        </a:xfrm>
        <a:prstGeom prst="rect">
          <a:avLst/>
        </a:prstGeom>
        <a:noFill/>
        <a:ln w="9525">
          <a:noFill/>
        </a:ln>
      </xdr:spPr>
      <xdr:txBody>
        <a:bodyPr wrap="square" rtlCol="0" anchor="t"/>
        <a:lstStyle/>
        <a:p>
          <a:r>
            <a:rPr lang="en-GB" sz="1800" b="0">
              <a:solidFill>
                <a:srgbClr val="FFC425"/>
              </a:solidFill>
              <a:latin typeface="PT Sans"/>
              <a:cs typeface="PT Sans"/>
            </a:rPr>
            <a:t>Qiddiya Investment Company</a:t>
          </a:r>
        </a:p>
      </xdr:txBody>
    </xdr:sp>
    <xdr:clientData/>
  </xdr:twoCellAnchor>
  <xdr:twoCellAnchor editAs="oneCell">
    <xdr:from>
      <xdr:col>1</xdr:col>
      <xdr:colOff>0</xdr:colOff>
      <xdr:row>12</xdr:row>
      <xdr:rowOff>0</xdr:rowOff>
    </xdr:from>
    <xdr:to>
      <xdr:col>7</xdr:col>
      <xdr:colOff>0</xdr:colOff>
      <xdr:row>13</xdr:row>
      <xdr:rowOff>0</xdr:rowOff>
    </xdr:to>
    <xdr:sp macro="" textlink="'Project Info'!$C$8">
      <xdr:nvSpPr>
        <xdr:cNvPr id="1003" name="CoverAddress"/>
        <xdr:cNvSpPr txBox="1"/>
      </xdr:nvSpPr>
      <xdr:spPr>
        <a:xfrm>
          <a:off x="0" y="0"/>
          <a:ext cx="0" cy="0"/>
        </a:xfrm>
        <a:prstGeom prst="rect">
          <a:avLst/>
        </a:prstGeom>
        <a:noFill/>
        <a:ln w="9525">
          <a:noFill/>
        </a:ln>
      </xdr:spPr>
      <xdr:txBody>
        <a:bodyPr wrap="square" rtlCol="0" anchor="t"/>
        <a:lstStyle/>
        <a:p>
          <a:r>
            <a:rPr lang="en-GB" sz="1200" b="0">
              <a:solidFill>
                <a:srgbClr val="FFFFFF"/>
              </a:solidFill>
              <a:latin typeface="PT Sans"/>
              <a:cs typeface="PT Sans"/>
            </a:rPr>
            <a:t>Qiddiya, Riyadh, Kingdom of Saudi Arabia</a:t>
          </a:r>
        </a:p>
      </xdr:txBody>
    </xdr:sp>
    <xdr:clientData/>
  </xdr:twoCellAnchor>
  <xdr:twoCellAnchor editAs="oneCell">
    <xdr:from>
      <xdr:col>1</xdr:col>
      <xdr:colOff>0</xdr:colOff>
      <xdr:row>13</xdr:row>
      <xdr:rowOff>0</xdr:rowOff>
    </xdr:from>
    <xdr:to>
      <xdr:col>7</xdr:col>
      <xdr:colOff>0</xdr:colOff>
      <xdr:row>15</xdr:row>
      <xdr:rowOff>0</xdr:rowOff>
    </xdr:to>
    <xdr:sp macro="" textlink="'Project Info'!$C$9">
      <xdr:nvSpPr>
        <xdr:cNvPr id="1004" name="CoverContractRef"/>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QPMO-410-CT-05958</a:t>
          </a:r>
        </a:p>
      </xdr:txBody>
    </xdr:sp>
    <xdr:clientData/>
  </xdr:twoCellAnchor>
  <xdr:twoCellAnchor editAs="oneCell">
    <xdr:from>
      <xdr:col>1</xdr:col>
      <xdr:colOff>0</xdr:colOff>
      <xdr:row>16</xdr:row>
      <xdr:rowOff>0</xdr:rowOff>
    </xdr:from>
    <xdr:to>
      <xdr:col>7</xdr:col>
      <xdr:colOff>0</xdr:colOff>
      <xdr:row>19</xdr:row>
      <xdr:rowOff>0</xdr:rowOff>
    </xdr:to>
    <xdr:sp macro="" textlink="'Project Info'!$C$18">
      <xdr:nvSpPr>
        <xdr:cNvPr id="1005" name="CoverSubtitle"/>
        <xdr:cNvSpPr txBox="1"/>
      </xdr:nvSpPr>
      <xdr:spPr>
        <a:xfrm>
          <a:off x="0" y="0"/>
          <a:ext cx="0" cy="0"/>
        </a:xfrm>
        <a:prstGeom prst="rect">
          <a:avLst/>
        </a:prstGeom>
        <a:noFill/>
        <a:ln w="9525">
          <a:noFill/>
        </a:ln>
      </xdr:spPr>
      <xdr:txBody>
        <a:bodyPr wrap="square" rtlCol="0" anchor="t"/>
        <a:lstStyle/>
        <a:p>
          <a:r>
            <a:rPr lang="en-GB" sz="1200" b="1">
              <a:solidFill>
                <a:srgbClr val="FFFFFF"/>
              </a:solidFill>
              <a:latin typeface="PT Sans"/>
              <a:cs typeface="PT Sans"/>
            </a:rPr>
            <a:t>Cost Assessment of the Contractor's Proposal - TSE Irrigation Storage Tanks (RFP-027) - Rev 02 | 30-Sep-2026</a:t>
          </a:r>
        </a:p>
      </xdr:txBody>
    </xdr:sp>
    <xdr:clientData/>
  </xdr:twoCellAnchor>
  <xdr:twoCellAnchor editAs="oneCell">
    <xdr:from>
      <xdr:col>1</xdr:col>
      <xdr:colOff>0</xdr:colOff>
      <xdr:row>19</xdr:row>
      <xdr:rowOff>0</xdr:rowOff>
    </xdr:from>
    <xdr:to>
      <xdr:col>7</xdr:col>
      <xdr:colOff>0</xdr:colOff>
      <xdr:row>20</xdr:row>
      <xdr:rowOff>0</xdr:rowOff>
    </xdr:to>
    <xdr:sp macro="" textlink="'Project Info'!$C$19">
      <xdr:nvSpPr>
        <xdr:cNvPr id="1006" name="CoverReference"/>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Reference: RFP-027 / SAMACO-RRFP-000001</a:t>
          </a: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252000</xdr:colOff>
      <xdr:row>56</xdr:row>
      <xdr:rowOff>21960</xdr:rowOff>
    </xdr:to>
    <xdr:pic>
      <xdr:nvPicPr>
        <xdr:cNvPr id="1" name="Image 1" descr="Picture"/>
        <xdr:cNvPicPr/>
      </xdr:nvPicPr>
      <xdr:blipFill>
        <a:blip r:embed="rId1"/>
        <a:stretch/>
      </xdr:blipFill>
      <xdr:spPr>
        <a:xfrm>
          <a:off x="0" y="0"/>
          <a:ext cx="7558200" cy="10156680"/>
        </a:xfrm>
        <a:prstGeom prst="rect">
          <a:avLst/>
        </a:prstGeom>
        <a:ln w="0">
          <a:noFill/>
        </a:ln>
      </xdr:spPr>
    </xdr:pic>
    <xdr:clientData/>
  </xdr:twoCellAnchor>
  <xdr:twoCellAnchor editAs="oneCell">
    <xdr:from>
      <xdr:col>1</xdr:col>
      <xdr:colOff>0</xdr:colOff>
      <xdr:row>6</xdr:row>
      <xdr:rowOff>0</xdr:rowOff>
    </xdr:from>
    <xdr:to>
      <xdr:col>7</xdr:col>
      <xdr:colOff>0</xdr:colOff>
      <xdr:row>9</xdr:row>
      <xdr:rowOff>0</xdr:rowOff>
    </xdr:to>
    <xdr:sp macro="" textlink="'Project Info'!$C$20">
      <xdr:nvSpPr>
        <xdr:cNvPr id="2001" name="AppendixTitle"/>
        <xdr:cNvSpPr txBox="1"/>
      </xdr:nvSpPr>
      <xdr:spPr>
        <a:xfrm>
          <a:off x="0" y="0"/>
          <a:ext cx="0" cy="0"/>
        </a:xfrm>
        <a:prstGeom prst="rect">
          <a:avLst/>
        </a:prstGeom>
        <a:noFill/>
        <a:ln w="9525">
          <a:noFill/>
        </a:ln>
      </xdr:spPr>
      <xdr:txBody>
        <a:bodyPr wrap="square" rtlCol="0" anchor="t"/>
        <a:lstStyle/>
        <a:p>
          <a:r>
            <a:rPr lang="en-GB" sz="3600" b="1">
              <a:solidFill>
                <a:srgbClr val="FFFFFF"/>
              </a:solidFill>
              <a:latin typeface="PT Sans"/>
              <a:cs typeface="PT Sans"/>
            </a:rPr>
            <a:t>Appendix A</a:t>
          </a:r>
        </a:p>
      </xdr:txBody>
    </xdr:sp>
    <xdr:clientData/>
  </xdr:twoCellAnchor>
  <xdr:twoCellAnchor editAs="oneCell">
    <xdr:from>
      <xdr:col>1</xdr:col>
      <xdr:colOff>0</xdr:colOff>
      <xdr:row>10</xdr:row>
      <xdr:rowOff>0</xdr:rowOff>
    </xdr:from>
    <xdr:to>
      <xdr:col>7</xdr:col>
      <xdr:colOff>0</xdr:colOff>
      <xdr:row>12</xdr:row>
      <xdr:rowOff>0</xdr:rowOff>
    </xdr:to>
    <xdr:sp macro="" textlink="'Project Info'!$C$17">
      <xdr:nvSpPr>
        <xdr:cNvPr id="2002" name="AppendixDescription"/>
        <xdr:cNvSpPr txBox="1"/>
      </xdr:nvSpPr>
      <xdr:spPr>
        <a:xfrm>
          <a:off x="0" y="0"/>
          <a:ext cx="0" cy="0"/>
        </a:xfrm>
        <a:prstGeom prst="rect">
          <a:avLst/>
        </a:prstGeom>
        <a:noFill/>
        <a:ln w="9525">
          <a:noFill/>
        </a:ln>
      </xdr:spPr>
      <xdr:txBody>
        <a:bodyPr wrap="square" rtlCol="0" anchor="t"/>
        <a:lstStyle/>
        <a:p>
          <a:r>
            <a:rPr lang="en-GB" sz="1400" b="0">
              <a:solidFill>
                <a:srgbClr val="FFC425"/>
              </a:solidFill>
              <a:latin typeface="PT Sans"/>
              <a:cs typeface="PT Sans"/>
            </a:rPr>
            <a:t>Cost Assessment of the Contractor's Proposal - TSE Irrigation Storage Tanks (RFP-027)</a:t>
          </a:r>
        </a:p>
      </xdr:txBody>
    </xdr:sp>
    <xdr:clientData/>
  </xdr:twoCellAnchor>
  <xdr:twoCellAnchor editAs="oneCell">
    <xdr:from>
      <xdr:col>1</xdr:col>
      <xdr:colOff>0</xdr:colOff>
      <xdr:row>13</xdr:row>
      <xdr:rowOff>0</xdr:rowOff>
    </xdr:from>
    <xdr:to>
      <xdr:col>7</xdr:col>
      <xdr:colOff>0</xdr:colOff>
      <xdr:row>14</xdr:row>
      <xdr:rowOff>0</xdr:rowOff>
    </xdr:to>
    <xdr:sp macro="" textlink="'Project Info'!$C$15">
      <xdr:nvSpPr>
        <xdr:cNvPr id="2003" name="AppendixReference"/>
        <xdr:cNvSpPr txBox="1"/>
      </xdr:nvSpPr>
      <xdr:spPr>
        <a:xfrm>
          <a:off x="0" y="0"/>
          <a:ext cx="0" cy="0"/>
        </a:xfrm>
        <a:prstGeom prst="rect">
          <a:avLst/>
        </a:prstGeom>
        <a:noFill/>
        <a:ln w="9525">
          <a:noFill/>
        </a:ln>
      </xdr:spPr>
      <xdr:txBody>
        <a:bodyPr wrap="square" rtlCol="0" anchor="t"/>
        <a:lstStyle/>
        <a:p>
          <a:r>
            <a:rPr lang="en-GB" sz="1000" b="0">
              <a:solidFill>
                <a:srgbClr val="FFFFFF"/>
              </a:solidFill>
              <a:latin typeface="PT Sans"/>
              <a:cs typeface="PT Sans"/>
            </a:rPr>
            <a:t>RFP-027 / SAMACO-RRFP-000001</a:t>
          </a:r>
        </a:p>
      </xdr:txBody>
    </xdr:sp>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71875" defaultRowHeight="14.2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75"/>
  </cols>
  <sheetData>
    <row r="2" customFormat="false" ht="36" hidden="false" customHeight="true" outlineLevel="0" collapsed="false">
      <c r="B2" s="2" t="s">
        <v>0</v>
      </c>
    </row>
    <row r="4" customFormat="false" ht="30" hidden="false" customHeight="true" outlineLevel="0" collapsed="false">
      <c r="B4" s="3" t="s">
        <v>1</v>
      </c>
    </row>
    <row r="6" customFormat="false" ht="21.75" hidden="false" customHeight="true" outlineLevel="0" collapsed="false">
      <c r="B6" s="4" t="s">
        <v>2</v>
      </c>
      <c r="C6" s="5" t="s">
        <v>3</v>
      </c>
    </row>
    <row r="7" customFormat="false" ht="21.75" hidden="false" customHeight="true" outlineLevel="0" collapsed="false">
      <c r="B7" s="4" t="s">
        <v>4</v>
      </c>
      <c r="C7" s="5" t="s">
        <v>5</v>
      </c>
    </row>
    <row r="8" customFormat="false" ht="21.75" hidden="false" customHeight="true" outlineLevel="0" collapsed="false">
      <c r="B8" s="4" t="s">
        <v>6</v>
      </c>
      <c r="C8" s="5" t="s">
        <v>7</v>
      </c>
    </row>
    <row r="9" customFormat="false" ht="21.75" hidden="false" customHeight="true" outlineLevel="0" collapsed="false">
      <c r="B9" s="4" t="s">
        <v>8</v>
      </c>
      <c r="C9" s="5" t="s">
        <v>9</v>
      </c>
    </row>
    <row r="10" customFormat="false" ht="21.75" hidden="false" customHeight="true" outlineLevel="0" collapsed="false">
      <c r="B10" s="4" t="s">
        <v>10</v>
      </c>
      <c r="C10" s="5" t="s">
        <v>11</v>
      </c>
    </row>
    <row r="11" customFormat="false" ht="21.75" hidden="false" customHeight="true" outlineLevel="0" collapsed="false">
      <c r="B11" s="4" t="s">
        <v>12</v>
      </c>
      <c r="C11" s="5" t="s">
        <v>13</v>
      </c>
    </row>
    <row r="12" customFormat="false" ht="21.75" hidden="false" customHeight="true" outlineLevel="0" collapsed="false">
      <c r="B12" s="4" t="s">
        <v>14</v>
      </c>
      <c r="C12" s="5" t="s">
        <v>15</v>
      </c>
    </row>
    <row r="13" customFormat="false" ht="21.75" hidden="false" customHeight="true" outlineLevel="0" collapsed="false">
      <c r="B13" s="4" t="s">
        <v>16</v>
      </c>
      <c r="C13" s="5" t="s">
        <v>17</v>
      </c>
    </row>
    <row r="14" customFormat="false" ht="21.75" hidden="false" customHeight="true" outlineLevel="0" collapsed="false">
      <c r="B14" s="4" t="s">
        <v>18</v>
      </c>
      <c r="C14" s="5" t="s">
        <v>19</v>
      </c>
    </row>
    <row r="15" customFormat="false" ht="21.75" hidden="false" customHeight="true" outlineLevel="0" collapsed="false">
      <c r="B15" s="4" t="s">
        <v>20</v>
      </c>
      <c r="C15" s="5" t="s">
        <v>21</v>
      </c>
    </row>
    <row r="16" customFormat="false" ht="21.75" hidden="false" customHeight="true" outlineLevel="0" collapsed="false">
      <c r="B16" s="4" t="s">
        <v>22</v>
      </c>
      <c r="C16" s="5" t="s">
        <v>23</v>
      </c>
    </row>
    <row r="17" customFormat="false" ht="21.75" hidden="false" customHeight="true" outlineLevel="0" collapsed="false">
      <c r="B17" s="4" t="s">
        <v>24</v>
      </c>
      <c r="C17" s="5" t="s">
        <v>25</v>
      </c>
    </row>
    <row r="18" customFormat="false" ht="21.75" hidden="false" customHeight="true" outlineLevel="0" collapsed="false">
      <c r="B18" s="6" t="s">
        <v>26</v>
      </c>
      <c r="C18" s="7" t="str">
        <f aca="false">C13 &amp; " | " &amp; C14</f>
        <v>Cost Assessment of the Contractor's Proposal - TSE Irrigation Storage Tanks (RFP-027) - Rev 02 | 30-Sep-2026</v>
      </c>
    </row>
    <row r="19" customFormat="false" ht="21.75" hidden="false" customHeight="true" outlineLevel="0" collapsed="false">
      <c r="B19" s="6" t="s">
        <v>27</v>
      </c>
      <c r="C19" s="7" t="str">
        <f aca="false">"Reference: " &amp; C15</f>
        <v>Reference: RFP-027 / SAMACO-RRFP-000001</v>
      </c>
    </row>
    <row r="20" customFormat="false" ht="21.75" hidden="false" customHeight="true" outlineLevel="0" collapsed="false">
      <c r="B20" s="6" t="s">
        <v>28</v>
      </c>
      <c r="C20" s="7"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2.22"/>
    <col collapsed="false" customWidth="true" hidden="false" outlineLevel="0" max="2" min="2" style="1" width="11.22"/>
    <col collapsed="false" customWidth="true" hidden="false" outlineLevel="0" max="3" min="3" style="1" width="9.56"/>
    <col collapsed="false" customWidth="true" hidden="false" outlineLevel="0" max="4" min="4" style="1" width="11.56"/>
    <col collapsed="false" customWidth="true" hidden="false" outlineLevel="0" max="5" min="5" style="1" width="11.44"/>
    <col collapsed="false" customWidth="true" hidden="false" outlineLevel="0" max="6" min="6" style="1" width="8.78"/>
    <col collapsed="false" customWidth="true" hidden="false" outlineLevel="0" max="7" min="7" style="1" width="14.56"/>
    <col collapsed="false" customWidth="true" hidden="false" outlineLevel="0" max="8" min="8" style="1" width="14.21"/>
    <col collapsed="false" customWidth="true" hidden="false" outlineLevel="0" max="9" min="9" style="1"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52"/>
    <col collapsed="false" customWidth="true" hidden="false" outlineLevel="0" max="3" min="3" style="8" width="7"/>
    <col collapsed="false" customWidth="true" hidden="false" outlineLevel="0" max="4" min="4" style="8" width="9"/>
    <col collapsed="false" customWidth="true" hidden="false" outlineLevel="0" max="5" min="5" style="8" width="13"/>
    <col collapsed="false" customWidth="true" hidden="false" outlineLevel="0" max="6" min="6" style="8" width="15"/>
    <col collapsed="false" customWidth="true" hidden="false" outlineLevel="0" max="7" min="7" style="8" width="30"/>
    <col collapsed="false" customWidth="true" hidden="false" outlineLevel="0" max="8" min="8" style="8" width="7"/>
    <col collapsed="false" customWidth="true" hidden="false" outlineLevel="0" max="9" min="9" style="8" width="9"/>
    <col collapsed="false" customWidth="true" hidden="false" outlineLevel="0" max="10" min="10" style="8" width="13"/>
    <col collapsed="false" customWidth="true" hidden="false" outlineLevel="0" max="11" min="11" style="8" width="15"/>
    <col collapsed="false" customWidth="true" hidden="false" outlineLevel="0" max="12" min="12" style="8" width="52"/>
    <col collapsed="false" customWidth="true" hidden="false" outlineLevel="0" max="13" min="13" style="8" width="14"/>
    <col collapsed="false" customWidth="true" hidden="false" outlineLevel="0" max="14" min="14" style="8" width="20"/>
    <col collapsed="false" customWidth="true" hidden="false" outlineLevel="0" max="15" min="15" style="8" width="15"/>
    <col collapsed="false" customWidth="true" hidden="false" outlineLevel="0" max="16" min="16" style="8" width="10"/>
  </cols>
  <sheetData>
    <row r="1" customFormat="false" ht="25.5" hidden="false" customHeight="true" outlineLevel="0" collapsed="false">
      <c r="A1" s="9" t="s">
        <v>29</v>
      </c>
    </row>
    <row r="2" customFormat="false" ht="17.25" hidden="false" customHeight="true" outlineLevel="0" collapsed="false">
      <c r="A2" s="10" t="s">
        <v>30</v>
      </c>
    </row>
    <row r="3" customFormat="false" ht="14.25" hidden="false" customHeight="true" outlineLevel="0" collapsed="false">
      <c r="A3" s="11" t="s">
        <v>31</v>
      </c>
    </row>
    <row r="4" customFormat="false" ht="57" hidden="false" customHeight="true" outlineLevel="0" collapsed="false">
      <c r="A4" s="12"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7,164,767.68,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2"/>
      <c r="C4" s="12"/>
      <c r="D4" s="12"/>
      <c r="E4" s="12"/>
      <c r="F4" s="12"/>
      <c r="G4" s="12"/>
      <c r="H4" s="12"/>
      <c r="I4" s="12"/>
      <c r="J4" s="12"/>
      <c r="K4" s="12"/>
      <c r="L4" s="12"/>
      <c r="M4" s="12"/>
      <c r="N4" s="12"/>
      <c r="O4" s="12"/>
      <c r="P4" s="12"/>
    </row>
    <row r="5" customFormat="false" ht="33" hidden="false" customHeight="true" outlineLevel="0" collapsed="false">
      <c r="C5" s="13" t="s">
        <v>32</v>
      </c>
      <c r="D5" s="13"/>
      <c r="E5" s="13"/>
      <c r="F5" s="13"/>
      <c r="G5" s="13"/>
      <c r="H5" s="13" t="s">
        <v>33</v>
      </c>
      <c r="I5" s="13"/>
      <c r="J5" s="13"/>
      <c r="K5" s="13"/>
      <c r="L5" s="13"/>
      <c r="M5" s="13"/>
      <c r="N5" s="13"/>
      <c r="O5" s="13" t="s">
        <v>34</v>
      </c>
      <c r="P5" s="13"/>
    </row>
    <row r="6" customFormat="false" ht="31.5" hidden="false" customHeight="true" outlineLevel="0" collapsed="false">
      <c r="A6" s="14" t="s">
        <v>35</v>
      </c>
      <c r="B6" s="14" t="s">
        <v>36</v>
      </c>
      <c r="C6" s="14" t="s">
        <v>37</v>
      </c>
      <c r="D6" s="14" t="s">
        <v>38</v>
      </c>
      <c r="E6" s="14" t="s">
        <v>39</v>
      </c>
      <c r="F6" s="14" t="s">
        <v>40</v>
      </c>
      <c r="G6" s="14" t="s">
        <v>41</v>
      </c>
      <c r="H6" s="14" t="s">
        <v>37</v>
      </c>
      <c r="I6" s="14" t="s">
        <v>38</v>
      </c>
      <c r="J6" s="14" t="s">
        <v>39</v>
      </c>
      <c r="K6" s="15" t="s">
        <v>40</v>
      </c>
      <c r="L6" s="14" t="s">
        <v>42</v>
      </c>
      <c r="M6" s="14" t="s">
        <v>43</v>
      </c>
      <c r="N6" s="14" t="s">
        <v>44</v>
      </c>
      <c r="O6" s="14" t="s">
        <v>45</v>
      </c>
      <c r="P6" s="14" t="s">
        <v>46</v>
      </c>
    </row>
    <row r="7" customFormat="false" ht="21" hidden="false" customHeight="true" outlineLevel="0" collapsed="false">
      <c r="A7" s="16" t="s">
        <v>47</v>
      </c>
      <c r="B7" s="16"/>
      <c r="C7" s="16"/>
      <c r="D7" s="16"/>
      <c r="E7" s="16"/>
      <c r="F7" s="16"/>
      <c r="G7" s="16"/>
      <c r="H7" s="16"/>
      <c r="I7" s="16"/>
      <c r="J7" s="16"/>
      <c r="K7" s="16"/>
      <c r="L7" s="16"/>
      <c r="M7" s="16"/>
      <c r="N7" s="16"/>
      <c r="O7" s="16"/>
      <c r="P7" s="16"/>
    </row>
    <row r="8" customFormat="false" ht="115.5" hidden="false" customHeight="true" outlineLevel="0" collapsed="false">
      <c r="A8" s="17" t="n">
        <v>1</v>
      </c>
      <c r="B8" s="18" t="s">
        <v>48</v>
      </c>
      <c r="C8" s="19" t="s">
        <v>49</v>
      </c>
      <c r="D8" s="20" t="n">
        <v>1</v>
      </c>
      <c r="E8" s="20" t="n">
        <v>680000</v>
      </c>
      <c r="F8" s="20" t="n">
        <v>680000</v>
      </c>
      <c r="G8" s="21" t="s">
        <v>50</v>
      </c>
      <c r="H8" s="19" t="s">
        <v>49</v>
      </c>
      <c r="I8" s="20" t="n">
        <v>1</v>
      </c>
      <c r="J8" s="22" t="n">
        <f aca="false">'Build-Up'!$F$32</f>
        <v>345035.07</v>
      </c>
      <c r="K8" s="23" t="n">
        <f aca="false">I8*J8</f>
        <v>345035.07</v>
      </c>
      <c r="L8" s="21" t="s">
        <v>51</v>
      </c>
      <c r="M8" s="24" t="s">
        <v>52</v>
      </c>
      <c r="N8" s="24" t="s">
        <v>53</v>
      </c>
      <c r="O8" s="20" t="n">
        <f aca="false">F8-K8</f>
        <v>334964.93</v>
      </c>
      <c r="P8" s="25" t="n">
        <f aca="false">IF(K8=0,"",(F8-K8)/K8)</f>
        <v>0.970814155210367</v>
      </c>
    </row>
    <row r="9" customFormat="false" ht="21" hidden="false" customHeight="true" outlineLevel="0" collapsed="false">
      <c r="A9" s="16" t="s">
        <v>54</v>
      </c>
      <c r="B9" s="16"/>
      <c r="C9" s="16"/>
      <c r="D9" s="16"/>
      <c r="E9" s="16"/>
      <c r="F9" s="16"/>
      <c r="G9" s="16"/>
      <c r="H9" s="16"/>
      <c r="I9" s="16"/>
      <c r="J9" s="16"/>
      <c r="K9" s="16"/>
      <c r="L9" s="16"/>
      <c r="M9" s="16"/>
      <c r="N9" s="16"/>
      <c r="O9" s="16"/>
      <c r="P9" s="16"/>
    </row>
    <row r="10" customFormat="false" ht="39.75" hidden="false" customHeight="true" outlineLevel="0" collapsed="false">
      <c r="A10" s="17" t="n">
        <v>2</v>
      </c>
      <c r="B10" s="18" t="s">
        <v>55</v>
      </c>
      <c r="C10" s="19" t="s">
        <v>49</v>
      </c>
      <c r="D10" s="20" t="n">
        <v>1</v>
      </c>
      <c r="E10" s="20" t="n">
        <v>85000</v>
      </c>
      <c r="F10" s="20" t="n">
        <v>85000</v>
      </c>
      <c r="G10" s="21" t="s">
        <v>56</v>
      </c>
      <c r="H10" s="19" t="s">
        <v>49</v>
      </c>
      <c r="I10" s="20" t="n">
        <v>1</v>
      </c>
      <c r="J10" s="22" t="n">
        <f aca="false">'Build-Up'!$F$42</f>
        <v>67500</v>
      </c>
      <c r="K10" s="23" t="n">
        <f aca="false">I10*J10</f>
        <v>67500</v>
      </c>
      <c r="L10" s="21" t="s">
        <v>57</v>
      </c>
      <c r="M10" s="24" t="s">
        <v>52</v>
      </c>
      <c r="N10" s="24" t="s">
        <v>53</v>
      </c>
      <c r="O10" s="20" t="n">
        <f aca="false">F10-K10</f>
        <v>17500</v>
      </c>
      <c r="P10" s="25" t="n">
        <f aca="false">IF(K10=0,"",(F10-K10)/K10)</f>
        <v>0.259259259259259</v>
      </c>
    </row>
    <row r="11" customFormat="false" ht="21" hidden="false" customHeight="true" outlineLevel="0" collapsed="false">
      <c r="A11" s="16" t="s">
        <v>58</v>
      </c>
      <c r="B11" s="16"/>
      <c r="C11" s="16"/>
      <c r="D11" s="16"/>
      <c r="E11" s="16"/>
      <c r="F11" s="16"/>
      <c r="G11" s="16"/>
      <c r="H11" s="16"/>
      <c r="I11" s="16"/>
      <c r="J11" s="16"/>
      <c r="K11" s="16"/>
      <c r="L11" s="16"/>
      <c r="M11" s="16"/>
      <c r="N11" s="16"/>
      <c r="O11" s="16"/>
      <c r="P11" s="16"/>
    </row>
    <row r="12" customFormat="false" ht="80.25" hidden="false" customHeight="true" outlineLevel="0" collapsed="false">
      <c r="A12" s="17" t="n">
        <v>3</v>
      </c>
      <c r="B12" s="18" t="s">
        <v>59</v>
      </c>
      <c r="C12" s="19" t="s">
        <v>60</v>
      </c>
      <c r="D12" s="20" t="n">
        <v>1</v>
      </c>
      <c r="E12" s="20" t="n">
        <v>71000</v>
      </c>
      <c r="F12" s="20" t="n">
        <v>71000</v>
      </c>
      <c r="G12" s="21" t="s">
        <v>61</v>
      </c>
      <c r="H12" s="19" t="s">
        <v>60</v>
      </c>
      <c r="I12" s="20" t="n">
        <v>1</v>
      </c>
      <c r="J12" s="22" t="n">
        <f aca="false">'Build-Up'!$F$48</f>
        <v>71000</v>
      </c>
      <c r="K12" s="23" t="n">
        <f aca="false">I12*J12</f>
        <v>71000</v>
      </c>
      <c r="L12" s="21" t="s">
        <v>62</v>
      </c>
      <c r="M12" s="24" t="s">
        <v>63</v>
      </c>
      <c r="N12" s="24" t="s">
        <v>64</v>
      </c>
      <c r="O12" s="20" t="n">
        <f aca="false">F12-K12</f>
        <v>0</v>
      </c>
      <c r="P12" s="25" t="n">
        <f aca="false">IF(K12=0,"",(F12-K12)/K12)</f>
        <v>0</v>
      </c>
    </row>
    <row r="13" customFormat="false" ht="67.5" hidden="false" customHeight="true" outlineLevel="0" collapsed="false">
      <c r="A13" s="17" t="n">
        <v>4</v>
      </c>
      <c r="B13" s="18" t="s">
        <v>65</v>
      </c>
      <c r="C13" s="19" t="s">
        <v>49</v>
      </c>
      <c r="D13" s="20" t="n">
        <v>1</v>
      </c>
      <c r="E13" s="20" t="n">
        <v>10500</v>
      </c>
      <c r="F13" s="20" t="n">
        <v>10500</v>
      </c>
      <c r="G13" s="21" t="s">
        <v>56</v>
      </c>
      <c r="H13" s="19" t="s">
        <v>49</v>
      </c>
      <c r="I13" s="20" t="n">
        <v>1</v>
      </c>
      <c r="J13" s="22" t="n">
        <f aca="false">'Build-Up'!$F$70</f>
        <v>6300</v>
      </c>
      <c r="K13" s="23" t="n">
        <f aca="false">I13*J13</f>
        <v>6300</v>
      </c>
      <c r="L13" s="21" t="s">
        <v>66</v>
      </c>
      <c r="M13" s="24" t="s">
        <v>52</v>
      </c>
      <c r="N13" s="24" t="s">
        <v>67</v>
      </c>
      <c r="O13" s="20" t="n">
        <f aca="false">F13-K13</f>
        <v>4200</v>
      </c>
      <c r="P13" s="25" t="n">
        <f aca="false">IF(K13=0,"",(F13-K13)/K13)</f>
        <v>0.666666666666667</v>
      </c>
    </row>
    <row r="14" customFormat="false" ht="132" hidden="false" customHeight="true" outlineLevel="0" collapsed="false">
      <c r="A14" s="17" t="n">
        <v>5</v>
      </c>
      <c r="B14" s="18" t="s">
        <v>68</v>
      </c>
      <c r="C14" s="19" t="s">
        <v>60</v>
      </c>
      <c r="D14" s="20" t="n">
        <v>1</v>
      </c>
      <c r="E14" s="20" t="n">
        <v>504192.02</v>
      </c>
      <c r="F14" s="20" t="n">
        <v>504192.02</v>
      </c>
      <c r="G14" s="21" t="s">
        <v>50</v>
      </c>
      <c r="H14" s="19" t="s">
        <v>60</v>
      </c>
      <c r="I14" s="20" t="n">
        <v>1</v>
      </c>
      <c r="J14" s="22" t="n">
        <f aca="false">'Build-Up'!$F$91</f>
        <v>398698.2</v>
      </c>
      <c r="K14" s="23" t="n">
        <f aca="false">I14*J14</f>
        <v>398698.2</v>
      </c>
      <c r="L14" s="21" t="s">
        <v>69</v>
      </c>
      <c r="M14" s="24" t="s">
        <v>52</v>
      </c>
      <c r="N14" s="24" t="s">
        <v>53</v>
      </c>
      <c r="O14" s="20" t="n">
        <f aca="false">F14-K14</f>
        <v>105493.82</v>
      </c>
      <c r="P14" s="25" t="n">
        <f aca="false">IF(K14=0,"",(F14-K14)/K14)</f>
        <v>0.264595676629591</v>
      </c>
    </row>
    <row r="15" customFormat="false" ht="21" hidden="false" customHeight="true" outlineLevel="0" collapsed="false">
      <c r="A15" s="16" t="s">
        <v>70</v>
      </c>
      <c r="B15" s="16"/>
      <c r="C15" s="16"/>
      <c r="D15" s="16"/>
      <c r="E15" s="16"/>
      <c r="F15" s="16"/>
      <c r="G15" s="16"/>
      <c r="H15" s="16"/>
      <c r="I15" s="16"/>
      <c r="J15" s="16"/>
      <c r="K15" s="16"/>
      <c r="L15" s="16"/>
      <c r="M15" s="16"/>
      <c r="N15" s="16"/>
      <c r="O15" s="16"/>
      <c r="P15" s="16"/>
    </row>
    <row r="16" customFormat="false" ht="93" hidden="false" customHeight="true" outlineLevel="0" collapsed="false">
      <c r="A16" s="17" t="n">
        <v>6</v>
      </c>
      <c r="B16" s="18" t="s">
        <v>71</v>
      </c>
      <c r="C16" s="19" t="s">
        <v>72</v>
      </c>
      <c r="D16" s="20" t="n">
        <v>2</v>
      </c>
      <c r="E16" s="20" t="n">
        <v>2763500</v>
      </c>
      <c r="F16" s="20" t="n">
        <v>5527000</v>
      </c>
      <c r="G16" s="21" t="s">
        <v>73</v>
      </c>
      <c r="H16" s="19" t="s">
        <v>72</v>
      </c>
      <c r="I16" s="20" t="n">
        <v>2</v>
      </c>
      <c r="J16" s="22" t="n">
        <f aca="false">'Build-Up'!$F$97</f>
        <v>2763500</v>
      </c>
      <c r="K16" s="23" t="n">
        <f aca="false">I16*J16</f>
        <v>5527000</v>
      </c>
      <c r="L16" s="21" t="s">
        <v>74</v>
      </c>
      <c r="M16" s="24" t="s">
        <v>63</v>
      </c>
      <c r="N16" s="24" t="s">
        <v>75</v>
      </c>
      <c r="O16" s="20" t="n">
        <f aca="false">F16-K16</f>
        <v>0</v>
      </c>
      <c r="P16" s="25" t="n">
        <f aca="false">IF(K16=0,"",(F16-K16)/K16)</f>
        <v>0</v>
      </c>
    </row>
    <row r="17" customFormat="false" ht="221.25" hidden="false" customHeight="true" outlineLevel="0" collapsed="false">
      <c r="A17" s="17" t="n">
        <v>7</v>
      </c>
      <c r="B17" s="18" t="s">
        <v>76</v>
      </c>
      <c r="C17" s="19" t="s">
        <v>60</v>
      </c>
      <c r="D17" s="20" t="n">
        <v>2</v>
      </c>
      <c r="E17" s="20" t="n">
        <v>213200</v>
      </c>
      <c r="F17" s="20" t="n">
        <v>426400</v>
      </c>
      <c r="G17" s="21" t="s">
        <v>50</v>
      </c>
      <c r="H17" s="19" t="s">
        <v>60</v>
      </c>
      <c r="I17" s="20" t="n">
        <v>2</v>
      </c>
      <c r="J17" s="22" t="n">
        <f aca="false">'Build-Up'!$F$129</f>
        <v>79537.5</v>
      </c>
      <c r="K17" s="23" t="n">
        <f aca="false">I17*J17</f>
        <v>159075</v>
      </c>
      <c r="L17" s="21" t="s">
        <v>77</v>
      </c>
      <c r="M17" s="24" t="s">
        <v>52</v>
      </c>
      <c r="N17" s="24" t="s">
        <v>78</v>
      </c>
      <c r="O17" s="20" t="n">
        <f aca="false">F17-K17</f>
        <v>267325</v>
      </c>
      <c r="P17" s="25" t="n">
        <f aca="false">IF(K17=0,"",(F17-K17)/K17)</f>
        <v>1.68049662109068</v>
      </c>
    </row>
    <row r="18" customFormat="false" ht="80.25" hidden="false" customHeight="true" outlineLevel="0" collapsed="false">
      <c r="A18" s="17" t="n">
        <v>8</v>
      </c>
      <c r="B18" s="18" t="s">
        <v>79</v>
      </c>
      <c r="C18" s="19" t="s">
        <v>49</v>
      </c>
      <c r="D18" s="20" t="n">
        <v>1</v>
      </c>
      <c r="E18" s="20" t="n">
        <v>420000</v>
      </c>
      <c r="F18" s="20" t="n">
        <v>420000</v>
      </c>
      <c r="G18" s="21" t="s">
        <v>50</v>
      </c>
      <c r="H18" s="19" t="s">
        <v>49</v>
      </c>
      <c r="I18" s="20" t="n">
        <v>1</v>
      </c>
      <c r="J18" s="22" t="n">
        <f aca="false">'Build-Up'!$F$155</f>
        <v>248980</v>
      </c>
      <c r="K18" s="23" t="n">
        <f aca="false">I18*J18</f>
        <v>248980</v>
      </c>
      <c r="L18" s="21" t="s">
        <v>80</v>
      </c>
      <c r="M18" s="24" t="s">
        <v>52</v>
      </c>
      <c r="N18" s="24" t="s">
        <v>81</v>
      </c>
      <c r="O18" s="20" t="n">
        <f aca="false">F18-K18</f>
        <v>171020</v>
      </c>
      <c r="P18" s="25" t="n">
        <f aca="false">IF(K18=0,"",(F18-K18)/K18)</f>
        <v>0.686882480520524</v>
      </c>
    </row>
    <row r="19" customFormat="false" ht="21.75" hidden="false" customHeight="true" outlineLevel="0" collapsed="false">
      <c r="A19" s="26"/>
      <c r="B19" s="26" t="s">
        <v>82</v>
      </c>
      <c r="C19" s="26"/>
      <c r="D19" s="26"/>
      <c r="E19" s="26"/>
      <c r="F19" s="27" t="n">
        <f aca="false">SUM(F8:F18)</f>
        <v>7724092.02</v>
      </c>
      <c r="G19" s="26"/>
      <c r="H19" s="26"/>
      <c r="I19" s="26"/>
      <c r="J19" s="26"/>
      <c r="K19" s="28" t="n">
        <f aca="false">SUM(K8:K18)</f>
        <v>6823588.27</v>
      </c>
      <c r="L19" s="26"/>
      <c r="M19" s="26"/>
      <c r="N19" s="26"/>
      <c r="O19" s="27" t="n">
        <f aca="false">F19-K19</f>
        <v>900503.75</v>
      </c>
      <c r="P19" s="29" t="n">
        <f aca="false">IF(K19=0,"",(F19-K19)/K19)</f>
        <v>0.131969238818098</v>
      </c>
    </row>
    <row r="20" customFormat="false" ht="84" hidden="false" customHeight="true" outlineLevel="0" collapsed="false">
      <c r="A20" s="30"/>
      <c r="B20" s="30" t="s">
        <v>83</v>
      </c>
      <c r="C20" s="30"/>
      <c r="D20" s="30"/>
      <c r="E20" s="30"/>
      <c r="F20" s="31" t="n">
        <v>386204.6</v>
      </c>
      <c r="G20" s="30"/>
      <c r="H20" s="30"/>
      <c r="I20" s="30"/>
      <c r="J20" s="30"/>
      <c r="K20" s="32" t="n">
        <f aca="false">ROUND(K19*0.05,2)</f>
        <v>341179.41</v>
      </c>
      <c r="L20" s="33" t="s">
        <v>84</v>
      </c>
      <c r="M20" s="30"/>
      <c r="N20" s="30"/>
      <c r="O20" s="31" t="n">
        <f aca="false">F20-K20</f>
        <v>45025.19</v>
      </c>
      <c r="P20" s="34" t="n">
        <f aca="false">IF(K20=0,"",(F20-K20)/K20)</f>
        <v>0.131969247499431</v>
      </c>
    </row>
    <row r="21" customFormat="false" ht="21.75" hidden="false" customHeight="true" outlineLevel="0" collapsed="false">
      <c r="A21" s="26"/>
      <c r="B21" s="26" t="s">
        <v>85</v>
      </c>
      <c r="C21" s="26"/>
      <c r="D21" s="26"/>
      <c r="E21" s="26"/>
      <c r="F21" s="27" t="n">
        <f aca="false">F19+F20</f>
        <v>8110296.62</v>
      </c>
      <c r="G21" s="26"/>
      <c r="H21" s="26"/>
      <c r="I21" s="26"/>
      <c r="J21" s="26"/>
      <c r="K21" s="35" t="n">
        <f aca="false">K19+K20</f>
        <v>7164767.68</v>
      </c>
      <c r="L21" s="26"/>
      <c r="M21" s="26"/>
      <c r="N21" s="26"/>
      <c r="O21" s="27" t="n">
        <f aca="false">F21-K21</f>
        <v>945528.94</v>
      </c>
      <c r="P21" s="29" t="n">
        <f aca="false">IF(K21=0,"",(F21-K21)/K21)</f>
        <v>0.131969239231494</v>
      </c>
    </row>
    <row r="22" customFormat="false" ht="51.75" hidden="false" customHeight="true" outlineLevel="0" collapsed="false">
      <c r="A22" s="36" t="s">
        <v>86</v>
      </c>
      <c r="B22" s="36"/>
      <c r="C22" s="36"/>
      <c r="D22" s="36"/>
      <c r="E22" s="36"/>
      <c r="F22" s="36"/>
      <c r="G22" s="36"/>
      <c r="H22" s="36"/>
      <c r="I22" s="36"/>
      <c r="J22" s="36"/>
      <c r="K22" s="36"/>
      <c r="L22" s="36"/>
      <c r="M22" s="36"/>
      <c r="N22" s="36"/>
      <c r="O22" s="36"/>
      <c r="P22" s="36"/>
    </row>
    <row r="23" customFormat="false" ht="51.75" hidden="false" customHeight="true" outlineLevel="0" collapsed="false">
      <c r="A23" s="37" t="s">
        <v>87</v>
      </c>
      <c r="B23" s="37"/>
      <c r="C23" s="37"/>
      <c r="D23" s="37"/>
      <c r="E23" s="37"/>
      <c r="F23" s="37"/>
      <c r="G23" s="37"/>
      <c r="H23" s="37"/>
      <c r="I23" s="37"/>
      <c r="J23" s="37"/>
      <c r="K23" s="37"/>
      <c r="L23" s="37"/>
      <c r="M23" s="37"/>
      <c r="N23" s="37"/>
      <c r="O23" s="37"/>
      <c r="P23" s="37"/>
    </row>
    <row r="24" customFormat="false" ht="102" hidden="false" customHeight="true" outlineLevel="0" collapsed="false">
      <c r="A24" s="12" t="str">
        <f aca="false">"Changes from Rev 01 dated 17-Sep-2026 (SAR 6,921,685.64): time periods taken from the Contractor's programme instead of an assumed 3 months (Items 1 and 5), with two working days for the laboratory results before the integrated commissionin"&amp;"g (Item 7); helpers from the approved manpower histogram, priced once at the general labour rate of SAR 150 a working day (Item 5); testing re-sequenced to the Engineer's one-fill basis with staff reconciled to it (Item 7); lines within the"&amp;" supplier's scope or not required removed (5.12, 7.4, 7.12) and 5.13 re-scoped as the Contractor's storage and handling consumables, on the supplier scope as described ('Build-Up' Assumption 9); PPE, survey and document control increased (1"&amp;".18, 2.3, 2.4); two watchmen (1.13); insurance calculated at its stated 0.2 per cent (1.17); method statements and plans (2.5), packaging and waste removal (5.16), Tank 1 operating fill, spray disinfection and interior cleaning (7.24, 7.25,"&amp;" 7.26) added; scaffold measured on its face to the guardrail (5.3); welfare generator re-rated for 24-hour fuel at the 2026 diesel price (5.8); tankered water at the assessed local haulage rate (7.1, 7.5, 7.24, 8.17); identification tags to"&amp;" their stated basis (8.21); Item 8 priced to the RFP specification with the Contractor's materials shown alongside. Net effect: SAR " &amp; TEXT(K21-6921685.64,"#,##0.00;-#,##0.00") &amp; " (" &amp; TEXT((K21-6921685.64)/6921685.64,"0.0%;-0.0%") &amp; ")."</f>
        <v>Changes from Rev 01 dated 17-Sep-2026 (SAR 6,921,685.64): time periods taken from the Contractor's programme instead of an assumed 3 months (Items 1 and 5), with two working days for the laboratory results before the integrated commissioning (Item 7); helpers from the approved manpower histogram, priced once at the general labour rate of SAR 150 a working day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two watchmen (1.13); insurance calculated at its stated 0.2 per cent (1.17); method statements and plans (2.5), packaging and waste removal (5.16), Tank 1 operating fill, spray disinfection and interior cleaning (7.24, 7.25, 7.26) added; scaffold measured on its face to the guardrail (5.3); welfare generator re-rated for 24-hour fuel at the 2026 diesel price (5.8); tankered water at the assessed local haulage rate (7.1, 7.5, 7.24, 8.17); identification tags to their stated basis (8.21); Item 8 priced to the RFP specification with the Contractor's materials shown alongside. Net effect: SAR 243,082.04 (3.5%).</v>
      </c>
      <c r="B24" s="12"/>
      <c r="C24" s="12"/>
      <c r="D24" s="12"/>
      <c r="E24" s="12"/>
      <c r="F24" s="12"/>
      <c r="G24" s="12"/>
      <c r="H24" s="12"/>
      <c r="I24" s="12"/>
      <c r="J24" s="12"/>
      <c r="K24" s="12"/>
      <c r="L24" s="12"/>
      <c r="M24" s="12"/>
      <c r="N24" s="12"/>
      <c r="O24" s="12"/>
      <c r="P24" s="12"/>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display="#'Build-Up'.A6"/>
    <hyperlink ref="J8" location="'Build-Up'!B32" display="#'Build-Up'.B32"/>
    <hyperlink ref="A10" location="'Build-Up'!A34" display="#'Build-Up'.A34"/>
    <hyperlink ref="J10" location="'Build-Up'!B42" display="#'Build-Up'.B42"/>
    <hyperlink ref="A12" location="'Build-Up'!A44" display="#'Build-Up'.A44"/>
    <hyperlink ref="J12" location="'Build-Up'!B48" display="#'Build-Up'.B48"/>
    <hyperlink ref="A13" location="'Build-Up'!A66" display="#'Build-Up'.A66"/>
    <hyperlink ref="J13" location="'Build-Up'!B70" display="#'Build-Up'.B70"/>
    <hyperlink ref="A14" location="'Build-Up'!A72" display="#'Build-Up'.A72"/>
    <hyperlink ref="J14" location="'Build-Up'!B91" display="#'Build-Up'.B91"/>
    <hyperlink ref="A16" location="'Build-Up'!A93" display="#'Build-Up'.A93"/>
    <hyperlink ref="J16" location="'Build-Up'!B97" display="#'Build-Up'.B97"/>
    <hyperlink ref="A17" location="'Build-Up'!A99" display="#'Build-Up'.A99"/>
    <hyperlink ref="J17" location="'Build-Up'!B129" display="#'Build-Up'.B129"/>
    <hyperlink ref="A18" location="'Build-Up'!A131" display="#'Build-Up'.A131"/>
    <hyperlink ref="J18" location="'Build-Up'!B155" display="#'Build-Up'.B155"/>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71875" defaultRowHeight="14.25" zeroHeight="false" outlineLevelRow="0" outlineLevelCol="0"/>
  <cols>
    <col collapsed="false" customWidth="true" hidden="false" outlineLevel="0" max="1" min="1" style="8" width="7"/>
    <col collapsed="false" customWidth="true" hidden="false" outlineLevel="0" max="2" min="2" style="8" width="58"/>
    <col collapsed="false" customWidth="true" hidden="false" outlineLevel="0" max="3" min="3" style="8" width="12"/>
    <col collapsed="false" customWidth="true" hidden="false" outlineLevel="0" max="4" min="4" style="8" width="10"/>
    <col collapsed="false" customWidth="true" hidden="false" outlineLevel="0" max="5" min="5" style="8" width="13"/>
    <col collapsed="false" customWidth="true" hidden="false" outlineLevel="0" max="6" min="6" style="8" width="15"/>
    <col collapsed="false" customWidth="true" hidden="false" outlineLevel="0" max="7" min="7" style="8" width="52"/>
  </cols>
  <sheetData>
    <row r="1" customFormat="false" ht="25.5" hidden="false" customHeight="true" outlineLevel="0" collapsed="false">
      <c r="A1" s="9" t="s">
        <v>88</v>
      </c>
    </row>
    <row r="2" customFormat="false" ht="17.25" hidden="false" customHeight="true" outlineLevel="0" collapsed="false">
      <c r="A2" s="10" t="s">
        <v>30</v>
      </c>
    </row>
    <row r="3" customFormat="false" ht="14.25" hidden="false" customHeight="true" outlineLevel="0" collapsed="false">
      <c r="A3" s="11" t="s">
        <v>31</v>
      </c>
    </row>
    <row r="4" customFormat="false" ht="63" hidden="false" customHeight="true" outlineLevel="0" collapsed="false">
      <c r="A4" s="36" t="s">
        <v>89</v>
      </c>
      <c r="B4" s="36"/>
      <c r="C4" s="36"/>
      <c r="D4" s="36"/>
      <c r="E4" s="36"/>
      <c r="F4" s="36"/>
      <c r="G4" s="36"/>
    </row>
    <row r="5" customFormat="false" ht="15" hidden="false" customHeight="true" outlineLevel="0" collapsed="false">
      <c r="B5" s="38" t="s">
        <v>90</v>
      </c>
      <c r="G5" s="38" t="s">
        <v>91</v>
      </c>
    </row>
    <row r="6" customFormat="false" ht="21" hidden="false" customHeight="true" outlineLevel="0" collapsed="false">
      <c r="A6" s="16" t="s">
        <v>92</v>
      </c>
      <c r="B6" s="16"/>
      <c r="C6" s="16"/>
      <c r="D6" s="16"/>
      <c r="E6" s="16"/>
      <c r="F6" s="16"/>
      <c r="G6" s="16"/>
    </row>
    <row r="7" customFormat="false" ht="86.25" hidden="false" customHeight="true" outlineLevel="0" collapsed="false">
      <c r="A7" s="36" t="s">
        <v>93</v>
      </c>
      <c r="B7" s="36"/>
      <c r="C7" s="36"/>
      <c r="D7" s="36"/>
      <c r="E7" s="36"/>
      <c r="F7" s="36"/>
      <c r="G7" s="36"/>
    </row>
    <row r="8" customFormat="false" ht="24" hidden="false" customHeight="true" outlineLevel="0" collapsed="false">
      <c r="A8" s="14" t="s">
        <v>94</v>
      </c>
      <c r="B8" s="14" t="s">
        <v>36</v>
      </c>
      <c r="C8" s="14" t="s">
        <v>37</v>
      </c>
      <c r="D8" s="14" t="s">
        <v>38</v>
      </c>
      <c r="E8" s="14" t="s">
        <v>39</v>
      </c>
      <c r="F8" s="14" t="s">
        <v>40</v>
      </c>
      <c r="G8" s="14" t="s">
        <v>95</v>
      </c>
    </row>
    <row r="9" customFormat="false" ht="54.75" hidden="false" customHeight="true" outlineLevel="0" collapsed="false">
      <c r="A9" s="19" t="s">
        <v>96</v>
      </c>
      <c r="B9" s="18" t="s">
        <v>97</v>
      </c>
      <c r="C9" s="19" t="s">
        <v>98</v>
      </c>
      <c r="D9" s="22" t="n">
        <f aca="false">Programme!$G$164</f>
        <v>4.2</v>
      </c>
      <c r="E9" s="20" t="n">
        <v>12000</v>
      </c>
      <c r="F9" s="20" t="n">
        <f aca="false">D9*E9</f>
        <v>50400</v>
      </c>
      <c r="G9" s="21" t="s">
        <v>99</v>
      </c>
    </row>
    <row r="10" customFormat="false" ht="54.75" hidden="false" customHeight="true" outlineLevel="0" collapsed="false">
      <c r="A10" s="19" t="s">
        <v>100</v>
      </c>
      <c r="B10" s="18" t="s">
        <v>101</v>
      </c>
      <c r="C10" s="19" t="s">
        <v>98</v>
      </c>
      <c r="D10" s="22" t="n">
        <f aca="false">Programme!$G$165</f>
        <v>4.2</v>
      </c>
      <c r="E10" s="20" t="n">
        <v>10000</v>
      </c>
      <c r="F10" s="20" t="n">
        <f aca="false">D10*E10</f>
        <v>42000</v>
      </c>
      <c r="G10" s="21" t="s">
        <v>102</v>
      </c>
    </row>
    <row r="11" customFormat="false" ht="67.5" hidden="false" customHeight="true" outlineLevel="0" collapsed="false">
      <c r="A11" s="19" t="s">
        <v>103</v>
      </c>
      <c r="B11" s="18" t="s">
        <v>104</v>
      </c>
      <c r="C11" s="19" t="s">
        <v>98</v>
      </c>
      <c r="D11" s="22" t="n">
        <f aca="false">Programme!$G$166</f>
        <v>3.7</v>
      </c>
      <c r="E11" s="20" t="n">
        <v>10000</v>
      </c>
      <c r="F11" s="20" t="n">
        <f aca="false">D11*E11</f>
        <v>37000</v>
      </c>
      <c r="G11" s="21" t="s">
        <v>105</v>
      </c>
    </row>
    <row r="12" customFormat="false" ht="54.75" hidden="false" customHeight="true" outlineLevel="0" collapsed="false">
      <c r="A12" s="19" t="s">
        <v>106</v>
      </c>
      <c r="B12" s="18" t="s">
        <v>107</v>
      </c>
      <c r="C12" s="19" t="s">
        <v>98</v>
      </c>
      <c r="D12" s="22" t="n">
        <f aca="false">Programme!$G$167</f>
        <v>4.2</v>
      </c>
      <c r="E12" s="20" t="n">
        <v>8000</v>
      </c>
      <c r="F12" s="20" t="n">
        <f aca="false">D12*E12</f>
        <v>33600</v>
      </c>
      <c r="G12" s="21" t="s">
        <v>108</v>
      </c>
    </row>
    <row r="13" customFormat="false" ht="54.75" hidden="false" customHeight="true" outlineLevel="0" collapsed="false">
      <c r="A13" s="19" t="s">
        <v>109</v>
      </c>
      <c r="B13" s="18" t="s">
        <v>110</v>
      </c>
      <c r="C13" s="19" t="s">
        <v>98</v>
      </c>
      <c r="D13" s="22" t="n">
        <f aca="false">Programme!$G$168</f>
        <v>3.3</v>
      </c>
      <c r="E13" s="20" t="n">
        <v>4000</v>
      </c>
      <c r="F13" s="20" t="n">
        <f aca="false">D13*E13</f>
        <v>13200</v>
      </c>
      <c r="G13" s="21" t="s">
        <v>111</v>
      </c>
    </row>
    <row r="14" customFormat="false" ht="85.5" hidden="false" customHeight="true" outlineLevel="0" collapsed="false">
      <c r="A14" s="19" t="s">
        <v>112</v>
      </c>
      <c r="B14" s="18" t="s">
        <v>113</v>
      </c>
      <c r="C14" s="19" t="s">
        <v>98</v>
      </c>
      <c r="D14" s="22" t="n">
        <f aca="false">Programme!$G$169</f>
        <v>4.2</v>
      </c>
      <c r="E14" s="20" t="n">
        <v>2200</v>
      </c>
      <c r="F14" s="20" t="n">
        <f aca="false">D14*E14</f>
        <v>9240</v>
      </c>
      <c r="G14" s="21" t="s">
        <v>114</v>
      </c>
    </row>
    <row r="15" customFormat="false" ht="85.5" hidden="false" customHeight="true" outlineLevel="0" collapsed="false">
      <c r="A15" s="19" t="s">
        <v>115</v>
      </c>
      <c r="B15" s="18" t="s">
        <v>116</v>
      </c>
      <c r="C15" s="19" t="s">
        <v>98</v>
      </c>
      <c r="D15" s="22" t="n">
        <f aca="false">Programme!$G$171</f>
        <v>4.2</v>
      </c>
      <c r="E15" s="20" t="n">
        <v>2200</v>
      </c>
      <c r="F15" s="20" t="n">
        <f aca="false">D15*E15</f>
        <v>9240</v>
      </c>
      <c r="G15" s="21" t="s">
        <v>114</v>
      </c>
    </row>
    <row r="16" customFormat="false" ht="85.5" hidden="false" customHeight="true" outlineLevel="0" collapsed="false">
      <c r="A16" s="19" t="s">
        <v>117</v>
      </c>
      <c r="B16" s="18" t="s">
        <v>118</v>
      </c>
      <c r="C16" s="19" t="s">
        <v>98</v>
      </c>
      <c r="D16" s="22" t="n">
        <f aca="false">Programme!$G$172</f>
        <v>4.2</v>
      </c>
      <c r="E16" s="20" t="n">
        <v>1300</v>
      </c>
      <c r="F16" s="20" t="n">
        <f aca="false">D16*E16</f>
        <v>5460</v>
      </c>
      <c r="G16" s="21" t="s">
        <v>114</v>
      </c>
    </row>
    <row r="17" customFormat="false" ht="54.75" hidden="false" customHeight="true" outlineLevel="0" collapsed="false">
      <c r="A17" s="19" t="s">
        <v>119</v>
      </c>
      <c r="B17" s="18" t="s">
        <v>120</v>
      </c>
      <c r="C17" s="19" t="s">
        <v>121</v>
      </c>
      <c r="D17" s="22" t="n">
        <f aca="false">Programme!$G$173</f>
        <v>38</v>
      </c>
      <c r="E17" s="20" t="n">
        <v>350</v>
      </c>
      <c r="F17" s="20" t="n">
        <f aca="false">D17*E17</f>
        <v>13300</v>
      </c>
      <c r="G17" s="21" t="s">
        <v>122</v>
      </c>
    </row>
    <row r="18" customFormat="false" ht="85.5" hidden="false" customHeight="true" outlineLevel="0" collapsed="false">
      <c r="A18" s="19" t="s">
        <v>123</v>
      </c>
      <c r="B18" s="18" t="s">
        <v>124</v>
      </c>
      <c r="C18" s="19" t="s">
        <v>98</v>
      </c>
      <c r="D18" s="22" t="n">
        <f aca="false">Programme!$G$174</f>
        <v>4.2</v>
      </c>
      <c r="E18" s="20" t="n">
        <v>350</v>
      </c>
      <c r="F18" s="20" t="n">
        <f aca="false">D18*E18</f>
        <v>1470</v>
      </c>
      <c r="G18" s="21" t="s">
        <v>114</v>
      </c>
    </row>
    <row r="19" customFormat="false" ht="54.75" hidden="false" customHeight="true" outlineLevel="0" collapsed="false">
      <c r="A19" s="19" t="s">
        <v>125</v>
      </c>
      <c r="B19" s="18" t="s">
        <v>126</v>
      </c>
      <c r="C19" s="19" t="s">
        <v>127</v>
      </c>
      <c r="D19" s="22" t="n">
        <f aca="false">Programme!$G$175</f>
        <v>5.6</v>
      </c>
      <c r="E19" s="20" t="n">
        <v>1200</v>
      </c>
      <c r="F19" s="20" t="n">
        <f aca="false">D19*E19</f>
        <v>6720</v>
      </c>
      <c r="G19" s="21" t="s">
        <v>128</v>
      </c>
    </row>
    <row r="20" customFormat="false" ht="54.75" hidden="false" customHeight="true" outlineLevel="0" collapsed="false">
      <c r="A20" s="19" t="s">
        <v>129</v>
      </c>
      <c r="B20" s="18" t="s">
        <v>130</v>
      </c>
      <c r="C20" s="19" t="s">
        <v>98</v>
      </c>
      <c r="D20" s="22" t="n">
        <f aca="false">Programme!$G$176</f>
        <v>4.2</v>
      </c>
      <c r="E20" s="20" t="n">
        <v>4000</v>
      </c>
      <c r="F20" s="20" t="n">
        <f aca="false">D20*E20</f>
        <v>16800</v>
      </c>
      <c r="G20" s="21" t="s">
        <v>131</v>
      </c>
    </row>
    <row r="21" customFormat="false" ht="93" hidden="false" customHeight="true" outlineLevel="0" collapsed="false">
      <c r="A21" s="19" t="s">
        <v>132</v>
      </c>
      <c r="B21" s="18" t="s">
        <v>133</v>
      </c>
      <c r="C21" s="19" t="s">
        <v>98</v>
      </c>
      <c r="D21" s="22" t="n">
        <f aca="false">Programme!$G$177</f>
        <v>4.2</v>
      </c>
      <c r="E21" s="20" t="n">
        <v>9000</v>
      </c>
      <c r="F21" s="20" t="n">
        <f aca="false">D21*E21</f>
        <v>37800</v>
      </c>
      <c r="G21" s="21" t="s">
        <v>134</v>
      </c>
    </row>
    <row r="22" customFormat="false" ht="54.75" hidden="false" customHeight="true" outlineLevel="0" collapsed="false">
      <c r="A22" s="19" t="s">
        <v>135</v>
      </c>
      <c r="B22" s="18" t="s">
        <v>136</v>
      </c>
      <c r="C22" s="19" t="s">
        <v>137</v>
      </c>
      <c r="D22" s="20" t="n">
        <v>5</v>
      </c>
      <c r="E22" s="20" t="n">
        <v>1250</v>
      </c>
      <c r="F22" s="20" t="n">
        <f aca="false">D22*E22</f>
        <v>6250</v>
      </c>
      <c r="G22" s="21" t="s">
        <v>138</v>
      </c>
    </row>
    <row r="23" customFormat="false" ht="54.75" hidden="false" customHeight="true" outlineLevel="0" collapsed="false">
      <c r="A23" s="19" t="s">
        <v>139</v>
      </c>
      <c r="B23" s="18" t="s">
        <v>140</v>
      </c>
      <c r="C23" s="19" t="s">
        <v>137</v>
      </c>
      <c r="D23" s="20" t="n">
        <v>5</v>
      </c>
      <c r="E23" s="20" t="n">
        <v>1250</v>
      </c>
      <c r="F23" s="20" t="n">
        <f aca="false">D23*E23</f>
        <v>6250</v>
      </c>
      <c r="G23" s="21" t="s">
        <v>141</v>
      </c>
    </row>
    <row r="24" customFormat="false" ht="29.25" hidden="false" customHeight="true" outlineLevel="0" collapsed="false">
      <c r="A24" s="19" t="s">
        <v>142</v>
      </c>
      <c r="B24" s="18" t="s">
        <v>143</v>
      </c>
      <c r="C24" s="19" t="s">
        <v>144</v>
      </c>
      <c r="D24" s="20" t="n">
        <v>12</v>
      </c>
      <c r="E24" s="20" t="n">
        <v>150</v>
      </c>
      <c r="F24" s="20" t="n">
        <f aca="false">D24*E24</f>
        <v>1800</v>
      </c>
      <c r="G24" s="21" t="s">
        <v>145</v>
      </c>
    </row>
    <row r="25" customFormat="false" ht="102" hidden="false" customHeight="true" outlineLevel="0" collapsed="false">
      <c r="A25" s="19" t="s">
        <v>146</v>
      </c>
      <c r="B25" s="18" t="s">
        <v>147</v>
      </c>
      <c r="C25" s="19" t="s">
        <v>148</v>
      </c>
      <c r="D25" s="20" t="n">
        <v>1</v>
      </c>
      <c r="E25" s="20" t="n">
        <f aca="false">ROUND(0.002*1.05*(SUM(F9:F24)+SUM(F26:F31)+SUM(Assessment!K10:K18)),2)</f>
        <v>14299.51</v>
      </c>
      <c r="F25" s="20" t="n">
        <f aca="false">D25*E25</f>
        <v>14299.51</v>
      </c>
      <c r="G25" s="21" t="s">
        <v>149</v>
      </c>
    </row>
    <row r="26" customFormat="false" ht="80.25" hidden="false" customHeight="true" outlineLevel="0" collapsed="false">
      <c r="A26" s="19" t="s">
        <v>150</v>
      </c>
      <c r="B26" s="18" t="s">
        <v>151</v>
      </c>
      <c r="C26" s="19" t="s">
        <v>72</v>
      </c>
      <c r="D26" s="20" t="n">
        <v>20</v>
      </c>
      <c r="E26" s="20" t="n">
        <v>350</v>
      </c>
      <c r="F26" s="20" t="n">
        <f aca="false">D26*E26</f>
        <v>7000</v>
      </c>
      <c r="G26" s="21" t="s">
        <v>152</v>
      </c>
    </row>
    <row r="27" customFormat="false" ht="51.75" hidden="false" customHeight="true" outlineLevel="0" collapsed="false">
      <c r="A27" s="19" t="s">
        <v>153</v>
      </c>
      <c r="B27" s="18" t="s">
        <v>154</v>
      </c>
      <c r="C27" s="19" t="s">
        <v>72</v>
      </c>
      <c r="D27" s="20" t="n">
        <v>12</v>
      </c>
      <c r="E27" s="20" t="n">
        <v>150</v>
      </c>
      <c r="F27" s="20" t="n">
        <f aca="false">D27*E27</f>
        <v>1800</v>
      </c>
      <c r="G27" s="21" t="s">
        <v>155</v>
      </c>
    </row>
    <row r="28" customFormat="false" ht="54.75" hidden="false" customHeight="true" outlineLevel="0" collapsed="false">
      <c r="A28" s="19" t="s">
        <v>156</v>
      </c>
      <c r="B28" s="18" t="s">
        <v>157</v>
      </c>
      <c r="C28" s="19" t="s">
        <v>72</v>
      </c>
      <c r="D28" s="20" t="n">
        <v>12</v>
      </c>
      <c r="E28" s="20" t="n">
        <v>1479.63</v>
      </c>
      <c r="F28" s="20" t="n">
        <f aca="false">D28*E28</f>
        <v>17755.56</v>
      </c>
      <c r="G28" s="21" t="s">
        <v>158</v>
      </c>
    </row>
    <row r="29" customFormat="false" ht="54.75" hidden="false" customHeight="true" outlineLevel="0" collapsed="false">
      <c r="A29" s="19" t="s">
        <v>159</v>
      </c>
      <c r="B29" s="18" t="s">
        <v>160</v>
      </c>
      <c r="C29" s="19" t="s">
        <v>161</v>
      </c>
      <c r="D29" s="20" t="n">
        <v>100</v>
      </c>
      <c r="E29" s="20" t="n">
        <v>100</v>
      </c>
      <c r="F29" s="20" t="n">
        <f aca="false">D29*E29</f>
        <v>10000</v>
      </c>
      <c r="G29" s="21" t="s">
        <v>162</v>
      </c>
    </row>
    <row r="30" customFormat="false" ht="118.5" hidden="false" customHeight="true" outlineLevel="0" collapsed="false">
      <c r="A30" s="19" t="s">
        <v>163</v>
      </c>
      <c r="B30" s="18" t="s">
        <v>164</v>
      </c>
      <c r="C30" s="19" t="s">
        <v>165</v>
      </c>
      <c r="D30" s="20" t="n">
        <v>3</v>
      </c>
      <c r="E30" s="20" t="n">
        <v>550</v>
      </c>
      <c r="F30" s="20" t="n">
        <f aca="false">D30*E30</f>
        <v>1650</v>
      </c>
      <c r="G30" s="21" t="s">
        <v>166</v>
      </c>
    </row>
    <row r="31" customFormat="false" ht="45" hidden="false" customHeight="true" outlineLevel="0" collapsed="false">
      <c r="A31" s="19" t="s">
        <v>167</v>
      </c>
      <c r="B31" s="18" t="s">
        <v>168</v>
      </c>
      <c r="C31" s="19" t="s">
        <v>165</v>
      </c>
      <c r="D31" s="20" t="n">
        <v>4</v>
      </c>
      <c r="E31" s="20" t="n">
        <v>500</v>
      </c>
      <c r="F31" s="20" t="n">
        <f aca="false">D31*E31</f>
        <v>2000</v>
      </c>
      <c r="G31" s="21" t="s">
        <v>145</v>
      </c>
    </row>
    <row r="32" customFormat="false" ht="19.5" hidden="false" customHeight="true" outlineLevel="0" collapsed="false">
      <c r="A32" s="39"/>
      <c r="B32" s="40" t="s">
        <v>169</v>
      </c>
      <c r="C32" s="39"/>
      <c r="D32" s="39"/>
      <c r="E32" s="39"/>
      <c r="F32" s="41" t="n">
        <f aca="false">SUM(F9:F31)</f>
        <v>345035.07</v>
      </c>
      <c r="G32" s="42" t="s">
        <v>170</v>
      </c>
    </row>
    <row r="34" customFormat="false" ht="21" hidden="false" customHeight="true" outlineLevel="0" collapsed="false">
      <c r="A34" s="16" t="s">
        <v>171</v>
      </c>
      <c r="B34" s="16"/>
      <c r="C34" s="16"/>
      <c r="D34" s="16"/>
      <c r="E34" s="16"/>
      <c r="F34" s="16"/>
      <c r="G34" s="16"/>
    </row>
    <row r="35" customFormat="false" ht="28.5" hidden="false" customHeight="true" outlineLevel="0" collapsed="false">
      <c r="A35" s="36" t="s">
        <v>172</v>
      </c>
      <c r="B35" s="36"/>
      <c r="C35" s="36"/>
      <c r="D35" s="36"/>
      <c r="E35" s="36"/>
      <c r="F35" s="36"/>
      <c r="G35" s="36"/>
    </row>
    <row r="36" customFormat="false" ht="24" hidden="false" customHeight="true" outlineLevel="0" collapsed="false">
      <c r="A36" s="14" t="s">
        <v>94</v>
      </c>
      <c r="B36" s="14" t="s">
        <v>36</v>
      </c>
      <c r="C36" s="14" t="s">
        <v>37</v>
      </c>
      <c r="D36" s="14" t="s">
        <v>38</v>
      </c>
      <c r="E36" s="14" t="s">
        <v>39</v>
      </c>
      <c r="F36" s="14" t="s">
        <v>40</v>
      </c>
      <c r="G36" s="14" t="s">
        <v>95</v>
      </c>
    </row>
    <row r="37" customFormat="false" ht="170.25" hidden="false" customHeight="true" outlineLevel="0" collapsed="false">
      <c r="A37" s="19" t="s">
        <v>173</v>
      </c>
      <c r="B37" s="18" t="s">
        <v>174</v>
      </c>
      <c r="C37" s="19" t="s">
        <v>98</v>
      </c>
      <c r="D37" s="20" t="n">
        <v>2</v>
      </c>
      <c r="E37" s="20" t="n">
        <v>15000</v>
      </c>
      <c r="F37" s="20" t="n">
        <f aca="false">D37*E37</f>
        <v>30000</v>
      </c>
      <c r="G37" s="21" t="s">
        <v>175</v>
      </c>
    </row>
    <row r="38" customFormat="false" ht="54.75" hidden="false" customHeight="true" outlineLevel="0" collapsed="false">
      <c r="A38" s="19" t="s">
        <v>176</v>
      </c>
      <c r="B38" s="18" t="s">
        <v>177</v>
      </c>
      <c r="C38" s="19" t="s">
        <v>98</v>
      </c>
      <c r="D38" s="20" t="n">
        <v>1.5</v>
      </c>
      <c r="E38" s="20" t="n">
        <v>8000</v>
      </c>
      <c r="F38" s="20" t="n">
        <f aca="false">D38*E38</f>
        <v>12000</v>
      </c>
      <c r="G38" s="21" t="s">
        <v>178</v>
      </c>
    </row>
    <row r="39" customFormat="false" ht="118.5" hidden="false" customHeight="true" outlineLevel="0" collapsed="false">
      <c r="A39" s="19" t="s">
        <v>179</v>
      </c>
      <c r="B39" s="18" t="s">
        <v>180</v>
      </c>
      <c r="C39" s="19" t="s">
        <v>181</v>
      </c>
      <c r="D39" s="20" t="n">
        <v>6</v>
      </c>
      <c r="E39" s="20" t="n">
        <v>1500</v>
      </c>
      <c r="F39" s="20" t="n">
        <f aca="false">D39*E39</f>
        <v>9000</v>
      </c>
      <c r="G39" s="21" t="s">
        <v>182</v>
      </c>
    </row>
    <row r="40" customFormat="false" ht="67.5" hidden="false" customHeight="true" outlineLevel="0" collapsed="false">
      <c r="A40" s="19" t="s">
        <v>183</v>
      </c>
      <c r="B40" s="18" t="s">
        <v>184</v>
      </c>
      <c r="C40" s="19" t="s">
        <v>165</v>
      </c>
      <c r="D40" s="20" t="n">
        <v>8</v>
      </c>
      <c r="E40" s="20" t="n">
        <v>500</v>
      </c>
      <c r="F40" s="20" t="n">
        <f aca="false">D40*E40</f>
        <v>4000</v>
      </c>
      <c r="G40" s="21" t="s">
        <v>185</v>
      </c>
    </row>
    <row r="41" customFormat="false" ht="189.75" hidden="false" customHeight="true" outlineLevel="0" collapsed="false">
      <c r="A41" s="19" t="s">
        <v>186</v>
      </c>
      <c r="B41" s="18" t="s">
        <v>187</v>
      </c>
      <c r="C41" s="19" t="s">
        <v>165</v>
      </c>
      <c r="D41" s="20" t="n">
        <v>12.5</v>
      </c>
      <c r="E41" s="20" t="n">
        <v>1000</v>
      </c>
      <c r="F41" s="20" t="n">
        <f aca="false">D41*E41</f>
        <v>12500</v>
      </c>
      <c r="G41" s="21" t="s">
        <v>188</v>
      </c>
    </row>
    <row r="42" customFormat="false" ht="19.5" hidden="false" customHeight="true" outlineLevel="0" collapsed="false">
      <c r="A42" s="39"/>
      <c r="B42" s="40" t="s">
        <v>189</v>
      </c>
      <c r="C42" s="39"/>
      <c r="D42" s="39"/>
      <c r="E42" s="39"/>
      <c r="F42" s="41" t="n">
        <f aca="false">SUM(F37:F41)</f>
        <v>67500</v>
      </c>
      <c r="G42" s="42" t="s">
        <v>190</v>
      </c>
    </row>
    <row r="44" customFormat="false" ht="21" hidden="false" customHeight="true" outlineLevel="0" collapsed="false">
      <c r="A44" s="16" t="s">
        <v>191</v>
      </c>
      <c r="B44" s="16"/>
      <c r="C44" s="16"/>
      <c r="D44" s="16"/>
      <c r="E44" s="16"/>
      <c r="F44" s="16"/>
      <c r="G44" s="16"/>
    </row>
    <row r="45" customFormat="false" ht="40.5" hidden="false" customHeight="true" outlineLevel="0" collapsed="false">
      <c r="A45" s="36" t="s">
        <v>192</v>
      </c>
      <c r="B45" s="36"/>
      <c r="C45" s="36"/>
      <c r="D45" s="36"/>
      <c r="E45" s="36"/>
      <c r="F45" s="36"/>
      <c r="G45" s="36"/>
    </row>
    <row r="46" customFormat="false" ht="24" hidden="false" customHeight="true" outlineLevel="0" collapsed="false">
      <c r="A46" s="14" t="s">
        <v>94</v>
      </c>
      <c r="B46" s="14" t="s">
        <v>36</v>
      </c>
      <c r="C46" s="14" t="s">
        <v>37</v>
      </c>
      <c r="D46" s="14" t="s">
        <v>38</v>
      </c>
      <c r="E46" s="14" t="s">
        <v>39</v>
      </c>
      <c r="F46" s="14" t="s">
        <v>40</v>
      </c>
      <c r="G46" s="14" t="s">
        <v>95</v>
      </c>
    </row>
    <row r="47" customFormat="false" ht="67.5" hidden="false" customHeight="true" outlineLevel="0" collapsed="false">
      <c r="A47" s="19" t="s">
        <v>193</v>
      </c>
      <c r="B47" s="18" t="s">
        <v>194</v>
      </c>
      <c r="C47" s="19" t="s">
        <v>148</v>
      </c>
      <c r="D47" s="20" t="n">
        <v>1</v>
      </c>
      <c r="E47" s="20" t="n">
        <v>71000</v>
      </c>
      <c r="F47" s="20" t="n">
        <f aca="false">D47*E47</f>
        <v>71000</v>
      </c>
      <c r="G47" s="21" t="s">
        <v>195</v>
      </c>
    </row>
    <row r="48" customFormat="false" ht="19.5" hidden="false" customHeight="true" outlineLevel="0" collapsed="false">
      <c r="A48" s="39"/>
      <c r="B48" s="40" t="s">
        <v>196</v>
      </c>
      <c r="C48" s="39"/>
      <c r="D48" s="39"/>
      <c r="E48" s="39"/>
      <c r="F48" s="41" t="n">
        <f aca="false">SUM(F47:F47)</f>
        <v>71000</v>
      </c>
      <c r="G48" s="42" t="s">
        <v>197</v>
      </c>
    </row>
    <row r="49" customFormat="false" ht="14.25" hidden="false" customHeight="true" outlineLevel="0" collapsed="false">
      <c r="B49" s="43" t="s">
        <v>198</v>
      </c>
    </row>
    <row r="50" customFormat="false" ht="29.25" hidden="false" customHeight="true" outlineLevel="0" collapsed="false">
      <c r="A50" s="19" t="s">
        <v>199</v>
      </c>
      <c r="B50" s="18" t="s">
        <v>200</v>
      </c>
      <c r="C50" s="19" t="s">
        <v>144</v>
      </c>
      <c r="D50" s="20" t="n">
        <v>72</v>
      </c>
      <c r="E50" s="20" t="n">
        <v>150</v>
      </c>
      <c r="F50" s="20" t="n">
        <f aca="false">D50*E50</f>
        <v>10800</v>
      </c>
      <c r="G50" s="21" t="s">
        <v>145</v>
      </c>
    </row>
    <row r="51" customFormat="false" ht="29.25" hidden="false" customHeight="true" outlineLevel="0" collapsed="false">
      <c r="A51" s="19" t="s">
        <v>201</v>
      </c>
      <c r="B51" s="18" t="s">
        <v>202</v>
      </c>
      <c r="C51" s="19" t="s">
        <v>144</v>
      </c>
      <c r="D51" s="20" t="n">
        <v>12</v>
      </c>
      <c r="E51" s="20" t="n">
        <v>250</v>
      </c>
      <c r="F51" s="20" t="n">
        <f aca="false">D51*E51</f>
        <v>3000</v>
      </c>
      <c r="G51" s="21" t="s">
        <v>145</v>
      </c>
    </row>
    <row r="52" customFormat="false" ht="29.25" hidden="false" customHeight="true" outlineLevel="0" collapsed="false">
      <c r="A52" s="19" t="s">
        <v>203</v>
      </c>
      <c r="B52" s="18" t="s">
        <v>204</v>
      </c>
      <c r="C52" s="19" t="s">
        <v>165</v>
      </c>
      <c r="D52" s="20" t="n">
        <v>12</v>
      </c>
      <c r="E52" s="20" t="n">
        <v>2500</v>
      </c>
      <c r="F52" s="20" t="n">
        <f aca="false">D52*E52</f>
        <v>30000</v>
      </c>
      <c r="G52" s="21" t="s">
        <v>145</v>
      </c>
    </row>
    <row r="53" customFormat="false" ht="29.25" hidden="false" customHeight="true" outlineLevel="0" collapsed="false">
      <c r="A53" s="19" t="s">
        <v>205</v>
      </c>
      <c r="B53" s="18" t="s">
        <v>206</v>
      </c>
      <c r="C53" s="19" t="s">
        <v>72</v>
      </c>
      <c r="D53" s="20" t="n">
        <v>200</v>
      </c>
      <c r="E53" s="20" t="n">
        <v>10</v>
      </c>
      <c r="F53" s="20" t="n">
        <f aca="false">D53*E53</f>
        <v>2000</v>
      </c>
      <c r="G53" s="21" t="s">
        <v>145</v>
      </c>
    </row>
    <row r="54" customFormat="false" ht="29.25" hidden="false" customHeight="true" outlineLevel="0" collapsed="false">
      <c r="A54" s="19" t="s">
        <v>207</v>
      </c>
      <c r="B54" s="18" t="s">
        <v>208</v>
      </c>
      <c r="C54" s="19" t="s">
        <v>209</v>
      </c>
      <c r="D54" s="20" t="n">
        <v>1</v>
      </c>
      <c r="E54" s="20" t="n">
        <v>1500</v>
      </c>
      <c r="F54" s="20" t="n">
        <f aca="false">D54*E54</f>
        <v>1500</v>
      </c>
      <c r="G54" s="21" t="s">
        <v>145</v>
      </c>
    </row>
    <row r="55" customFormat="false" ht="29.25" hidden="false" customHeight="true" outlineLevel="0" collapsed="false">
      <c r="A55" s="19" t="s">
        <v>210</v>
      </c>
      <c r="B55" s="18" t="s">
        <v>211</v>
      </c>
      <c r="C55" s="19" t="s">
        <v>212</v>
      </c>
      <c r="D55" s="20" t="n">
        <v>1</v>
      </c>
      <c r="E55" s="20" t="n">
        <v>1500</v>
      </c>
      <c r="F55" s="20" t="n">
        <f aca="false">D55*E55</f>
        <v>1500</v>
      </c>
      <c r="G55" s="21" t="s">
        <v>145</v>
      </c>
    </row>
    <row r="56" customFormat="false" ht="29.25" hidden="false" customHeight="true" outlineLevel="0" collapsed="false">
      <c r="A56" s="19" t="s">
        <v>213</v>
      </c>
      <c r="B56" s="18" t="s">
        <v>214</v>
      </c>
      <c r="C56" s="19" t="s">
        <v>165</v>
      </c>
      <c r="D56" s="20" t="n">
        <v>3</v>
      </c>
      <c r="E56" s="20" t="n">
        <v>500</v>
      </c>
      <c r="F56" s="20" t="n">
        <f aca="false">D56*E56</f>
        <v>1500</v>
      </c>
      <c r="G56" s="21" t="s">
        <v>145</v>
      </c>
    </row>
    <row r="57" customFormat="false" ht="29.25" hidden="false" customHeight="true" outlineLevel="0" collapsed="false">
      <c r="A57" s="19" t="s">
        <v>215</v>
      </c>
      <c r="B57" s="18" t="s">
        <v>216</v>
      </c>
      <c r="C57" s="19" t="s">
        <v>217</v>
      </c>
      <c r="D57" s="20" t="n">
        <v>30</v>
      </c>
      <c r="E57" s="20" t="n">
        <v>10</v>
      </c>
      <c r="F57" s="20" t="n">
        <f aca="false">D57*E57</f>
        <v>300</v>
      </c>
      <c r="G57" s="21" t="s">
        <v>145</v>
      </c>
    </row>
    <row r="58" customFormat="false" ht="29.25" hidden="false" customHeight="true" outlineLevel="0" collapsed="false">
      <c r="A58" s="19" t="s">
        <v>218</v>
      </c>
      <c r="B58" s="18" t="s">
        <v>219</v>
      </c>
      <c r="C58" s="19" t="s">
        <v>144</v>
      </c>
      <c r="D58" s="20" t="n">
        <v>6</v>
      </c>
      <c r="E58" s="20" t="n">
        <v>150</v>
      </c>
      <c r="F58" s="20" t="n">
        <f aca="false">D58*E58</f>
        <v>900</v>
      </c>
      <c r="G58" s="21" t="s">
        <v>145</v>
      </c>
    </row>
    <row r="59" customFormat="false" ht="29.25" hidden="false" customHeight="true" outlineLevel="0" collapsed="false">
      <c r="A59" s="19" t="s">
        <v>220</v>
      </c>
      <c r="B59" s="18" t="s">
        <v>221</v>
      </c>
      <c r="C59" s="19" t="s">
        <v>72</v>
      </c>
      <c r="D59" s="20" t="n">
        <v>8</v>
      </c>
      <c r="E59" s="20" t="n">
        <v>400</v>
      </c>
      <c r="F59" s="20" t="n">
        <f aca="false">D59*E59</f>
        <v>3200</v>
      </c>
      <c r="G59" s="21" t="s">
        <v>145</v>
      </c>
    </row>
    <row r="60" customFormat="false" ht="29.25" hidden="false" customHeight="true" outlineLevel="0" collapsed="false">
      <c r="A60" s="19" t="s">
        <v>222</v>
      </c>
      <c r="B60" s="18" t="s">
        <v>223</v>
      </c>
      <c r="C60" s="19" t="s">
        <v>165</v>
      </c>
      <c r="D60" s="20" t="n">
        <v>4</v>
      </c>
      <c r="E60" s="20" t="n">
        <v>500</v>
      </c>
      <c r="F60" s="20" t="n">
        <f aca="false">D60*E60</f>
        <v>2000</v>
      </c>
      <c r="G60" s="21" t="s">
        <v>145</v>
      </c>
    </row>
    <row r="61" customFormat="false" ht="29.25" hidden="false" customHeight="true" outlineLevel="0" collapsed="false">
      <c r="A61" s="19" t="s">
        <v>224</v>
      </c>
      <c r="B61" s="18" t="s">
        <v>225</v>
      </c>
      <c r="C61" s="19" t="s">
        <v>165</v>
      </c>
      <c r="D61" s="20" t="n">
        <v>3</v>
      </c>
      <c r="E61" s="20" t="n">
        <v>800</v>
      </c>
      <c r="F61" s="20" t="n">
        <f aca="false">D61*E61</f>
        <v>2400</v>
      </c>
      <c r="G61" s="21" t="s">
        <v>145</v>
      </c>
    </row>
    <row r="62" customFormat="false" ht="29.25" hidden="false" customHeight="true" outlineLevel="0" collapsed="false">
      <c r="A62" s="19" t="s">
        <v>226</v>
      </c>
      <c r="B62" s="18" t="s">
        <v>227</v>
      </c>
      <c r="C62" s="19" t="s">
        <v>72</v>
      </c>
      <c r="D62" s="20" t="n">
        <v>4</v>
      </c>
      <c r="E62" s="20" t="n">
        <v>400</v>
      </c>
      <c r="F62" s="20" t="n">
        <f aca="false">D62*E62</f>
        <v>1600</v>
      </c>
      <c r="G62" s="21" t="s">
        <v>145</v>
      </c>
    </row>
    <row r="63" customFormat="false" ht="29.25" hidden="false" customHeight="true" outlineLevel="0" collapsed="false">
      <c r="A63" s="19" t="s">
        <v>228</v>
      </c>
      <c r="B63" s="18" t="s">
        <v>229</v>
      </c>
      <c r="C63" s="19" t="s">
        <v>148</v>
      </c>
      <c r="D63" s="20" t="n">
        <v>1</v>
      </c>
      <c r="E63" s="20" t="n">
        <v>1000</v>
      </c>
      <c r="F63" s="20" t="n">
        <f aca="false">D63*E63</f>
        <v>1000</v>
      </c>
      <c r="G63" s="21" t="s">
        <v>145</v>
      </c>
    </row>
    <row r="64" customFormat="false" ht="14.25" hidden="false" customHeight="true" outlineLevel="0" collapsed="false">
      <c r="B64" s="43" t="s">
        <v>230</v>
      </c>
      <c r="F64" s="44" t="n">
        <f aca="false">SUM(F50:F63)</f>
        <v>61700</v>
      </c>
    </row>
    <row r="66" customFormat="false" ht="21" hidden="false" customHeight="true" outlineLevel="0" collapsed="false">
      <c r="A66" s="16" t="s">
        <v>231</v>
      </c>
      <c r="B66" s="16"/>
      <c r="C66" s="16"/>
      <c r="D66" s="16"/>
      <c r="E66" s="16"/>
      <c r="F66" s="16"/>
      <c r="G66" s="16"/>
    </row>
    <row r="67" customFormat="false" ht="40.5" hidden="false" customHeight="true" outlineLevel="0" collapsed="false">
      <c r="A67" s="36" t="s">
        <v>232</v>
      </c>
      <c r="B67" s="36"/>
      <c r="C67" s="36"/>
      <c r="D67" s="36"/>
      <c r="E67" s="36"/>
      <c r="F67" s="36"/>
      <c r="G67" s="36"/>
    </row>
    <row r="68" customFormat="false" ht="24" hidden="false" customHeight="true" outlineLevel="0" collapsed="false">
      <c r="A68" s="14" t="s">
        <v>94</v>
      </c>
      <c r="B68" s="14" t="s">
        <v>36</v>
      </c>
      <c r="C68" s="14" t="s">
        <v>37</v>
      </c>
      <c r="D68" s="14" t="s">
        <v>38</v>
      </c>
      <c r="E68" s="14" t="s">
        <v>39</v>
      </c>
      <c r="F68" s="14" t="s">
        <v>40</v>
      </c>
      <c r="G68" s="14" t="s">
        <v>95</v>
      </c>
    </row>
    <row r="69" customFormat="false" ht="85.5" hidden="false" customHeight="true" outlineLevel="0" collapsed="false">
      <c r="A69" s="19" t="s">
        <v>233</v>
      </c>
      <c r="B69" s="18" t="s">
        <v>234</v>
      </c>
      <c r="C69" s="19" t="s">
        <v>235</v>
      </c>
      <c r="D69" s="20" t="n">
        <v>14</v>
      </c>
      <c r="E69" s="20" t="n">
        <v>450</v>
      </c>
      <c r="F69" s="20" t="n">
        <f aca="false">D69*E69</f>
        <v>6300</v>
      </c>
      <c r="G69" s="21" t="s">
        <v>236</v>
      </c>
    </row>
    <row r="70" customFormat="false" ht="19.5" hidden="false" customHeight="true" outlineLevel="0" collapsed="false">
      <c r="A70" s="39"/>
      <c r="B70" s="40" t="s">
        <v>237</v>
      </c>
      <c r="C70" s="39"/>
      <c r="D70" s="39"/>
      <c r="E70" s="39"/>
      <c r="F70" s="41" t="n">
        <f aca="false">SUM(F69:F69)</f>
        <v>6300</v>
      </c>
      <c r="G70" s="42" t="s">
        <v>238</v>
      </c>
    </row>
    <row r="72" customFormat="false" ht="21" hidden="false" customHeight="true" outlineLevel="0" collapsed="false">
      <c r="A72" s="16" t="s">
        <v>239</v>
      </c>
      <c r="B72" s="16"/>
      <c r="C72" s="16"/>
      <c r="D72" s="16"/>
      <c r="E72" s="16"/>
      <c r="F72" s="16"/>
      <c r="G72" s="16"/>
    </row>
    <row r="73" customFormat="false" ht="86.25" hidden="false" customHeight="true" outlineLevel="0" collapsed="false">
      <c r="A73" s="36" t="s">
        <v>240</v>
      </c>
      <c r="B73" s="36"/>
      <c r="C73" s="36"/>
      <c r="D73" s="36"/>
      <c r="E73" s="36"/>
      <c r="F73" s="36"/>
      <c r="G73" s="36"/>
    </row>
    <row r="74" customFormat="false" ht="24" hidden="false" customHeight="true" outlineLevel="0" collapsed="false">
      <c r="A74" s="14" t="s">
        <v>94</v>
      </c>
      <c r="B74" s="14" t="s">
        <v>36</v>
      </c>
      <c r="C74" s="14" t="s">
        <v>37</v>
      </c>
      <c r="D74" s="14" t="s">
        <v>38</v>
      </c>
      <c r="E74" s="14" t="s">
        <v>39</v>
      </c>
      <c r="F74" s="14" t="s">
        <v>40</v>
      </c>
      <c r="G74" s="14" t="s">
        <v>95</v>
      </c>
    </row>
    <row r="75" customFormat="false" ht="132" hidden="false" customHeight="true" outlineLevel="0" collapsed="false">
      <c r="A75" s="19" t="s">
        <v>241</v>
      </c>
      <c r="B75" s="18" t="s">
        <v>242</v>
      </c>
      <c r="C75" s="19" t="s">
        <v>165</v>
      </c>
      <c r="D75" s="22" t="n">
        <f aca="false">Programme!$G$178</f>
        <v>48</v>
      </c>
      <c r="E75" s="20" t="n">
        <v>1200</v>
      </c>
      <c r="F75" s="20" t="n">
        <f aca="false">D75*E75</f>
        <v>57600</v>
      </c>
      <c r="G75" s="21" t="s">
        <v>243</v>
      </c>
    </row>
    <row r="76" customFormat="false" ht="80.25" hidden="false" customHeight="true" outlineLevel="0" collapsed="false">
      <c r="A76" s="19" t="s">
        <v>244</v>
      </c>
      <c r="B76" s="18" t="s">
        <v>245</v>
      </c>
      <c r="C76" s="19" t="s">
        <v>165</v>
      </c>
      <c r="D76" s="22" t="n">
        <f aca="false">Programme!$G$179</f>
        <v>64</v>
      </c>
      <c r="E76" s="20" t="n">
        <v>900</v>
      </c>
      <c r="F76" s="20" t="n">
        <f aca="false">D76*E76</f>
        <v>57600</v>
      </c>
      <c r="G76" s="21" t="s">
        <v>246</v>
      </c>
    </row>
    <row r="77" customFormat="false" ht="80.25" hidden="false" customHeight="true" outlineLevel="0" collapsed="false">
      <c r="A77" s="19" t="s">
        <v>247</v>
      </c>
      <c r="B77" s="18" t="s">
        <v>248</v>
      </c>
      <c r="C77" s="19" t="s">
        <v>249</v>
      </c>
      <c r="D77" s="20" t="n">
        <v>1400</v>
      </c>
      <c r="E77" s="20" t="n">
        <v>55</v>
      </c>
      <c r="F77" s="20" t="n">
        <f aca="false">D77*E77</f>
        <v>77000</v>
      </c>
      <c r="G77" s="21" t="s">
        <v>250</v>
      </c>
    </row>
    <row r="78" customFormat="false" ht="54.75" hidden="false" customHeight="true" outlineLevel="0" collapsed="false">
      <c r="A78" s="19" t="s">
        <v>251</v>
      </c>
      <c r="B78" s="18" t="s">
        <v>252</v>
      </c>
      <c r="C78" s="19" t="s">
        <v>253</v>
      </c>
      <c r="D78" s="22" t="n">
        <f aca="false">Programme!$G$180</f>
        <v>4</v>
      </c>
      <c r="E78" s="20" t="n">
        <v>1800</v>
      </c>
      <c r="F78" s="20" t="n">
        <f aca="false">D78*E78</f>
        <v>7200</v>
      </c>
      <c r="G78" s="21" t="s">
        <v>254</v>
      </c>
    </row>
    <row r="79" customFormat="false" ht="29.25" hidden="false" customHeight="true" outlineLevel="0" collapsed="false">
      <c r="A79" s="19" t="s">
        <v>255</v>
      </c>
      <c r="B79" s="18" t="s">
        <v>256</v>
      </c>
      <c r="C79" s="19" t="s">
        <v>72</v>
      </c>
      <c r="D79" s="20" t="n">
        <v>4</v>
      </c>
      <c r="E79" s="20" t="n">
        <v>400</v>
      </c>
      <c r="F79" s="20" t="n">
        <f aca="false">D79*E79</f>
        <v>1600</v>
      </c>
      <c r="G79" s="21" t="s">
        <v>145</v>
      </c>
    </row>
    <row r="80" customFormat="false" ht="45.75" hidden="false" customHeight="true" outlineLevel="0" collapsed="false">
      <c r="A80" s="19" t="s">
        <v>257</v>
      </c>
      <c r="B80" s="18" t="s">
        <v>258</v>
      </c>
      <c r="C80" s="19" t="s">
        <v>259</v>
      </c>
      <c r="D80" s="22" t="n">
        <f aca="false">Programme!$G$181</f>
        <v>4</v>
      </c>
      <c r="E80" s="20" t="n">
        <v>350</v>
      </c>
      <c r="F80" s="20" t="n">
        <f aca="false">D80*E80</f>
        <v>1400</v>
      </c>
      <c r="G80" s="21" t="s">
        <v>254</v>
      </c>
    </row>
    <row r="81" customFormat="false" ht="67.5" hidden="false" customHeight="true" outlineLevel="0" collapsed="false">
      <c r="A81" s="19" t="s">
        <v>260</v>
      </c>
      <c r="B81" s="18" t="s">
        <v>261</v>
      </c>
      <c r="C81" s="19" t="s">
        <v>98</v>
      </c>
      <c r="D81" s="22" t="n">
        <f aca="false">Programme!$G$182</f>
        <v>3.9</v>
      </c>
      <c r="E81" s="20" t="n">
        <v>11000</v>
      </c>
      <c r="F81" s="20" t="n">
        <f aca="false">D81*E81</f>
        <v>42900</v>
      </c>
      <c r="G81" s="21" t="s">
        <v>262</v>
      </c>
    </row>
    <row r="82" customFormat="false" ht="105.75" hidden="false" customHeight="true" outlineLevel="0" collapsed="false">
      <c r="A82" s="19" t="s">
        <v>263</v>
      </c>
      <c r="B82" s="18" t="s">
        <v>264</v>
      </c>
      <c r="C82" s="19" t="s">
        <v>98</v>
      </c>
      <c r="D82" s="22" t="n">
        <f aca="false">Programme!$G$183</f>
        <v>4.2</v>
      </c>
      <c r="E82" s="20" t="n">
        <f aca="false">ROUND(3.5*24*30.4*1.79,0)+4000</f>
        <v>8571</v>
      </c>
      <c r="F82" s="20" t="n">
        <f aca="false">D82*E82</f>
        <v>35998.2</v>
      </c>
      <c r="G82" s="21" t="s">
        <v>265</v>
      </c>
    </row>
    <row r="83" customFormat="false" ht="42" hidden="false" customHeight="true" outlineLevel="0" collapsed="false">
      <c r="A83" s="19" t="s">
        <v>266</v>
      </c>
      <c r="B83" s="18" t="s">
        <v>267</v>
      </c>
      <c r="C83" s="19" t="s">
        <v>98</v>
      </c>
      <c r="D83" s="22" t="n">
        <f aca="false">Programme!$G$184</f>
        <v>4.2</v>
      </c>
      <c r="E83" s="20" t="n">
        <v>3000</v>
      </c>
      <c r="F83" s="20" t="n">
        <f aca="false">D83*E83</f>
        <v>12600</v>
      </c>
      <c r="G83" s="21" t="s">
        <v>268</v>
      </c>
    </row>
    <row r="84" customFormat="false" ht="263.25" hidden="false" customHeight="true" outlineLevel="0" collapsed="false">
      <c r="A84" s="19" t="s">
        <v>269</v>
      </c>
      <c r="B84" s="18" t="s">
        <v>270</v>
      </c>
      <c r="C84" s="19" t="s">
        <v>271</v>
      </c>
      <c r="D84" s="22" t="n">
        <f aca="false">Programme!$G$185</f>
        <v>19.8</v>
      </c>
      <c r="E84" s="20" t="n">
        <v>3900</v>
      </c>
      <c r="F84" s="20" t="n">
        <f aca="false">D84*E84</f>
        <v>77220</v>
      </c>
      <c r="G84" s="21" t="s">
        <v>272</v>
      </c>
    </row>
    <row r="85" customFormat="false" ht="80.25" hidden="false" customHeight="true" outlineLevel="0" collapsed="false">
      <c r="A85" s="19" t="s">
        <v>273</v>
      </c>
      <c r="B85" s="18" t="s">
        <v>274</v>
      </c>
      <c r="C85" s="19" t="s">
        <v>98</v>
      </c>
      <c r="D85" s="22" t="n">
        <f aca="false">Programme!$G$186</f>
        <v>2.7</v>
      </c>
      <c r="E85" s="20" t="n">
        <v>2500</v>
      </c>
      <c r="F85" s="20" t="n">
        <f aca="false">D85*E85</f>
        <v>6750</v>
      </c>
      <c r="G85" s="21" t="s">
        <v>275</v>
      </c>
    </row>
    <row r="86" customFormat="false" ht="105.75" hidden="false" customHeight="true" outlineLevel="0" collapsed="false">
      <c r="A86" s="19" t="s">
        <v>276</v>
      </c>
      <c r="B86" s="18" t="s">
        <v>277</v>
      </c>
      <c r="C86" s="19" t="s">
        <v>212</v>
      </c>
      <c r="D86" s="20" t="n">
        <v>0</v>
      </c>
      <c r="E86" s="20" t="n">
        <v>1500</v>
      </c>
      <c r="F86" s="20" t="n">
        <f aca="false">D86*E86</f>
        <v>0</v>
      </c>
      <c r="G86" s="21" t="s">
        <v>278</v>
      </c>
    </row>
    <row r="87" customFormat="false" ht="174" hidden="false" customHeight="true" outlineLevel="0" collapsed="false">
      <c r="A87" s="19" t="s">
        <v>279</v>
      </c>
      <c r="B87" s="18" t="s">
        <v>280</v>
      </c>
      <c r="C87" s="19" t="s">
        <v>212</v>
      </c>
      <c r="D87" s="20" t="n">
        <v>2</v>
      </c>
      <c r="E87" s="20" t="n">
        <v>1500</v>
      </c>
      <c r="F87" s="20" t="n">
        <f aca="false">D87*E87</f>
        <v>3000</v>
      </c>
      <c r="G87" s="21" t="s">
        <v>281</v>
      </c>
    </row>
    <row r="88" customFormat="false" ht="42" hidden="false" customHeight="true" outlineLevel="0" collapsed="false">
      <c r="A88" s="19" t="s">
        <v>282</v>
      </c>
      <c r="B88" s="18" t="s">
        <v>283</v>
      </c>
      <c r="C88" s="19" t="s">
        <v>259</v>
      </c>
      <c r="D88" s="22" t="n">
        <f aca="false">Programme!$G$187</f>
        <v>5.4</v>
      </c>
      <c r="E88" s="20" t="n">
        <v>1200</v>
      </c>
      <c r="F88" s="20" t="n">
        <f aca="false">D88*E88</f>
        <v>6480</v>
      </c>
      <c r="G88" s="21" t="s">
        <v>284</v>
      </c>
    </row>
    <row r="89" customFormat="false" ht="29.25" hidden="false" customHeight="true" outlineLevel="0" collapsed="false">
      <c r="A89" s="19" t="s">
        <v>285</v>
      </c>
      <c r="B89" s="18" t="s">
        <v>286</v>
      </c>
      <c r="C89" s="19" t="s">
        <v>209</v>
      </c>
      <c r="D89" s="20" t="n">
        <v>2</v>
      </c>
      <c r="E89" s="20" t="n">
        <v>1400</v>
      </c>
      <c r="F89" s="20" t="n">
        <f aca="false">D89*E89</f>
        <v>2800</v>
      </c>
      <c r="G89" s="21" t="s">
        <v>145</v>
      </c>
    </row>
    <row r="90" customFormat="false" ht="87" hidden="false" customHeight="true" outlineLevel="0" collapsed="false">
      <c r="A90" s="19" t="s">
        <v>287</v>
      </c>
      <c r="B90" s="18" t="s">
        <v>288</v>
      </c>
      <c r="C90" s="19" t="s">
        <v>235</v>
      </c>
      <c r="D90" s="22" t="n">
        <f aca="false">ROUNDUP(Programme!$H$49/7,0)</f>
        <v>19</v>
      </c>
      <c r="E90" s="22" t="n">
        <f aca="false">E69</f>
        <v>450</v>
      </c>
      <c r="F90" s="20" t="n">
        <f aca="false">D90*E90</f>
        <v>8550</v>
      </c>
      <c r="G90" s="21" t="s">
        <v>289</v>
      </c>
    </row>
    <row r="91" customFormat="false" ht="19.5" hidden="false" customHeight="true" outlineLevel="0" collapsed="false">
      <c r="A91" s="39"/>
      <c r="B91" s="40" t="s">
        <v>290</v>
      </c>
      <c r="C91" s="39"/>
      <c r="D91" s="39"/>
      <c r="E91" s="39"/>
      <c r="F91" s="41" t="n">
        <f aca="false">SUM(F75:F90)</f>
        <v>398698.2</v>
      </c>
      <c r="G91" s="42" t="s">
        <v>291</v>
      </c>
    </row>
    <row r="93" customFormat="false" ht="21" hidden="false" customHeight="true" outlineLevel="0" collapsed="false">
      <c r="A93" s="16" t="s">
        <v>292</v>
      </c>
      <c r="B93" s="16"/>
      <c r="C93" s="16"/>
      <c r="D93" s="16"/>
      <c r="E93" s="16"/>
      <c r="F93" s="16"/>
      <c r="G93" s="16"/>
    </row>
    <row r="94" customFormat="false" ht="75" hidden="false" customHeight="true" outlineLevel="0" collapsed="false">
      <c r="A94" s="36" t="s">
        <v>293</v>
      </c>
      <c r="B94" s="36"/>
      <c r="C94" s="36"/>
      <c r="D94" s="36"/>
      <c r="E94" s="36"/>
      <c r="F94" s="36"/>
      <c r="G94" s="36"/>
    </row>
    <row r="95" customFormat="false" ht="24" hidden="false" customHeight="true" outlineLevel="0" collapsed="false">
      <c r="A95" s="14" t="s">
        <v>94</v>
      </c>
      <c r="B95" s="14" t="s">
        <v>36</v>
      </c>
      <c r="C95" s="14" t="s">
        <v>37</v>
      </c>
      <c r="D95" s="14" t="s">
        <v>38</v>
      </c>
      <c r="E95" s="14" t="s">
        <v>39</v>
      </c>
      <c r="F95" s="14" t="s">
        <v>40</v>
      </c>
      <c r="G95" s="14" t="s">
        <v>95</v>
      </c>
    </row>
    <row r="96" customFormat="false" ht="105.75" hidden="false" customHeight="true" outlineLevel="0" collapsed="false">
      <c r="A96" s="19" t="s">
        <v>294</v>
      </c>
      <c r="B96" s="18" t="s">
        <v>295</v>
      </c>
      <c r="C96" s="19" t="s">
        <v>72</v>
      </c>
      <c r="D96" s="20" t="n">
        <v>1</v>
      </c>
      <c r="E96" s="20" t="n">
        <v>2763500</v>
      </c>
      <c r="F96" s="20" t="n">
        <f aca="false">D96*E96</f>
        <v>2763500</v>
      </c>
      <c r="G96" s="21" t="s">
        <v>296</v>
      </c>
    </row>
    <row r="97" customFormat="false" ht="19.5" hidden="false" customHeight="true" outlineLevel="0" collapsed="false">
      <c r="A97" s="39"/>
      <c r="B97" s="40" t="s">
        <v>297</v>
      </c>
      <c r="C97" s="39"/>
      <c r="D97" s="39"/>
      <c r="E97" s="39"/>
      <c r="F97" s="41" t="n">
        <f aca="false">SUM(F96:F96)</f>
        <v>2763500</v>
      </c>
      <c r="G97" s="42" t="s">
        <v>298</v>
      </c>
    </row>
    <row r="99" customFormat="false" ht="21" hidden="false" customHeight="true" outlineLevel="0" collapsed="false">
      <c r="A99" s="16" t="s">
        <v>299</v>
      </c>
      <c r="B99" s="16"/>
      <c r="C99" s="16"/>
      <c r="D99" s="16"/>
      <c r="E99" s="16"/>
      <c r="F99" s="16"/>
      <c r="G99" s="16"/>
    </row>
    <row r="100" customFormat="false" ht="144" hidden="false" customHeight="true" outlineLevel="0" collapsed="false">
      <c r="A100" s="12" t="s">
        <v>300</v>
      </c>
      <c r="B100" s="12"/>
      <c r="C100" s="12"/>
      <c r="D100" s="12"/>
      <c r="E100" s="12"/>
      <c r="F100" s="12"/>
      <c r="G100" s="12"/>
    </row>
    <row r="101" customFormat="false" ht="24" hidden="false" customHeight="true" outlineLevel="0" collapsed="false">
      <c r="A101" s="14" t="s">
        <v>94</v>
      </c>
      <c r="B101" s="14" t="s">
        <v>36</v>
      </c>
      <c r="C101" s="14" t="s">
        <v>37</v>
      </c>
      <c r="D101" s="14" t="s">
        <v>38</v>
      </c>
      <c r="E101" s="14" t="s">
        <v>39</v>
      </c>
      <c r="F101" s="14" t="s">
        <v>40</v>
      </c>
      <c r="G101" s="14" t="s">
        <v>95</v>
      </c>
    </row>
    <row r="102" customFormat="false" ht="132" hidden="false" customHeight="true" outlineLevel="0" collapsed="false">
      <c r="A102" s="19" t="s">
        <v>301</v>
      </c>
      <c r="B102" s="18" t="s">
        <v>302</v>
      </c>
      <c r="C102" s="19" t="s">
        <v>217</v>
      </c>
      <c r="D102" s="22" t="n">
        <f aca="false">Programme!$G$188</f>
        <v>3774</v>
      </c>
      <c r="E102" s="20" t="n">
        <v>15</v>
      </c>
      <c r="F102" s="20" t="n">
        <f aca="false">D102*E102</f>
        <v>56610</v>
      </c>
      <c r="G102" s="21" t="s">
        <v>303</v>
      </c>
    </row>
    <row r="103" customFormat="false" ht="54.75" hidden="false" customHeight="true" outlineLevel="0" collapsed="false">
      <c r="A103" s="19" t="s">
        <v>304</v>
      </c>
      <c r="B103" s="18" t="s">
        <v>305</v>
      </c>
      <c r="C103" s="19" t="s">
        <v>165</v>
      </c>
      <c r="D103" s="22" t="n">
        <f aca="false">Programme!$G$189</f>
        <v>7</v>
      </c>
      <c r="E103" s="20" t="n">
        <v>500</v>
      </c>
      <c r="F103" s="20" t="n">
        <f aca="false">D103*E103</f>
        <v>3500</v>
      </c>
      <c r="G103" s="21" t="s">
        <v>306</v>
      </c>
    </row>
    <row r="104" customFormat="false" ht="29.25" hidden="false" customHeight="true" outlineLevel="0" collapsed="false">
      <c r="A104" s="19" t="s">
        <v>307</v>
      </c>
      <c r="B104" s="18" t="s">
        <v>308</v>
      </c>
      <c r="C104" s="19" t="s">
        <v>309</v>
      </c>
      <c r="D104" s="22" t="n">
        <f aca="false">Programme!$G$190</f>
        <v>1</v>
      </c>
      <c r="E104" s="20" t="n">
        <v>1000</v>
      </c>
      <c r="F104" s="20" t="n">
        <f aca="false">D104*E104</f>
        <v>1000</v>
      </c>
      <c r="G104" s="21" t="s">
        <v>145</v>
      </c>
    </row>
    <row r="105" customFormat="false" ht="67.5" hidden="false" customHeight="true" outlineLevel="0" collapsed="false">
      <c r="A105" s="19" t="s">
        <v>310</v>
      </c>
      <c r="B105" s="18" t="s">
        <v>311</v>
      </c>
      <c r="C105" s="19" t="s">
        <v>144</v>
      </c>
      <c r="D105" s="20" t="n">
        <v>0</v>
      </c>
      <c r="E105" s="20" t="n">
        <v>150</v>
      </c>
      <c r="F105" s="20" t="n">
        <f aca="false">D105*E105</f>
        <v>0</v>
      </c>
      <c r="G105" s="21" t="s">
        <v>312</v>
      </c>
    </row>
    <row r="106" customFormat="false" ht="73.5" hidden="false" customHeight="true" outlineLevel="0" collapsed="false">
      <c r="A106" s="19" t="s">
        <v>313</v>
      </c>
      <c r="B106" s="18" t="s">
        <v>314</v>
      </c>
      <c r="C106" s="19" t="s">
        <v>217</v>
      </c>
      <c r="D106" s="22" t="n">
        <f aca="false">Programme!$G$193</f>
        <v>377</v>
      </c>
      <c r="E106" s="20" t="n">
        <v>15</v>
      </c>
      <c r="F106" s="20" t="n">
        <f aca="false">D106*E106</f>
        <v>5655</v>
      </c>
      <c r="G106" s="21" t="s">
        <v>315</v>
      </c>
    </row>
    <row r="107" customFormat="false" ht="29.25" hidden="false" customHeight="true" outlineLevel="0" collapsed="false">
      <c r="A107" s="19" t="s">
        <v>316</v>
      </c>
      <c r="B107" s="18" t="s">
        <v>317</v>
      </c>
      <c r="C107" s="19" t="s">
        <v>318</v>
      </c>
      <c r="D107" s="20" t="n">
        <v>800</v>
      </c>
      <c r="E107" s="20" t="n">
        <v>6</v>
      </c>
      <c r="F107" s="20" t="n">
        <f aca="false">D107*E107</f>
        <v>4800</v>
      </c>
      <c r="G107" s="21" t="s">
        <v>145</v>
      </c>
    </row>
    <row r="108" customFormat="false" ht="29.25" hidden="false" customHeight="true" outlineLevel="0" collapsed="false">
      <c r="A108" s="19" t="s">
        <v>319</v>
      </c>
      <c r="B108" s="18" t="s">
        <v>320</v>
      </c>
      <c r="C108" s="19" t="s">
        <v>309</v>
      </c>
      <c r="D108" s="20" t="n">
        <v>2</v>
      </c>
      <c r="E108" s="20" t="n">
        <v>750</v>
      </c>
      <c r="F108" s="20" t="n">
        <f aca="false">D108*E108</f>
        <v>1500</v>
      </c>
      <c r="G108" s="21" t="s">
        <v>145</v>
      </c>
    </row>
    <row r="109" customFormat="false" ht="105.75" hidden="false" customHeight="true" outlineLevel="0" collapsed="false">
      <c r="A109" s="19" t="s">
        <v>321</v>
      </c>
      <c r="B109" s="18" t="s">
        <v>322</v>
      </c>
      <c r="C109" s="19" t="s">
        <v>144</v>
      </c>
      <c r="D109" s="22" t="n">
        <f aca="false">Programme!G101</f>
        <v>3</v>
      </c>
      <c r="E109" s="20" t="n">
        <v>150</v>
      </c>
      <c r="F109" s="20" t="n">
        <f aca="false">D109*E109</f>
        <v>450</v>
      </c>
      <c r="G109" s="21" t="s">
        <v>323</v>
      </c>
    </row>
    <row r="110" customFormat="false" ht="29.25" hidden="false" customHeight="true" outlineLevel="0" collapsed="false">
      <c r="A110" s="19" t="s">
        <v>324</v>
      </c>
      <c r="B110" s="18" t="s">
        <v>325</v>
      </c>
      <c r="C110" s="19" t="s">
        <v>318</v>
      </c>
      <c r="D110" s="20" t="n">
        <v>400</v>
      </c>
      <c r="E110" s="20" t="n">
        <v>5</v>
      </c>
      <c r="F110" s="20" t="n">
        <f aca="false">D110*E110</f>
        <v>2000</v>
      </c>
      <c r="G110" s="21" t="s">
        <v>145</v>
      </c>
    </row>
    <row r="111" customFormat="false" ht="29.25" hidden="false" customHeight="true" outlineLevel="0" collapsed="false">
      <c r="A111" s="19" t="s">
        <v>326</v>
      </c>
      <c r="B111" s="18" t="s">
        <v>327</v>
      </c>
      <c r="C111" s="19" t="s">
        <v>212</v>
      </c>
      <c r="D111" s="20" t="n">
        <v>2</v>
      </c>
      <c r="E111" s="20" t="n">
        <v>1850</v>
      </c>
      <c r="F111" s="20" t="n">
        <f aca="false">D111*E111</f>
        <v>3700</v>
      </c>
      <c r="G111" s="21" t="s">
        <v>145</v>
      </c>
    </row>
    <row r="112" customFormat="false" ht="42" hidden="false" customHeight="true" outlineLevel="0" collapsed="false">
      <c r="A112" s="19" t="s">
        <v>328</v>
      </c>
      <c r="B112" s="18" t="s">
        <v>329</v>
      </c>
      <c r="C112" s="19" t="s">
        <v>330</v>
      </c>
      <c r="D112" s="20" t="n">
        <v>6</v>
      </c>
      <c r="E112" s="20" t="n">
        <v>1200</v>
      </c>
      <c r="F112" s="20" t="n">
        <f aca="false">D112*E112</f>
        <v>7200</v>
      </c>
      <c r="G112" s="21" t="s">
        <v>331</v>
      </c>
    </row>
    <row r="113" customFormat="false" ht="67.5" hidden="false" customHeight="true" outlineLevel="0" collapsed="false">
      <c r="A113" s="19" t="s">
        <v>332</v>
      </c>
      <c r="B113" s="18" t="s">
        <v>333</v>
      </c>
      <c r="C113" s="19" t="s">
        <v>334</v>
      </c>
      <c r="D113" s="20" t="n">
        <v>0</v>
      </c>
      <c r="E113" s="20" t="n">
        <v>2400</v>
      </c>
      <c r="F113" s="20" t="n">
        <f aca="false">D113*E113</f>
        <v>0</v>
      </c>
      <c r="G113" s="21" t="s">
        <v>335</v>
      </c>
    </row>
    <row r="114" customFormat="false" ht="80.25" hidden="false" customHeight="true" outlineLevel="0" collapsed="false">
      <c r="A114" s="19" t="s">
        <v>336</v>
      </c>
      <c r="B114" s="18" t="s">
        <v>337</v>
      </c>
      <c r="C114" s="19" t="s">
        <v>165</v>
      </c>
      <c r="D114" s="22" t="n">
        <f aca="false">Programme!$G$194</f>
        <v>8</v>
      </c>
      <c r="E114" s="20" t="n">
        <v>2000</v>
      </c>
      <c r="F114" s="20" t="n">
        <f aca="false">D114*E114</f>
        <v>16000</v>
      </c>
      <c r="G114" s="21" t="s">
        <v>338</v>
      </c>
    </row>
    <row r="115" customFormat="false" ht="54.75" hidden="false" customHeight="true" outlineLevel="0" collapsed="false">
      <c r="A115" s="19" t="s">
        <v>339</v>
      </c>
      <c r="B115" s="18" t="s">
        <v>340</v>
      </c>
      <c r="C115" s="19" t="s">
        <v>144</v>
      </c>
      <c r="D115" s="22" t="n">
        <f aca="false">Programme!$G$195</f>
        <v>12</v>
      </c>
      <c r="E115" s="20" t="n">
        <v>400</v>
      </c>
      <c r="F115" s="20" t="n">
        <f aca="false">D115*E115</f>
        <v>4800</v>
      </c>
      <c r="G115" s="21" t="s">
        <v>341</v>
      </c>
    </row>
    <row r="116" customFormat="false" ht="29.25" hidden="false" customHeight="true" outlineLevel="0" collapsed="false">
      <c r="A116" s="19" t="s">
        <v>342</v>
      </c>
      <c r="B116" s="18" t="s">
        <v>343</v>
      </c>
      <c r="C116" s="19" t="s">
        <v>165</v>
      </c>
      <c r="D116" s="20" t="n">
        <v>5</v>
      </c>
      <c r="E116" s="20" t="n">
        <v>400</v>
      </c>
      <c r="F116" s="20" t="n">
        <f aca="false">D116*E116</f>
        <v>2000</v>
      </c>
      <c r="G116" s="21" t="s">
        <v>145</v>
      </c>
    </row>
    <row r="117" customFormat="false" ht="54.75" hidden="false" customHeight="true" outlineLevel="0" collapsed="false">
      <c r="A117" s="19" t="s">
        <v>344</v>
      </c>
      <c r="B117" s="18" t="s">
        <v>345</v>
      </c>
      <c r="C117" s="19" t="s">
        <v>165</v>
      </c>
      <c r="D117" s="22" t="n">
        <f aca="false">Programme!$G$196</f>
        <v>5</v>
      </c>
      <c r="E117" s="20" t="n">
        <v>1000</v>
      </c>
      <c r="F117" s="20" t="n">
        <f aca="false">D117*E117</f>
        <v>5000</v>
      </c>
      <c r="G117" s="21" t="s">
        <v>346</v>
      </c>
    </row>
    <row r="118" customFormat="false" ht="29.25" hidden="false" customHeight="true" outlineLevel="0" collapsed="false">
      <c r="A118" s="19" t="s">
        <v>347</v>
      </c>
      <c r="B118" s="18" t="s">
        <v>348</v>
      </c>
      <c r="C118" s="19" t="s">
        <v>165</v>
      </c>
      <c r="D118" s="20" t="n">
        <v>4</v>
      </c>
      <c r="E118" s="20" t="n">
        <v>1000</v>
      </c>
      <c r="F118" s="20" t="n">
        <f aca="false">D118*E118</f>
        <v>4000</v>
      </c>
      <c r="G118" s="21" t="s">
        <v>145</v>
      </c>
    </row>
    <row r="119" customFormat="false" ht="29.25" hidden="false" customHeight="true" outlineLevel="0" collapsed="false">
      <c r="A119" s="19" t="s">
        <v>349</v>
      </c>
      <c r="B119" s="18" t="s">
        <v>350</v>
      </c>
      <c r="C119" s="19" t="s">
        <v>72</v>
      </c>
      <c r="D119" s="20" t="n">
        <v>6</v>
      </c>
      <c r="E119" s="20" t="n">
        <v>750</v>
      </c>
      <c r="F119" s="20" t="n">
        <f aca="false">D119*E119</f>
        <v>4500</v>
      </c>
      <c r="G119" s="21" t="s">
        <v>145</v>
      </c>
    </row>
    <row r="120" customFormat="false" ht="29.25" hidden="false" customHeight="true" outlineLevel="0" collapsed="false">
      <c r="A120" s="19" t="s">
        <v>351</v>
      </c>
      <c r="B120" s="18" t="s">
        <v>352</v>
      </c>
      <c r="C120" s="19" t="s">
        <v>309</v>
      </c>
      <c r="D120" s="20" t="n">
        <v>2</v>
      </c>
      <c r="E120" s="20" t="n">
        <v>750</v>
      </c>
      <c r="F120" s="20" t="n">
        <f aca="false">D120*E120</f>
        <v>1500</v>
      </c>
      <c r="G120" s="21" t="s">
        <v>145</v>
      </c>
    </row>
    <row r="121" customFormat="false" ht="67.5" hidden="false" customHeight="true" outlineLevel="0" collapsed="false">
      <c r="A121" s="19" t="s">
        <v>353</v>
      </c>
      <c r="B121" s="18" t="s">
        <v>354</v>
      </c>
      <c r="C121" s="19" t="s">
        <v>98</v>
      </c>
      <c r="D121" s="20" t="n">
        <v>1</v>
      </c>
      <c r="E121" s="20" t="n">
        <v>6000</v>
      </c>
      <c r="F121" s="20" t="n">
        <f aca="false">D121*E121</f>
        <v>6000</v>
      </c>
      <c r="G121" s="21" t="s">
        <v>355</v>
      </c>
    </row>
    <row r="122" customFormat="false" ht="29.25" hidden="false" customHeight="true" outlineLevel="0" collapsed="false">
      <c r="A122" s="19" t="s">
        <v>356</v>
      </c>
      <c r="B122" s="18" t="s">
        <v>357</v>
      </c>
      <c r="C122" s="19" t="s">
        <v>98</v>
      </c>
      <c r="D122" s="20" t="n">
        <v>0.5</v>
      </c>
      <c r="E122" s="20" t="n">
        <v>8000</v>
      </c>
      <c r="F122" s="20" t="n">
        <f aca="false">D122*E122</f>
        <v>4000</v>
      </c>
      <c r="G122" s="21" t="s">
        <v>145</v>
      </c>
    </row>
    <row r="123" customFormat="false" ht="67.5" hidden="false" customHeight="true" outlineLevel="0" collapsed="false">
      <c r="A123" s="19" t="s">
        <v>358</v>
      </c>
      <c r="B123" s="18" t="s">
        <v>359</v>
      </c>
      <c r="C123" s="19" t="s">
        <v>165</v>
      </c>
      <c r="D123" s="22" t="n">
        <f aca="false">Programme!$G$198</f>
        <v>4</v>
      </c>
      <c r="E123" s="20" t="n">
        <v>500</v>
      </c>
      <c r="F123" s="20" t="n">
        <f aca="false">D123*E123</f>
        <v>2000</v>
      </c>
      <c r="G123" s="21" t="s">
        <v>360</v>
      </c>
    </row>
    <row r="124" customFormat="false" ht="144.75" hidden="false" customHeight="true" outlineLevel="0" collapsed="false">
      <c r="A124" s="19" t="s">
        <v>361</v>
      </c>
      <c r="B124" s="18" t="s">
        <v>362</v>
      </c>
      <c r="C124" s="19" t="s">
        <v>148</v>
      </c>
      <c r="D124" s="20" t="n">
        <v>0</v>
      </c>
      <c r="E124" s="20" t="n">
        <v>0</v>
      </c>
      <c r="F124" s="20" t="n">
        <f aca="false">D124*E124</f>
        <v>0</v>
      </c>
      <c r="G124" s="21" t="s">
        <v>363</v>
      </c>
    </row>
    <row r="125" customFormat="false" ht="207.75" hidden="false" customHeight="true" outlineLevel="0" collapsed="false">
      <c r="A125" s="19" t="s">
        <v>364</v>
      </c>
      <c r="B125" s="18" t="s">
        <v>365</v>
      </c>
      <c r="C125" s="19" t="s">
        <v>217</v>
      </c>
      <c r="D125" s="22" t="n">
        <f aca="false">Programme!$G$197</f>
        <v>1020</v>
      </c>
      <c r="E125" s="22" t="n">
        <f aca="false">E102</f>
        <v>15</v>
      </c>
      <c r="F125" s="20" t="n">
        <f aca="false">D125*E125</f>
        <v>15300</v>
      </c>
      <c r="G125" s="21" t="s">
        <v>366</v>
      </c>
    </row>
    <row r="126" customFormat="false" ht="207.75" hidden="false" customHeight="true" outlineLevel="0" collapsed="false">
      <c r="A126" s="19" t="s">
        <v>367</v>
      </c>
      <c r="B126" s="18" t="s">
        <v>368</v>
      </c>
      <c r="C126" s="19" t="s">
        <v>212</v>
      </c>
      <c r="D126" s="20" t="n">
        <v>2</v>
      </c>
      <c r="E126" s="20" t="n">
        <v>2000</v>
      </c>
      <c r="F126" s="20" t="n">
        <f aca="false">D126*E126</f>
        <v>4000</v>
      </c>
      <c r="G126" s="21" t="s">
        <v>369</v>
      </c>
    </row>
    <row r="127" customFormat="false" ht="161.25" hidden="false" customHeight="true" outlineLevel="0" collapsed="false">
      <c r="A127" s="19" t="s">
        <v>370</v>
      </c>
      <c r="B127" s="18" t="s">
        <v>371</v>
      </c>
      <c r="C127" s="19" t="s">
        <v>212</v>
      </c>
      <c r="D127" s="20" t="n">
        <v>2</v>
      </c>
      <c r="E127" s="20" t="n">
        <v>1780</v>
      </c>
      <c r="F127" s="20" t="n">
        <f aca="false">D127*E127</f>
        <v>3560</v>
      </c>
      <c r="G127" s="21" t="s">
        <v>372</v>
      </c>
    </row>
    <row r="128" customFormat="false" ht="19.5" hidden="false" customHeight="true" outlineLevel="0" collapsed="false">
      <c r="A128" s="39"/>
      <c r="B128" s="26" t="s">
        <v>373</v>
      </c>
      <c r="C128" s="39"/>
      <c r="D128" s="39"/>
      <c r="E128" s="39"/>
      <c r="F128" s="41" t="n">
        <f aca="false">SUM(F102:F127)</f>
        <v>159075</v>
      </c>
      <c r="G128" s="39"/>
    </row>
    <row r="129" customFormat="false" ht="14.25" hidden="false" customHeight="true" outlineLevel="0" collapsed="false">
      <c r="A129" s="45"/>
      <c r="B129" s="46" t="s">
        <v>374</v>
      </c>
      <c r="C129" s="45"/>
      <c r="D129" s="45"/>
      <c r="E129" s="45"/>
      <c r="F129" s="47" t="n">
        <f aca="false">F128/2</f>
        <v>79537.5</v>
      </c>
      <c r="G129" s="42" t="s">
        <v>375</v>
      </c>
    </row>
    <row r="131" customFormat="false" ht="21" hidden="false" customHeight="true" outlineLevel="0" collapsed="false">
      <c r="A131" s="16" t="s">
        <v>376</v>
      </c>
      <c r="B131" s="16"/>
      <c r="C131" s="16"/>
      <c r="D131" s="16"/>
      <c r="E131" s="16"/>
      <c r="F131" s="16"/>
      <c r="G131" s="16"/>
    </row>
    <row r="132" customFormat="false" ht="75" hidden="false" customHeight="true" outlineLevel="0" collapsed="false">
      <c r="A132" s="36" t="s">
        <v>377</v>
      </c>
      <c r="B132" s="36"/>
      <c r="C132" s="36"/>
      <c r="D132" s="36"/>
      <c r="E132" s="36"/>
      <c r="F132" s="36"/>
      <c r="G132" s="36"/>
    </row>
    <row r="133" customFormat="false" ht="24" hidden="false" customHeight="true" outlineLevel="0" collapsed="false">
      <c r="A133" s="14" t="s">
        <v>94</v>
      </c>
      <c r="B133" s="14" t="s">
        <v>36</v>
      </c>
      <c r="C133" s="14" t="s">
        <v>37</v>
      </c>
      <c r="D133" s="14" t="s">
        <v>38</v>
      </c>
      <c r="E133" s="14" t="s">
        <v>39</v>
      </c>
      <c r="F133" s="14" t="s">
        <v>40</v>
      </c>
      <c r="G133" s="14" t="s">
        <v>95</v>
      </c>
    </row>
    <row r="134" customFormat="false" ht="93" hidden="false" customHeight="true" outlineLevel="0" collapsed="false">
      <c r="A134" s="19" t="s">
        <v>378</v>
      </c>
      <c r="B134" s="18" t="s">
        <v>379</v>
      </c>
      <c r="C134" s="19" t="s">
        <v>380</v>
      </c>
      <c r="D134" s="20" t="n">
        <v>200</v>
      </c>
      <c r="E134" s="20" t="n">
        <v>400</v>
      </c>
      <c r="F134" s="20" t="n">
        <f aca="false">D134*E134</f>
        <v>80000</v>
      </c>
      <c r="G134" s="21" t="s">
        <v>381</v>
      </c>
    </row>
    <row r="135" customFormat="false" ht="105.75" hidden="false" customHeight="true" outlineLevel="0" collapsed="false">
      <c r="A135" s="19" t="s">
        <v>382</v>
      </c>
      <c r="B135" s="18" t="s">
        <v>383</v>
      </c>
      <c r="C135" s="19" t="s">
        <v>380</v>
      </c>
      <c r="D135" s="20" t="n">
        <v>60</v>
      </c>
      <c r="E135" s="20" t="n">
        <v>120</v>
      </c>
      <c r="F135" s="20" t="n">
        <f aca="false">D135*E135</f>
        <v>7200</v>
      </c>
      <c r="G135" s="21" t="s">
        <v>384</v>
      </c>
    </row>
    <row r="136" customFormat="false" ht="80.25" hidden="false" customHeight="true" outlineLevel="0" collapsed="false">
      <c r="A136" s="19" t="s">
        <v>385</v>
      </c>
      <c r="B136" s="18" t="s">
        <v>386</v>
      </c>
      <c r="C136" s="19" t="s">
        <v>72</v>
      </c>
      <c r="D136" s="20" t="n">
        <v>10</v>
      </c>
      <c r="E136" s="20" t="n">
        <v>5500</v>
      </c>
      <c r="F136" s="20" t="n">
        <f aca="false">D136*E136</f>
        <v>55000</v>
      </c>
      <c r="G136" s="21" t="s">
        <v>387</v>
      </c>
    </row>
    <row r="137" customFormat="false" ht="29.25" hidden="false" customHeight="true" outlineLevel="0" collapsed="false">
      <c r="A137" s="19" t="s">
        <v>388</v>
      </c>
      <c r="B137" s="18" t="s">
        <v>389</v>
      </c>
      <c r="C137" s="19" t="s">
        <v>72</v>
      </c>
      <c r="D137" s="20" t="n">
        <v>4</v>
      </c>
      <c r="E137" s="20" t="n">
        <v>2500</v>
      </c>
      <c r="F137" s="20" t="n">
        <f aca="false">D137*E137</f>
        <v>10000</v>
      </c>
      <c r="G137" s="21" t="s">
        <v>145</v>
      </c>
    </row>
    <row r="138" customFormat="false" ht="29.25" hidden="false" customHeight="true" outlineLevel="0" collapsed="false">
      <c r="A138" s="19" t="s">
        <v>390</v>
      </c>
      <c r="B138" s="18" t="s">
        <v>391</v>
      </c>
      <c r="C138" s="19" t="s">
        <v>72</v>
      </c>
      <c r="D138" s="20" t="n">
        <v>8</v>
      </c>
      <c r="E138" s="20" t="n">
        <v>375</v>
      </c>
      <c r="F138" s="20" t="n">
        <f aca="false">D138*E138</f>
        <v>3000</v>
      </c>
      <c r="G138" s="21" t="s">
        <v>145</v>
      </c>
    </row>
    <row r="139" customFormat="false" ht="29.25" hidden="false" customHeight="true" outlineLevel="0" collapsed="false">
      <c r="A139" s="19" t="s">
        <v>392</v>
      </c>
      <c r="B139" s="18" t="s">
        <v>393</v>
      </c>
      <c r="C139" s="19" t="s">
        <v>394</v>
      </c>
      <c r="D139" s="20" t="n">
        <v>2</v>
      </c>
      <c r="E139" s="20" t="n">
        <v>3500</v>
      </c>
      <c r="F139" s="20" t="n">
        <f aca="false">D139*E139</f>
        <v>7000</v>
      </c>
      <c r="G139" s="21" t="s">
        <v>145</v>
      </c>
    </row>
    <row r="140" customFormat="false" ht="29.25" hidden="false" customHeight="true" outlineLevel="0" collapsed="false">
      <c r="A140" s="19" t="s">
        <v>395</v>
      </c>
      <c r="B140" s="18" t="s">
        <v>396</v>
      </c>
      <c r="C140" s="19" t="s">
        <v>72</v>
      </c>
      <c r="D140" s="20" t="n">
        <v>40</v>
      </c>
      <c r="E140" s="20" t="n">
        <v>250</v>
      </c>
      <c r="F140" s="20" t="n">
        <f aca="false">D140*E140</f>
        <v>10000</v>
      </c>
      <c r="G140" s="21" t="s">
        <v>145</v>
      </c>
    </row>
    <row r="141" customFormat="false" ht="29.25" hidden="false" customHeight="true" outlineLevel="0" collapsed="false">
      <c r="A141" s="19" t="s">
        <v>397</v>
      </c>
      <c r="B141" s="18" t="s">
        <v>398</v>
      </c>
      <c r="C141" s="19" t="s">
        <v>72</v>
      </c>
      <c r="D141" s="20" t="n">
        <v>8</v>
      </c>
      <c r="E141" s="20" t="n">
        <v>625</v>
      </c>
      <c r="F141" s="20" t="n">
        <f aca="false">D141*E141</f>
        <v>5000</v>
      </c>
      <c r="G141" s="21" t="s">
        <v>145</v>
      </c>
    </row>
    <row r="142" customFormat="false" ht="39" hidden="false" customHeight="true" outlineLevel="0" collapsed="false">
      <c r="A142" s="19" t="s">
        <v>399</v>
      </c>
      <c r="B142" s="18" t="s">
        <v>400</v>
      </c>
      <c r="C142" s="19" t="s">
        <v>72</v>
      </c>
      <c r="D142" s="20" t="n">
        <v>2</v>
      </c>
      <c r="E142" s="20" t="n">
        <v>3500</v>
      </c>
      <c r="F142" s="20" t="n">
        <f aca="false">D142*E142</f>
        <v>7000</v>
      </c>
      <c r="G142" s="21" t="s">
        <v>145</v>
      </c>
    </row>
    <row r="143" customFormat="false" ht="67.5" hidden="false" customHeight="true" outlineLevel="0" collapsed="false">
      <c r="A143" s="19" t="s">
        <v>401</v>
      </c>
      <c r="B143" s="18" t="s">
        <v>402</v>
      </c>
      <c r="C143" s="19" t="s">
        <v>72</v>
      </c>
      <c r="D143" s="20" t="n">
        <v>2</v>
      </c>
      <c r="E143" s="20" t="n">
        <v>4500</v>
      </c>
      <c r="F143" s="20" t="n">
        <f aca="false">D143*E143</f>
        <v>9000</v>
      </c>
      <c r="G143" s="21" t="s">
        <v>403</v>
      </c>
    </row>
    <row r="144" customFormat="false" ht="42" hidden="false" customHeight="true" outlineLevel="0" collapsed="false">
      <c r="A144" s="19" t="s">
        <v>404</v>
      </c>
      <c r="B144" s="18" t="s">
        <v>405</v>
      </c>
      <c r="C144" s="19" t="s">
        <v>380</v>
      </c>
      <c r="D144" s="20" t="n">
        <v>160</v>
      </c>
      <c r="E144" s="20" t="n">
        <v>25</v>
      </c>
      <c r="F144" s="20" t="n">
        <f aca="false">D144*E144</f>
        <v>4000</v>
      </c>
      <c r="G144" s="21" t="s">
        <v>406</v>
      </c>
    </row>
    <row r="145" customFormat="false" ht="29.25" hidden="false" customHeight="true" outlineLevel="0" collapsed="false">
      <c r="A145" s="19" t="s">
        <v>407</v>
      </c>
      <c r="B145" s="18" t="s">
        <v>408</v>
      </c>
      <c r="C145" s="19" t="s">
        <v>209</v>
      </c>
      <c r="D145" s="20" t="n">
        <v>2</v>
      </c>
      <c r="E145" s="20" t="n">
        <v>2500</v>
      </c>
      <c r="F145" s="20" t="n">
        <f aca="false">D145*E145</f>
        <v>5000</v>
      </c>
      <c r="G145" s="21" t="s">
        <v>145</v>
      </c>
    </row>
    <row r="146" customFormat="false" ht="29.25" hidden="false" customHeight="true" outlineLevel="0" collapsed="false">
      <c r="A146" s="19" t="s">
        <v>409</v>
      </c>
      <c r="B146" s="18" t="s">
        <v>410</v>
      </c>
      <c r="C146" s="19" t="s">
        <v>72</v>
      </c>
      <c r="D146" s="20" t="n">
        <v>2</v>
      </c>
      <c r="E146" s="20" t="n">
        <v>1500</v>
      </c>
      <c r="F146" s="20" t="n">
        <f aca="false">D146*E146</f>
        <v>3000</v>
      </c>
      <c r="G146" s="21" t="s">
        <v>145</v>
      </c>
    </row>
    <row r="147" customFormat="false" ht="54.75" hidden="false" customHeight="true" outlineLevel="0" collapsed="false">
      <c r="A147" s="19" t="s">
        <v>411</v>
      </c>
      <c r="B147" s="18" t="s">
        <v>412</v>
      </c>
      <c r="C147" s="19" t="s">
        <v>72</v>
      </c>
      <c r="D147" s="20" t="n">
        <v>2</v>
      </c>
      <c r="E147" s="20" t="n">
        <v>6000</v>
      </c>
      <c r="F147" s="20" t="n">
        <f aca="false">D147*E147</f>
        <v>12000</v>
      </c>
      <c r="G147" s="21" t="s">
        <v>413</v>
      </c>
    </row>
    <row r="148" customFormat="false" ht="29.25" hidden="false" customHeight="true" outlineLevel="0" collapsed="false">
      <c r="A148" s="19" t="s">
        <v>414</v>
      </c>
      <c r="B148" s="18" t="s">
        <v>415</v>
      </c>
      <c r="C148" s="19" t="s">
        <v>72</v>
      </c>
      <c r="D148" s="20" t="n">
        <v>2</v>
      </c>
      <c r="E148" s="20" t="n">
        <v>4000</v>
      </c>
      <c r="F148" s="20" t="n">
        <f aca="false">D148*E148</f>
        <v>8000</v>
      </c>
      <c r="G148" s="21" t="s">
        <v>145</v>
      </c>
    </row>
    <row r="149" customFormat="false" ht="29.25" hidden="false" customHeight="true" outlineLevel="0" collapsed="false">
      <c r="A149" s="19" t="s">
        <v>416</v>
      </c>
      <c r="B149" s="18" t="s">
        <v>417</v>
      </c>
      <c r="C149" s="19" t="s">
        <v>309</v>
      </c>
      <c r="D149" s="20" t="n">
        <v>2</v>
      </c>
      <c r="E149" s="20" t="n">
        <v>1500</v>
      </c>
      <c r="F149" s="20" t="n">
        <f aca="false">D149*E149</f>
        <v>3000</v>
      </c>
      <c r="G149" s="21" t="s">
        <v>145</v>
      </c>
    </row>
    <row r="150" customFormat="false" ht="29.25" hidden="false" customHeight="true" outlineLevel="0" collapsed="false">
      <c r="A150" s="19" t="s">
        <v>418</v>
      </c>
      <c r="B150" s="18" t="s">
        <v>419</v>
      </c>
      <c r="C150" s="19" t="s">
        <v>217</v>
      </c>
      <c r="D150" s="20" t="n">
        <v>300</v>
      </c>
      <c r="E150" s="20" t="n">
        <v>15</v>
      </c>
      <c r="F150" s="20" t="n">
        <f aca="false">D150*E150</f>
        <v>4500</v>
      </c>
      <c r="G150" s="21" t="s">
        <v>145</v>
      </c>
    </row>
    <row r="151" customFormat="false" ht="29.25" hidden="false" customHeight="true" outlineLevel="0" collapsed="false">
      <c r="A151" s="19" t="s">
        <v>420</v>
      </c>
      <c r="B151" s="18" t="s">
        <v>421</v>
      </c>
      <c r="C151" s="19" t="s">
        <v>144</v>
      </c>
      <c r="D151" s="20" t="n">
        <v>24</v>
      </c>
      <c r="E151" s="20" t="n">
        <v>150</v>
      </c>
      <c r="F151" s="20" t="n">
        <f aca="false">D151*E151</f>
        <v>3600</v>
      </c>
      <c r="G151" s="21" t="s">
        <v>145</v>
      </c>
    </row>
    <row r="152" customFormat="false" ht="29.25" hidden="false" customHeight="true" outlineLevel="0" collapsed="false">
      <c r="A152" s="19" t="s">
        <v>422</v>
      </c>
      <c r="B152" s="18" t="s">
        <v>423</v>
      </c>
      <c r="C152" s="19" t="s">
        <v>424</v>
      </c>
      <c r="D152" s="20" t="n">
        <v>2</v>
      </c>
      <c r="E152" s="20" t="n">
        <v>1800</v>
      </c>
      <c r="F152" s="20" t="n">
        <f aca="false">D152*E152</f>
        <v>3600</v>
      </c>
      <c r="G152" s="21" t="s">
        <v>145</v>
      </c>
    </row>
    <row r="153" customFormat="false" ht="29.25" hidden="false" customHeight="true" outlineLevel="0" collapsed="false">
      <c r="A153" s="19" t="s">
        <v>425</v>
      </c>
      <c r="B153" s="18" t="s">
        <v>426</v>
      </c>
      <c r="C153" s="19" t="s">
        <v>380</v>
      </c>
      <c r="D153" s="20" t="n">
        <v>260</v>
      </c>
      <c r="E153" s="20" t="n">
        <v>20</v>
      </c>
      <c r="F153" s="20" t="n">
        <f aca="false">D153*E153</f>
        <v>5200</v>
      </c>
      <c r="G153" s="21" t="s">
        <v>145</v>
      </c>
    </row>
    <row r="154" customFormat="false" ht="54" hidden="false" customHeight="true" outlineLevel="0" collapsed="false">
      <c r="A154" s="19" t="s">
        <v>427</v>
      </c>
      <c r="B154" s="18" t="s">
        <v>428</v>
      </c>
      <c r="C154" s="19" t="s">
        <v>72</v>
      </c>
      <c r="D154" s="20" t="n">
        <v>97</v>
      </c>
      <c r="E154" s="20" t="n">
        <v>40</v>
      </c>
      <c r="F154" s="20" t="n">
        <f aca="false">D154*E154</f>
        <v>3880</v>
      </c>
      <c r="G154" s="21" t="s">
        <v>429</v>
      </c>
    </row>
    <row r="155" customFormat="false" ht="19.5" hidden="false" customHeight="true" outlineLevel="0" collapsed="false">
      <c r="A155" s="39"/>
      <c r="B155" s="40" t="s">
        <v>430</v>
      </c>
      <c r="C155" s="39"/>
      <c r="D155" s="39"/>
      <c r="E155" s="39"/>
      <c r="F155" s="41" t="n">
        <f aca="false">SUM(F134:F154)</f>
        <v>248980</v>
      </c>
      <c r="G155" s="42" t="s">
        <v>431</v>
      </c>
    </row>
    <row r="156" customFormat="false" ht="18" hidden="false" customHeight="true" outlineLevel="0" collapsed="false">
      <c r="B156" s="43" t="s">
        <v>432</v>
      </c>
    </row>
    <row r="157" customFormat="false" ht="118.5" hidden="false" customHeight="true" outlineLevel="0" collapsed="false">
      <c r="A157" s="19" t="s">
        <v>433</v>
      </c>
      <c r="B157" s="18" t="s">
        <v>434</v>
      </c>
      <c r="C157" s="19" t="s">
        <v>380</v>
      </c>
      <c r="D157" s="22" t="n">
        <f aca="false">D134</f>
        <v>200</v>
      </c>
      <c r="E157" s="20" t="n">
        <v>280</v>
      </c>
      <c r="F157" s="20" t="n">
        <f aca="false">D157*E157</f>
        <v>56000</v>
      </c>
      <c r="G157" s="21" t="s">
        <v>435</v>
      </c>
    </row>
    <row r="158" customFormat="false" ht="54.75" hidden="false" customHeight="true" outlineLevel="0" collapsed="false">
      <c r="A158" s="19" t="s">
        <v>436</v>
      </c>
      <c r="B158" s="18" t="s">
        <v>437</v>
      </c>
      <c r="C158" s="19" t="s">
        <v>380</v>
      </c>
      <c r="D158" s="22" t="n">
        <f aca="false">D135</f>
        <v>60</v>
      </c>
      <c r="E158" s="22" t="n">
        <f aca="false">E135</f>
        <v>120</v>
      </c>
      <c r="F158" s="20" t="n">
        <f aca="false">D158*E158</f>
        <v>7200</v>
      </c>
      <c r="G158" s="21" t="s">
        <v>438</v>
      </c>
    </row>
    <row r="159" customFormat="false" ht="54.75" hidden="false" customHeight="true" outlineLevel="0" collapsed="false">
      <c r="A159" s="19" t="s">
        <v>439</v>
      </c>
      <c r="B159" s="18" t="s">
        <v>440</v>
      </c>
      <c r="C159" s="19" t="s">
        <v>72</v>
      </c>
      <c r="D159" s="20" t="n">
        <v>1</v>
      </c>
      <c r="E159" s="20" t="n">
        <v>6500</v>
      </c>
      <c r="F159" s="20" t="n">
        <f aca="false">D159*E159</f>
        <v>6500</v>
      </c>
      <c r="G159" s="21" t="s">
        <v>441</v>
      </c>
    </row>
    <row r="160" customFormat="false" ht="67.5" hidden="false" customHeight="true" outlineLevel="0" collapsed="false">
      <c r="A160" s="19" t="s">
        <v>442</v>
      </c>
      <c r="B160" s="18" t="s">
        <v>443</v>
      </c>
      <c r="C160" s="19" t="s">
        <v>72</v>
      </c>
      <c r="D160" s="20" t="n">
        <v>1</v>
      </c>
      <c r="E160" s="20" t="n">
        <v>14000</v>
      </c>
      <c r="F160" s="20" t="n">
        <f aca="false">D160*E160</f>
        <v>14000</v>
      </c>
      <c r="G160" s="21" t="s">
        <v>444</v>
      </c>
    </row>
    <row r="161" customFormat="false" ht="42" hidden="false" customHeight="true" outlineLevel="0" collapsed="false">
      <c r="A161" s="19" t="s">
        <v>445</v>
      </c>
      <c r="B161" s="18" t="s">
        <v>446</v>
      </c>
      <c r="C161" s="19" t="s">
        <v>72</v>
      </c>
      <c r="D161" s="22" t="n">
        <f aca="false">D136-2</f>
        <v>8</v>
      </c>
      <c r="E161" s="22" t="n">
        <f aca="false">E136</f>
        <v>5500</v>
      </c>
      <c r="F161" s="20" t="n">
        <f aca="false">D161*E161</f>
        <v>44000</v>
      </c>
      <c r="G161" s="21" t="s">
        <v>447</v>
      </c>
    </row>
    <row r="162" customFormat="false" ht="14.25" hidden="false" customHeight="true" outlineLevel="0" collapsed="false">
      <c r="B162" s="43" t="s">
        <v>448</v>
      </c>
      <c r="F162" s="44" t="n">
        <f aca="false">SUM(F157:F161)</f>
        <v>127700</v>
      </c>
    </row>
    <row r="163" customFormat="false" ht="14.25" hidden="false" customHeight="true" outlineLevel="0" collapsed="false">
      <c r="B163" s="43" t="s">
        <v>449</v>
      </c>
      <c r="F163" s="48" t="n">
        <f aca="false">F134+F135+F136</f>
        <v>142200</v>
      </c>
    </row>
    <row r="164" customFormat="false" ht="30" hidden="false" customHeight="true" outlineLevel="0" collapsed="false">
      <c r="B164" s="43" t="s">
        <v>450</v>
      </c>
      <c r="F164" s="48" t="n">
        <f aca="false">F163-F162</f>
        <v>14500</v>
      </c>
    </row>
    <row r="166" customFormat="false" ht="21" hidden="false" customHeight="true" outlineLevel="0" collapsed="false">
      <c r="A166" s="16" t="s">
        <v>451</v>
      </c>
      <c r="B166" s="16"/>
      <c r="C166" s="16"/>
      <c r="D166" s="16"/>
      <c r="E166" s="16"/>
      <c r="F166" s="16"/>
      <c r="G166" s="16"/>
    </row>
    <row r="167" customFormat="false" ht="28.5" hidden="false" customHeight="true" outlineLevel="0" collapsed="false">
      <c r="A167" s="49" t="s">
        <v>452</v>
      </c>
      <c r="B167" s="49"/>
      <c r="C167" s="49"/>
      <c r="D167" s="49"/>
      <c r="E167" s="49"/>
      <c r="F167" s="49"/>
      <c r="G167" s="49"/>
    </row>
    <row r="168" customFormat="false" ht="223.5" hidden="false" customHeight="true" outlineLevel="0" collapsed="false">
      <c r="A168" s="49" t="s">
        <v>453</v>
      </c>
      <c r="B168" s="49"/>
      <c r="C168" s="49"/>
      <c r="D168" s="49"/>
      <c r="E168" s="49"/>
      <c r="F168" s="49"/>
      <c r="G168" s="49"/>
    </row>
    <row r="169" customFormat="false" ht="63" hidden="false" customHeight="true" outlineLevel="0" collapsed="false">
      <c r="A169" s="49" t="s">
        <v>454</v>
      </c>
      <c r="B169" s="49"/>
      <c r="C169" s="49"/>
      <c r="D169" s="49"/>
      <c r="E169" s="49"/>
      <c r="F169" s="49"/>
      <c r="G169" s="49"/>
    </row>
    <row r="170" customFormat="false" ht="95.25" hidden="false" customHeight="true" outlineLevel="0" collapsed="false">
      <c r="A170" s="49" t="s">
        <v>455</v>
      </c>
      <c r="B170" s="49"/>
      <c r="C170" s="49"/>
      <c r="D170" s="49"/>
      <c r="E170" s="49"/>
      <c r="F170" s="49"/>
      <c r="G170" s="49"/>
    </row>
    <row r="171" customFormat="false" ht="51.75" hidden="false" customHeight="true" outlineLevel="0" collapsed="false">
      <c r="A171" s="49" t="s">
        <v>456</v>
      </c>
      <c r="B171" s="49"/>
      <c r="C171" s="49"/>
      <c r="D171" s="49"/>
      <c r="E171" s="49"/>
      <c r="F171" s="49"/>
      <c r="G171" s="49"/>
    </row>
    <row r="172" customFormat="false" ht="28.5" hidden="false" customHeight="true" outlineLevel="0" collapsed="false">
      <c r="A172" s="49" t="s">
        <v>457</v>
      </c>
      <c r="B172" s="49"/>
      <c r="C172" s="49"/>
      <c r="D172" s="49"/>
      <c r="E172" s="49"/>
      <c r="F172" s="49"/>
      <c r="G172" s="49"/>
    </row>
    <row r="173" customFormat="false" ht="21" hidden="false" customHeight="true" outlineLevel="0" collapsed="false">
      <c r="A173" s="50" t="s">
        <v>458</v>
      </c>
      <c r="B173" s="50"/>
      <c r="C173" s="50"/>
      <c r="D173" s="50"/>
      <c r="E173" s="50"/>
      <c r="F173" s="50"/>
      <c r="G173" s="50"/>
    </row>
    <row r="174" customFormat="false" ht="21" hidden="false" customHeight="true" outlineLevel="0" collapsed="false">
      <c r="A174" s="50" t="s">
        <v>459</v>
      </c>
      <c r="B174" s="50"/>
      <c r="C174" s="50"/>
      <c r="D174" s="50"/>
      <c r="E174" s="50"/>
      <c r="F174" s="50"/>
      <c r="G174" s="50"/>
    </row>
    <row r="175" customFormat="false" ht="155.25" hidden="false" customHeight="true" outlineLevel="0" collapsed="false">
      <c r="A175" s="49" t="s">
        <v>460</v>
      </c>
      <c r="B175" s="49"/>
      <c r="C175" s="49"/>
      <c r="D175" s="49"/>
      <c r="E175" s="49"/>
      <c r="F175" s="49"/>
      <c r="G175" s="49"/>
    </row>
  </sheetData>
  <mergeCells count="27">
    <mergeCell ref="A4:G4"/>
    <mergeCell ref="A6:G6"/>
    <mergeCell ref="A7:G7"/>
    <mergeCell ref="A34:G34"/>
    <mergeCell ref="A35:G35"/>
    <mergeCell ref="A44:G44"/>
    <mergeCell ref="A45:G45"/>
    <mergeCell ref="A66:G66"/>
    <mergeCell ref="A67:G67"/>
    <mergeCell ref="A72:G72"/>
    <mergeCell ref="A73:G73"/>
    <mergeCell ref="A93:G93"/>
    <mergeCell ref="A94:G94"/>
    <mergeCell ref="A99:G99"/>
    <mergeCell ref="A100:G100"/>
    <mergeCell ref="A131:G131"/>
    <mergeCell ref="A132:G132"/>
    <mergeCell ref="A166:G166"/>
    <mergeCell ref="A167:G167"/>
    <mergeCell ref="A168:G168"/>
    <mergeCell ref="A169:G169"/>
    <mergeCell ref="A170:G170"/>
    <mergeCell ref="A171:G171"/>
    <mergeCell ref="A172:G172"/>
    <mergeCell ref="A173:G173"/>
    <mergeCell ref="A174:G174"/>
    <mergeCell ref="A175:G175"/>
  </mergeCells>
  <hyperlinks>
    <hyperlink ref="B5" location="'Assessment'!A1" display="Back to 'Assessment'"/>
    <hyperlink ref="G5" location="'Programme'!A1" display="Forward to 'Programme' (dates, people and plant behind the quantities)"/>
    <hyperlink ref="D9" location="'Programme'!A164" display="#'Programme'.A164"/>
    <hyperlink ref="D10" location="'Programme'!A165" display="#'Programme'.A165"/>
    <hyperlink ref="D11" location="'Programme'!A166" display="#'Programme'.A166"/>
    <hyperlink ref="D12" location="'Programme'!A167" display="#'Programme'.A167"/>
    <hyperlink ref="D13" location="'Programme'!A168" display="#'Programme'.A168"/>
    <hyperlink ref="D14" location="'Programme'!A169" display="#'Programme'.A169"/>
    <hyperlink ref="D15" location="'Programme'!A171" display="#'Programme'.A171"/>
    <hyperlink ref="D16" location="'Programme'!A172" display="#'Programme'.A172"/>
    <hyperlink ref="D17" location="'Programme'!A173" display="#'Programme'.A173"/>
    <hyperlink ref="D18" location="'Programme'!A174" display="#'Programme'.A174"/>
    <hyperlink ref="D19" location="'Programme'!A175" display="#'Programme'.A175"/>
    <hyperlink ref="D20" location="'Programme'!A176" display="#'Programme'.A176"/>
    <hyperlink ref="D21" location="'Programme'!A177" display="#'Programme'.A177"/>
    <hyperlink ref="B32" location="'Assessment'!A8" display="TOTAL ITEM 1 - goes to 'Assessment' item 1, column J"/>
    <hyperlink ref="G32" location="'Assessment'!A8" display="Return to 'Assessment' item 1"/>
    <hyperlink ref="B42" location="'Assessment'!A10" display="TOTAL ITEM 2 - goes to 'Assessment' item 2, column J"/>
    <hyperlink ref="G42" location="'Assessment'!A10" display="Return to 'Assessment' item 2"/>
    <hyperlink ref="B48" location="'Assessment'!A12" display="TOTAL ITEM 3 - goes to 'Assessment' item 3, column J"/>
    <hyperlink ref="G48" location="'Assessment'!A12" display="Return to 'Assessment' item 3"/>
    <hyperlink ref="B70" location="'Assessment'!A13" display="TOTAL ITEM 4 - goes to 'Assessment' item 4, column J"/>
    <hyperlink ref="G70" location="'Assessment'!A13" display="Return to 'Assessment' item 4"/>
    <hyperlink ref="D75" location="'Programme'!A178" display="#'Programme'.A178"/>
    <hyperlink ref="D76" location="'Programme'!A179" display="#'Programme'.A179"/>
    <hyperlink ref="D78" location="'Programme'!A180" display="#'Programme'.A180"/>
    <hyperlink ref="D80" location="'Programme'!A181" display="#'Programme'.A181"/>
    <hyperlink ref="D81" location="'Programme'!A182" display="#'Programme'.A182"/>
    <hyperlink ref="D82" location="'Programme'!A183" display="#'Programme'.A183"/>
    <hyperlink ref="D83" location="'Programme'!A184" display="#'Programme'.A184"/>
    <hyperlink ref="D84" location="'Programme'!A185" display="#'Programme'.A185"/>
    <hyperlink ref="D85" location="'Programme'!A186" display="#'Programme'.A186"/>
    <hyperlink ref="D88" location="'Programme'!A187" display="#'Programme'.A187"/>
    <hyperlink ref="D90" location="'Programme'!A49" display="#'Programme'.A49"/>
    <hyperlink ref="E90" location="'Build-Up'!A69" display="#'Build-Up'.A69"/>
    <hyperlink ref="B91" location="'Assessment'!A14" display="TOTAL ITEM 5 - goes to 'Assessment' item 5, column J"/>
    <hyperlink ref="G91" location="'Assessment'!A14" display="Return to 'Assessment' item 5"/>
    <hyperlink ref="B97" location="'Assessment'!A16" display="RATE PER TANK - goes to 'Assessment' item 6, column J (x 2 No.)"/>
    <hyperlink ref="G97" location="'Assessment'!A16" display="Return to 'Assessment' item 6"/>
    <hyperlink ref="D102" location="'Programme'!A188" display="#'Programme'.A188"/>
    <hyperlink ref="D103" location="'Programme'!A189" display="#'Programme'.A189"/>
    <hyperlink ref="D104" location="'Programme'!A190" display="#'Programme'.A190"/>
    <hyperlink ref="D106" location="'Programme'!A193" display="#'Programme'.A193"/>
    <hyperlink ref="D109" location="'Programme'!B101" display="#'Programme'.B101"/>
    <hyperlink ref="D114" location="'Programme'!A194" display="#'Programme'.A194"/>
    <hyperlink ref="D115" location="'Programme'!A195" display="#'Programme'.A195"/>
    <hyperlink ref="D117" location="'Programme'!A196" display="#'Programme'.A196"/>
    <hyperlink ref="D123" location="'Programme'!A198" display="#'Programme'.A198"/>
    <hyperlink ref="D125" location="'Programme'!A197" display="#'Programme'.A197"/>
    <hyperlink ref="E125" location="'Build-Up'!A102" display="#'Build-Up'.A102"/>
    <hyperlink ref="B129" location="'Assessment'!A17" display="Rate per tank - goes to 'Assessment' item 7, column J"/>
    <hyperlink ref="F129" location="'Build-Up'!B128" display="#'Build-Up'.B128"/>
    <hyperlink ref="G129" location="'Assessment'!A17" display="Return to 'Assessment' item 7"/>
    <hyperlink ref="B155" location="'Assessment'!A18" display="TOTAL ITEM 8 - goes to 'Assessment' item 8, column J"/>
    <hyperlink ref="G155" location="'Assessment'!A18" display="Return to 'Assessment' item 8"/>
    <hyperlink ref="D157" location="'Build-Up'!A134" display="#'Build-Up'.A134"/>
    <hyperlink ref="D158" location="'Build-Up'!A135" display="#'Build-Up'.A135"/>
    <hyperlink ref="E158" location="'Build-Up'!A135" display="#'Build-Up'.A135"/>
    <hyperlink ref="D161" location="'Build-Up'!A136" display="#'Build-Up'.A136"/>
    <hyperlink ref="E161" location="'Build-Up'!A136" display="#'Build-Up'.A136"/>
    <hyperlink ref="F163" location="'Build-Up'!A134" display="#'Build-Up'.A134"/>
    <hyperlink ref="F164" location="'Build-Up'!B163" display="#'Build-Up'.B163"/>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3"/>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71875" defaultRowHeight="14.25" zeroHeight="false" outlineLevelRow="0" outlineLevelCol="0"/>
  <cols>
    <col collapsed="false" customWidth="true" hidden="false" outlineLevel="0" max="1" min="1" style="8" width="6"/>
    <col collapsed="false" customWidth="true" hidden="false" outlineLevel="0" max="2" min="2" style="8" width="38"/>
    <col collapsed="false" customWidth="true" hidden="false" outlineLevel="0" max="3" min="3" style="8" width="30"/>
    <col collapsed="false" customWidth="true" hidden="false" outlineLevel="0" max="4" min="4" style="8" width="7"/>
    <col collapsed="false" customWidth="true" hidden="false" outlineLevel="0" max="7" min="5" style="8" width="15"/>
    <col collapsed="false" customWidth="true" hidden="false" outlineLevel="0" max="8" min="8" style="8" width="44"/>
  </cols>
  <sheetData>
    <row r="1" customFormat="false" ht="25.5" hidden="false" customHeight="true" outlineLevel="0" collapsed="false">
      <c r="A1" s="9" t="s">
        <v>461</v>
      </c>
    </row>
    <row r="2" customFormat="false" ht="17.25" hidden="false" customHeight="true" outlineLevel="0" collapsed="false">
      <c r="A2" s="10" t="s">
        <v>30</v>
      </c>
    </row>
    <row r="3" customFormat="false" ht="14.25" hidden="false" customHeight="true" outlineLevel="0" collapsed="false">
      <c r="A3" s="11" t="s">
        <v>31</v>
      </c>
    </row>
    <row r="4" customFormat="false" ht="63" hidden="false" customHeight="true" outlineLevel="0" collapsed="false">
      <c r="A4" s="36" t="s">
        <v>462</v>
      </c>
      <c r="B4" s="36"/>
      <c r="C4" s="36"/>
      <c r="D4" s="36"/>
      <c r="E4" s="36"/>
      <c r="F4" s="36"/>
      <c r="G4" s="36"/>
      <c r="H4" s="36"/>
    </row>
    <row r="6" customFormat="false" ht="21" hidden="false" customHeight="true" outlineLevel="0" collapsed="false">
      <c r="A6" s="16" t="s">
        <v>463</v>
      </c>
      <c r="B6" s="16"/>
      <c r="C6" s="16"/>
      <c r="D6" s="16"/>
      <c r="E6" s="16"/>
      <c r="F6" s="16"/>
      <c r="G6" s="16"/>
      <c r="H6" s="16"/>
    </row>
    <row r="7" customFormat="false" ht="31.5" hidden="false" customHeight="true" outlineLevel="0" collapsed="false">
      <c r="A7" s="14" t="s">
        <v>35</v>
      </c>
      <c r="B7" s="51" t="s">
        <v>36</v>
      </c>
      <c r="C7" s="51"/>
      <c r="D7" s="51"/>
      <c r="E7" s="14" t="s">
        <v>464</v>
      </c>
      <c r="F7" s="52" t="s">
        <v>465</v>
      </c>
      <c r="G7" s="14" t="s">
        <v>466</v>
      </c>
      <c r="H7" s="14" t="s">
        <v>467</v>
      </c>
    </row>
    <row r="8" customFormat="false" ht="42" hidden="false" customHeight="true" outlineLevel="0" collapsed="false">
      <c r="A8" s="19" t="s">
        <v>468</v>
      </c>
      <c r="B8" s="53" t="s">
        <v>469</v>
      </c>
      <c r="C8" s="53"/>
      <c r="D8" s="53"/>
      <c r="E8" s="22" t="n">
        <f aca="false">Assessment!$F$8</f>
        <v>680000</v>
      </c>
      <c r="F8" s="54" t="n">
        <f aca="false">Assessment!$K$8</f>
        <v>345035.07</v>
      </c>
      <c r="G8" s="20" t="n">
        <f aca="false">E8-F8</f>
        <v>334964.93</v>
      </c>
      <c r="H8" s="21" t="s">
        <v>470</v>
      </c>
    </row>
    <row r="9" customFormat="false" ht="42" hidden="false" customHeight="true" outlineLevel="0" collapsed="false">
      <c r="A9" s="19" t="s">
        <v>471</v>
      </c>
      <c r="B9" s="53" t="s">
        <v>472</v>
      </c>
      <c r="C9" s="53"/>
      <c r="D9" s="53"/>
      <c r="E9" s="22" t="n">
        <f aca="false">Assessment!$F$14</f>
        <v>504192.02</v>
      </c>
      <c r="F9" s="54" t="n">
        <f aca="false">Assessment!$K$14</f>
        <v>398698.2</v>
      </c>
      <c r="G9" s="20" t="n">
        <f aca="false">E9-F9</f>
        <v>105493.82</v>
      </c>
      <c r="H9" s="21" t="s">
        <v>473</v>
      </c>
    </row>
    <row r="10" customFormat="false" ht="42" hidden="false" customHeight="true" outlineLevel="0" collapsed="false">
      <c r="A10" s="19" t="s">
        <v>474</v>
      </c>
      <c r="B10" s="53" t="s">
        <v>475</v>
      </c>
      <c r="C10" s="53"/>
      <c r="D10" s="53"/>
      <c r="E10" s="22" t="n">
        <f aca="false">Assessment!$F$17</f>
        <v>426400</v>
      </c>
      <c r="F10" s="54" t="n">
        <f aca="false">Assessment!$K$17</f>
        <v>159075</v>
      </c>
      <c r="G10" s="20" t="n">
        <f aca="false">E10-F10</f>
        <v>267325</v>
      </c>
      <c r="H10" s="21" t="s">
        <v>476</v>
      </c>
    </row>
    <row r="11" customFormat="false" ht="42" hidden="false" customHeight="true" outlineLevel="0" collapsed="false">
      <c r="A11" s="19" t="s">
        <v>477</v>
      </c>
      <c r="B11" s="53" t="s">
        <v>478</v>
      </c>
      <c r="C11" s="53"/>
      <c r="D11" s="53"/>
      <c r="E11" s="22" t="n">
        <f aca="false">Assessment!$F$18</f>
        <v>420000</v>
      </c>
      <c r="F11" s="54" t="n">
        <f aca="false">Assessment!$K$18</f>
        <v>248980</v>
      </c>
      <c r="G11" s="20" t="n">
        <f aca="false">E11-F11</f>
        <v>171020</v>
      </c>
      <c r="H11" s="21" t="s">
        <v>479</v>
      </c>
    </row>
    <row r="12" customFormat="false" ht="24" hidden="false" customHeight="true" outlineLevel="0" collapsed="false">
      <c r="A12" s="26"/>
      <c r="B12" s="26" t="s">
        <v>480</v>
      </c>
      <c r="C12" s="26"/>
      <c r="D12" s="26"/>
      <c r="E12" s="27" t="n">
        <f aca="false">SUM(E8:E11)</f>
        <v>2030592.02</v>
      </c>
      <c r="F12" s="28" t="n">
        <f aca="false">SUM(F8:F11)</f>
        <v>1151788.27</v>
      </c>
      <c r="G12" s="27" t="n">
        <f aca="false">E12-F12</f>
        <v>878803.75</v>
      </c>
      <c r="H12" s="55" t="s">
        <v>481</v>
      </c>
    </row>
    <row r="13" customFormat="false" ht="18.75" hidden="false" customHeight="true" outlineLevel="0" collapsed="false">
      <c r="A13" s="56" t="s">
        <v>482</v>
      </c>
      <c r="B13" s="56"/>
      <c r="C13" s="56"/>
      <c r="D13" s="56"/>
      <c r="E13" s="56"/>
      <c r="F13" s="56"/>
      <c r="G13" s="56"/>
      <c r="H13" s="56"/>
    </row>
    <row r="15" customFormat="false" ht="21" hidden="false" customHeight="true" outlineLevel="0" collapsed="false">
      <c r="A15" s="16" t="s">
        <v>483</v>
      </c>
      <c r="B15" s="16"/>
      <c r="C15" s="16"/>
      <c r="D15" s="16"/>
      <c r="E15" s="16"/>
      <c r="F15" s="16"/>
      <c r="G15" s="16"/>
      <c r="H15" s="16"/>
    </row>
    <row r="16" customFormat="false" ht="31.5" hidden="false" customHeight="true" outlineLevel="0" collapsed="false">
      <c r="A16" s="57" t="s">
        <v>484</v>
      </c>
      <c r="B16" s="57"/>
      <c r="C16" s="57"/>
      <c r="D16" s="57"/>
      <c r="E16" s="57"/>
      <c r="F16" s="57"/>
      <c r="G16" s="57"/>
      <c r="H16" s="57"/>
    </row>
    <row r="17" customFormat="false" ht="18.75" hidden="false" customHeight="true" outlineLevel="0" collapsed="false">
      <c r="A17" s="56" t="s">
        <v>485</v>
      </c>
      <c r="B17" s="56"/>
      <c r="C17" s="56"/>
      <c r="D17" s="56"/>
      <c r="E17" s="56"/>
      <c r="F17" s="56"/>
      <c r="G17" s="56"/>
      <c r="H17" s="56"/>
    </row>
    <row r="18" customFormat="false" ht="18.75" hidden="false" customHeight="true" outlineLevel="0" collapsed="false">
      <c r="A18" s="56" t="s">
        <v>486</v>
      </c>
      <c r="B18" s="56"/>
      <c r="C18" s="56"/>
      <c r="D18" s="56"/>
      <c r="E18" s="56"/>
      <c r="F18" s="56"/>
      <c r="G18" s="56"/>
      <c r="H18" s="56"/>
    </row>
    <row r="19" customFormat="false" ht="18.75" hidden="false" customHeight="true" outlineLevel="0" collapsed="false">
      <c r="A19" s="56" t="s">
        <v>487</v>
      </c>
      <c r="B19" s="56"/>
      <c r="C19" s="56"/>
      <c r="D19" s="56"/>
      <c r="E19" s="56"/>
      <c r="F19" s="56"/>
      <c r="G19" s="56"/>
      <c r="H19" s="56"/>
    </row>
    <row r="20" customFormat="false" ht="31.5" hidden="false" customHeight="true" outlineLevel="0" collapsed="false">
      <c r="A20" s="57" t="s">
        <v>488</v>
      </c>
      <c r="B20" s="57"/>
      <c r="C20" s="57"/>
      <c r="D20" s="57"/>
      <c r="E20" s="57"/>
      <c r="F20" s="57"/>
      <c r="G20" s="57"/>
      <c r="H20" s="57"/>
    </row>
    <row r="22" customFormat="false" ht="21" hidden="false" customHeight="true" outlineLevel="0" collapsed="false">
      <c r="A22" s="16" t="s">
        <v>489</v>
      </c>
      <c r="B22" s="16"/>
      <c r="C22" s="16"/>
      <c r="D22" s="16"/>
      <c r="E22" s="16"/>
      <c r="F22" s="16"/>
      <c r="G22" s="16"/>
      <c r="H22" s="16"/>
    </row>
    <row r="23" customFormat="false" ht="28.5" hidden="false" customHeight="true" outlineLevel="0" collapsed="false">
      <c r="A23" s="36" t="s">
        <v>490</v>
      </c>
      <c r="B23" s="36"/>
      <c r="C23" s="36"/>
      <c r="D23" s="36"/>
      <c r="E23" s="36"/>
      <c r="F23" s="36"/>
      <c r="G23" s="36"/>
      <c r="H23" s="36"/>
    </row>
    <row r="24" customFormat="false" ht="31.5" hidden="false" customHeight="true" outlineLevel="0" collapsed="false">
      <c r="A24" s="14" t="s">
        <v>94</v>
      </c>
      <c r="B24" s="14" t="s">
        <v>491</v>
      </c>
      <c r="C24" s="14" t="s">
        <v>492</v>
      </c>
      <c r="D24" s="14" t="s">
        <v>493</v>
      </c>
      <c r="E24" s="14" t="s">
        <v>494</v>
      </c>
      <c r="F24" s="52" t="s">
        <v>465</v>
      </c>
      <c r="G24" s="14" t="s">
        <v>466</v>
      </c>
      <c r="H24" s="14" t="s">
        <v>495</v>
      </c>
    </row>
    <row r="25" customFormat="false" ht="183" hidden="false" customHeight="true" outlineLevel="0" collapsed="false">
      <c r="A25" s="19" t="s">
        <v>96</v>
      </c>
      <c r="B25" s="18" t="s">
        <v>496</v>
      </c>
      <c r="C25" s="21" t="s">
        <v>497</v>
      </c>
      <c r="D25" s="58" t="n">
        <v>0.240964</v>
      </c>
      <c r="E25" s="20" t="n">
        <v>163855.52</v>
      </c>
      <c r="F25" s="54" t="n">
        <f aca="false">'Build-Up'!$F$22</f>
        <v>6250</v>
      </c>
      <c r="G25" s="20" t="n">
        <f aca="false">E25-F25</f>
        <v>157605.52</v>
      </c>
      <c r="H25" s="21" t="s">
        <v>498</v>
      </c>
    </row>
    <row r="26" customFormat="false" ht="54.75" hidden="false" customHeight="true" outlineLevel="0" collapsed="false">
      <c r="A26" s="19" t="s">
        <v>100</v>
      </c>
      <c r="B26" s="18" t="s">
        <v>499</v>
      </c>
      <c r="C26" s="21" t="s">
        <v>500</v>
      </c>
      <c r="D26" s="58" t="n">
        <v>0.072289</v>
      </c>
      <c r="E26" s="20" t="n">
        <v>49156.52</v>
      </c>
      <c r="F26" s="54" t="n">
        <f aca="false">'Build-Up'!$F$14+'Build-Up'!$F$15+'Build-Up'!$F$16</f>
        <v>23940</v>
      </c>
      <c r="G26" s="20" t="n">
        <f aca="false">E26-F26</f>
        <v>25216.52</v>
      </c>
      <c r="H26" s="21" t="s">
        <v>501</v>
      </c>
    </row>
    <row r="27" customFormat="false" ht="51.75" hidden="false" customHeight="true" outlineLevel="0" collapsed="false">
      <c r="A27" s="19" t="s">
        <v>103</v>
      </c>
      <c r="B27" s="18" t="s">
        <v>502</v>
      </c>
      <c r="C27" s="21" t="s">
        <v>503</v>
      </c>
      <c r="D27" s="58" t="n">
        <v>0.096386</v>
      </c>
      <c r="E27" s="20" t="n">
        <v>65542.48</v>
      </c>
      <c r="F27" s="54" t="n">
        <f aca="false">'Build-Up'!$F$28+'Build-Up'!$F$29</f>
        <v>27755.56</v>
      </c>
      <c r="G27" s="20" t="n">
        <f aca="false">E27-F27</f>
        <v>37786.92</v>
      </c>
      <c r="H27" s="21" t="s">
        <v>504</v>
      </c>
    </row>
    <row r="28" customFormat="false" ht="67.5" hidden="false" customHeight="true" outlineLevel="0" collapsed="false">
      <c r="A28" s="19" t="s">
        <v>106</v>
      </c>
      <c r="B28" s="18" t="s">
        <v>505</v>
      </c>
      <c r="C28" s="21" t="s">
        <v>506</v>
      </c>
      <c r="D28" s="58" t="n">
        <v>0.144578</v>
      </c>
      <c r="E28" s="20" t="n">
        <v>98313.04</v>
      </c>
      <c r="F28" s="54" t="n">
        <f aca="false">'Build-Up'!$F$20</f>
        <v>16800</v>
      </c>
      <c r="G28" s="20" t="n">
        <f aca="false">E28-F28</f>
        <v>81513.04</v>
      </c>
      <c r="H28" s="21" t="s">
        <v>507</v>
      </c>
    </row>
    <row r="29" customFormat="false" ht="78" hidden="false" customHeight="true" outlineLevel="0" collapsed="false">
      <c r="A29" s="19" t="s">
        <v>109</v>
      </c>
      <c r="B29" s="18" t="s">
        <v>508</v>
      </c>
      <c r="C29" s="21" t="s">
        <v>509</v>
      </c>
      <c r="D29" s="58" t="n">
        <v>0.096386</v>
      </c>
      <c r="E29" s="20" t="n">
        <v>65542.48</v>
      </c>
      <c r="F29" s="54" t="n">
        <f aca="false">'Build-Up'!$F$17+'Build-Up'!$F$18</f>
        <v>14770</v>
      </c>
      <c r="G29" s="20" t="n">
        <f aca="false">E29-F29</f>
        <v>50772.48</v>
      </c>
      <c r="H29" s="21" t="s">
        <v>510</v>
      </c>
    </row>
    <row r="30" customFormat="false" ht="80.25" hidden="false" customHeight="true" outlineLevel="0" collapsed="false">
      <c r="A30" s="19" t="s">
        <v>112</v>
      </c>
      <c r="B30" s="18" t="s">
        <v>511</v>
      </c>
      <c r="C30" s="21" t="s">
        <v>512</v>
      </c>
      <c r="D30" s="58" t="n">
        <v>0.084337</v>
      </c>
      <c r="E30" s="20" t="n">
        <v>57349.16</v>
      </c>
      <c r="F30" s="54" t="n">
        <f aca="false">'Build-Up'!$F$10+'Build-Up'!$F$25+'Build-Up'!$F$26+'Build-Up'!$F$27</f>
        <v>65099.51</v>
      </c>
      <c r="G30" s="20" t="n">
        <f aca="false">E30-F30</f>
        <v>-7750.35</v>
      </c>
      <c r="H30" s="21" t="s">
        <v>513</v>
      </c>
    </row>
    <row r="31" customFormat="false" ht="90.75" hidden="false" customHeight="true" outlineLevel="0" collapsed="false">
      <c r="A31" s="19" t="s">
        <v>115</v>
      </c>
      <c r="B31" s="18" t="s">
        <v>514</v>
      </c>
      <c r="C31" s="21" t="s">
        <v>515</v>
      </c>
      <c r="D31" s="58" t="n">
        <v>0.120482</v>
      </c>
      <c r="E31" s="20" t="n">
        <v>81927.76</v>
      </c>
      <c r="F31" s="54" t="n">
        <f aca="false">'Build-Up'!$F$30+'Build-Up'!$F$31</f>
        <v>3650</v>
      </c>
      <c r="G31" s="20" t="n">
        <f aca="false">E31-F31</f>
        <v>78277.76</v>
      </c>
      <c r="H31" s="21" t="s">
        <v>516</v>
      </c>
    </row>
    <row r="32" customFormat="false" ht="42" hidden="false" customHeight="true" outlineLevel="0" collapsed="false">
      <c r="A32" s="19" t="s">
        <v>117</v>
      </c>
      <c r="B32" s="18" t="s">
        <v>517</v>
      </c>
      <c r="C32" s="21" t="s">
        <v>518</v>
      </c>
      <c r="D32" s="58" t="n">
        <v>0.144578</v>
      </c>
      <c r="E32" s="20" t="n">
        <v>98313.04</v>
      </c>
      <c r="F32" s="54" t="n">
        <f aca="false">'Build-Up'!$F$23+'Build-Up'!$F$24</f>
        <v>8050</v>
      </c>
      <c r="G32" s="20" t="n">
        <f aca="false">E32-F32</f>
        <v>90263.04</v>
      </c>
      <c r="H32" s="21" t="s">
        <v>519</v>
      </c>
    </row>
    <row r="33" customFormat="false" ht="79.5" hidden="false" customHeight="true" outlineLevel="0" collapsed="false">
      <c r="A33" s="19"/>
      <c r="B33" s="18" t="s">
        <v>520</v>
      </c>
      <c r="C33" s="21"/>
      <c r="D33" s="58"/>
      <c r="E33" s="20" t="n">
        <v>0</v>
      </c>
      <c r="F33" s="54" t="n">
        <f aca="false">'Build-Up'!$F$9+'Build-Up'!$F$11+'Build-Up'!$F$12+'Build-Up'!$F$13+'Build-Up'!$F$19+'Build-Up'!$F$21</f>
        <v>178720</v>
      </c>
      <c r="G33" s="20" t="n">
        <f aca="false">E33-F33</f>
        <v>-178720</v>
      </c>
      <c r="H33" s="21" t="s">
        <v>521</v>
      </c>
    </row>
    <row r="34" customFormat="false" ht="27" hidden="false" customHeight="true" outlineLevel="0" collapsed="false">
      <c r="A34" s="26"/>
      <c r="B34" s="26" t="s">
        <v>522</v>
      </c>
      <c r="C34" s="26"/>
      <c r="D34" s="26"/>
      <c r="E34" s="27" t="n">
        <f aca="false">SUM(E25:E33)</f>
        <v>680000</v>
      </c>
      <c r="F34" s="28" t="n">
        <f aca="false">SUM(F25:F33)</f>
        <v>345035.07</v>
      </c>
      <c r="G34" s="27" t="n">
        <f aca="false">E34-F34</f>
        <v>334964.93</v>
      </c>
      <c r="H34" s="59" t="s">
        <v>523</v>
      </c>
    </row>
    <row r="35" customFormat="false" ht="57" hidden="false" customHeight="true" outlineLevel="0" collapsed="false">
      <c r="A35" s="57" t="s">
        <v>524</v>
      </c>
      <c r="B35" s="57"/>
      <c r="C35" s="57"/>
      <c r="D35" s="57"/>
      <c r="E35" s="57"/>
      <c r="F35" s="57"/>
      <c r="G35" s="57"/>
      <c r="H35" s="57"/>
    </row>
    <row r="37" customFormat="false" ht="21" hidden="false" customHeight="true" outlineLevel="0" collapsed="false">
      <c r="A37" s="16" t="s">
        <v>525</v>
      </c>
      <c r="B37" s="16"/>
      <c r="C37" s="16"/>
      <c r="D37" s="16"/>
      <c r="E37" s="16"/>
      <c r="F37" s="16"/>
      <c r="G37" s="16"/>
      <c r="H37" s="16"/>
    </row>
    <row r="38" customFormat="false" ht="18.75" hidden="false" customHeight="true" outlineLevel="0" collapsed="false">
      <c r="A38" s="12" t="s">
        <v>526</v>
      </c>
      <c r="B38" s="12"/>
      <c r="C38" s="12"/>
      <c r="D38" s="12"/>
      <c r="E38" s="12"/>
      <c r="F38" s="12"/>
      <c r="G38" s="12"/>
      <c r="H38" s="12"/>
    </row>
    <row r="39" customFormat="false" ht="31.5" hidden="false" customHeight="true" outlineLevel="0" collapsed="false">
      <c r="A39" s="14" t="s">
        <v>94</v>
      </c>
      <c r="B39" s="14" t="s">
        <v>491</v>
      </c>
      <c r="C39" s="14" t="s">
        <v>492</v>
      </c>
      <c r="D39" s="14" t="s">
        <v>493</v>
      </c>
      <c r="E39" s="14" t="s">
        <v>494</v>
      </c>
      <c r="F39" s="52" t="s">
        <v>465</v>
      </c>
      <c r="G39" s="14" t="s">
        <v>466</v>
      </c>
      <c r="H39" s="14" t="s">
        <v>495</v>
      </c>
    </row>
    <row r="40" customFormat="false" ht="51.75" hidden="false" customHeight="true" outlineLevel="0" collapsed="false">
      <c r="A40" s="19" t="s">
        <v>241</v>
      </c>
      <c r="B40" s="18" t="s">
        <v>527</v>
      </c>
      <c r="C40" s="21" t="s">
        <v>528</v>
      </c>
      <c r="D40" s="58" t="n">
        <v>0.15</v>
      </c>
      <c r="E40" s="20" t="n">
        <v>75628.803</v>
      </c>
      <c r="F40" s="54" t="n">
        <f aca="false">'Build-Up'!$F$77+'Build-Up'!$F$78+'Build-Up'!$F$79+'Build-Up'!$F$80</f>
        <v>87200</v>
      </c>
      <c r="G40" s="20" t="n">
        <f aca="false">E40-F40</f>
        <v>-11571.197</v>
      </c>
      <c r="H40" s="21" t="s">
        <v>529</v>
      </c>
    </row>
    <row r="41" customFormat="false" ht="105.75" hidden="false" customHeight="true" outlineLevel="0" collapsed="false">
      <c r="A41" s="19" t="s">
        <v>244</v>
      </c>
      <c r="B41" s="18" t="s">
        <v>530</v>
      </c>
      <c r="C41" s="21" t="s">
        <v>531</v>
      </c>
      <c r="D41" s="58" t="n">
        <v>0.25</v>
      </c>
      <c r="E41" s="20" t="n">
        <v>126048.005</v>
      </c>
      <c r="F41" s="54" t="n">
        <f aca="false">'Build-Up'!$F$76</f>
        <v>57600</v>
      </c>
      <c r="G41" s="20" t="n">
        <f aca="false">E41-F41</f>
        <v>68448.005</v>
      </c>
      <c r="H41" s="21" t="s">
        <v>532</v>
      </c>
    </row>
    <row r="42" customFormat="false" ht="42" hidden="false" customHeight="true" outlineLevel="0" collapsed="false">
      <c r="A42" s="19" t="s">
        <v>247</v>
      </c>
      <c r="B42" s="18" t="s">
        <v>533</v>
      </c>
      <c r="C42" s="21" t="s">
        <v>534</v>
      </c>
      <c r="D42" s="58" t="n">
        <v>0.12</v>
      </c>
      <c r="E42" s="20" t="n">
        <v>60503.0424</v>
      </c>
      <c r="F42" s="54" t="n">
        <f aca="false">'Build-Up'!$F$75</f>
        <v>57600</v>
      </c>
      <c r="G42" s="20" t="n">
        <f aca="false">E42-F42</f>
        <v>2903.0424</v>
      </c>
      <c r="H42" s="21" t="s">
        <v>535</v>
      </c>
    </row>
    <row r="43" customFormat="false" ht="132" hidden="false" customHeight="true" outlineLevel="0" collapsed="false">
      <c r="A43" s="19" t="s">
        <v>251</v>
      </c>
      <c r="B43" s="18" t="s">
        <v>536</v>
      </c>
      <c r="C43" s="21" t="s">
        <v>537</v>
      </c>
      <c r="D43" s="58" t="n">
        <v>0.1</v>
      </c>
      <c r="E43" s="20" t="n">
        <v>50419.202</v>
      </c>
      <c r="F43" s="54" t="n">
        <f aca="false">'Build-Up'!$F$81+'Build-Up'!$F$82+'Build-Up'!$F$89</f>
        <v>81698.2</v>
      </c>
      <c r="G43" s="20" t="n">
        <f aca="false">E43-F43</f>
        <v>-31278.998</v>
      </c>
      <c r="H43" s="21" t="s">
        <v>538</v>
      </c>
    </row>
    <row r="44" customFormat="false" ht="61.5" hidden="false" customHeight="true" outlineLevel="0" collapsed="false">
      <c r="A44" s="19" t="s">
        <v>255</v>
      </c>
      <c r="B44" s="18" t="s">
        <v>539</v>
      </c>
      <c r="C44" s="21" t="s">
        <v>540</v>
      </c>
      <c r="D44" s="58" t="n">
        <v>0.1</v>
      </c>
      <c r="E44" s="20" t="n">
        <v>50419.202</v>
      </c>
      <c r="F44" s="54" t="n">
        <f aca="false">'Build-Up'!$F$83+'Build-Up'!$F$90</f>
        <v>21150</v>
      </c>
      <c r="G44" s="20" t="n">
        <f aca="false">E44-F44</f>
        <v>29269.202</v>
      </c>
      <c r="H44" s="21" t="s">
        <v>541</v>
      </c>
    </row>
    <row r="45" customFormat="false" ht="73.5" hidden="false" customHeight="true" outlineLevel="0" collapsed="false">
      <c r="A45" s="19" t="s">
        <v>257</v>
      </c>
      <c r="B45" s="18" t="s">
        <v>542</v>
      </c>
      <c r="C45" s="21" t="s">
        <v>543</v>
      </c>
      <c r="D45" s="58" t="n">
        <v>0.08</v>
      </c>
      <c r="E45" s="20" t="n">
        <v>40335.3616</v>
      </c>
      <c r="F45" s="54" t="n">
        <f aca="false">'Build-Up'!$F$85+'Build-Up'!$F$86+'Build-Up'!$F$87</f>
        <v>9750</v>
      </c>
      <c r="G45" s="20" t="n">
        <f aca="false">E45-F45</f>
        <v>30585.3616</v>
      </c>
      <c r="H45" s="21" t="s">
        <v>544</v>
      </c>
    </row>
    <row r="46" customFormat="false" ht="42" hidden="false" customHeight="true" outlineLevel="0" collapsed="false">
      <c r="A46" s="19" t="s">
        <v>260</v>
      </c>
      <c r="B46" s="18" t="s">
        <v>545</v>
      </c>
      <c r="C46" s="21" t="s">
        <v>546</v>
      </c>
      <c r="D46" s="58" t="n">
        <v>0.12</v>
      </c>
      <c r="E46" s="20" t="n">
        <v>60503.0424</v>
      </c>
      <c r="F46" s="54" t="n">
        <f aca="false">'Build-Up'!$F$88</f>
        <v>6480</v>
      </c>
      <c r="G46" s="20" t="n">
        <f aca="false">E46-F46</f>
        <v>54023.0424</v>
      </c>
      <c r="H46" s="21" t="s">
        <v>547</v>
      </c>
    </row>
    <row r="47" customFormat="false" ht="30" hidden="false" customHeight="true" outlineLevel="0" collapsed="false">
      <c r="A47" s="19" t="s">
        <v>263</v>
      </c>
      <c r="B47" s="18" t="s">
        <v>548</v>
      </c>
      <c r="C47" s="21" t="s">
        <v>549</v>
      </c>
      <c r="D47" s="58" t="n">
        <v>0.08</v>
      </c>
      <c r="E47" s="20" t="n">
        <v>40335.3616</v>
      </c>
      <c r="F47" s="23" t="n">
        <v>0</v>
      </c>
      <c r="G47" s="20" t="n">
        <f aca="false">E47-F47</f>
        <v>40335.3616</v>
      </c>
      <c r="H47" s="21" t="s">
        <v>550</v>
      </c>
    </row>
    <row r="48" customFormat="false" ht="42" hidden="false" customHeight="true" outlineLevel="0" collapsed="false">
      <c r="A48" s="19"/>
      <c r="B48" s="18" t="s">
        <v>551</v>
      </c>
      <c r="C48" s="21"/>
      <c r="D48" s="58"/>
      <c r="E48" s="20" t="n">
        <v>0</v>
      </c>
      <c r="F48" s="54" t="n">
        <f aca="false">'Build-Up'!$F$84</f>
        <v>77220</v>
      </c>
      <c r="G48" s="20" t="n">
        <f aca="false">E48-F48</f>
        <v>-77220</v>
      </c>
      <c r="H48" s="21" t="s">
        <v>552</v>
      </c>
    </row>
    <row r="49" customFormat="false" ht="27" hidden="false" customHeight="true" outlineLevel="0" collapsed="false">
      <c r="A49" s="26"/>
      <c r="B49" s="26" t="s">
        <v>522</v>
      </c>
      <c r="C49" s="26"/>
      <c r="D49" s="26"/>
      <c r="E49" s="27" t="n">
        <f aca="false">SUM(E40:E48)</f>
        <v>504192.02</v>
      </c>
      <c r="F49" s="28" t="n">
        <f aca="false">SUM(F40:F48)</f>
        <v>398698.2</v>
      </c>
      <c r="G49" s="27" t="n">
        <f aca="false">E49-F49</f>
        <v>105493.82</v>
      </c>
      <c r="H49" s="59" t="s">
        <v>553</v>
      </c>
    </row>
    <row r="51" customFormat="false" ht="21" hidden="false" customHeight="true" outlineLevel="0" collapsed="false">
      <c r="A51" s="16" t="s">
        <v>554</v>
      </c>
      <c r="B51" s="16"/>
      <c r="C51" s="16"/>
      <c r="D51" s="16"/>
      <c r="E51" s="16"/>
      <c r="F51" s="16"/>
      <c r="G51" s="16"/>
      <c r="H51" s="16"/>
    </row>
    <row r="52" customFormat="false" ht="40.5" hidden="false" customHeight="true" outlineLevel="0" collapsed="false">
      <c r="A52" s="36" t="s">
        <v>555</v>
      </c>
      <c r="B52" s="36"/>
      <c r="C52" s="36"/>
      <c r="D52" s="36"/>
      <c r="E52" s="36"/>
      <c r="F52" s="36"/>
      <c r="G52" s="36"/>
      <c r="H52" s="36"/>
    </row>
    <row r="53" customFormat="false" ht="31.5" hidden="false" customHeight="true" outlineLevel="0" collapsed="false">
      <c r="A53" s="14" t="s">
        <v>94</v>
      </c>
      <c r="B53" s="14" t="s">
        <v>491</v>
      </c>
      <c r="C53" s="14" t="s">
        <v>492</v>
      </c>
      <c r="D53" s="14" t="s">
        <v>493</v>
      </c>
      <c r="E53" s="14" t="s">
        <v>494</v>
      </c>
      <c r="F53" s="52" t="s">
        <v>465</v>
      </c>
      <c r="G53" s="14" t="s">
        <v>466</v>
      </c>
      <c r="H53" s="14" t="s">
        <v>495</v>
      </c>
    </row>
    <row r="54" customFormat="false" ht="118.5" hidden="false" customHeight="true" outlineLevel="0" collapsed="false">
      <c r="A54" s="19" t="s">
        <v>301</v>
      </c>
      <c r="B54" s="18" t="s">
        <v>556</v>
      </c>
      <c r="C54" s="21" t="s">
        <v>557</v>
      </c>
      <c r="D54" s="58" t="n">
        <v>0.3</v>
      </c>
      <c r="E54" s="20" t="n">
        <v>127920</v>
      </c>
      <c r="F54" s="54" t="n">
        <f aca="false">'Build-Up'!$F$102+'Build-Up'!$F$103+'Build-Up'!$F$104+'Build-Up'!$F$105+'Build-Up'!$F$106+'Build-Up'!$F$107+'Build-Up'!$F$108+'Build-Up'!$F$109+'Build-Up'!$F$110+'Build-Up'!$F$111+'Build-Up'!$F$112+'Build-Up'!$F$113+'Build-Up'!$F$123+'Build-Up'!$F$124+'Build-Up'!$F$126+'Build-Up'!$F$127</f>
        <v>95975</v>
      </c>
      <c r="G54" s="20" t="n">
        <f aca="false">E54-F54</f>
        <v>31945</v>
      </c>
      <c r="H54" s="21" t="s">
        <v>558</v>
      </c>
    </row>
    <row r="55" customFormat="false" ht="54.75" hidden="false" customHeight="true" outlineLevel="0" collapsed="false">
      <c r="A55" s="19" t="s">
        <v>304</v>
      </c>
      <c r="B55" s="18" t="s">
        <v>559</v>
      </c>
      <c r="C55" s="21" t="s">
        <v>560</v>
      </c>
      <c r="D55" s="58" t="n">
        <v>0.2</v>
      </c>
      <c r="E55" s="20" t="n">
        <v>85280</v>
      </c>
      <c r="F55" s="54" t="n">
        <f aca="false">'Build-Up'!$F$116+'Build-Up'!$F$118+'Build-Up'!$F$119+'Build-Up'!$F$120</f>
        <v>12000</v>
      </c>
      <c r="G55" s="20" t="n">
        <f aca="false">E55-F55</f>
        <v>73280</v>
      </c>
      <c r="H55" s="21" t="s">
        <v>561</v>
      </c>
    </row>
    <row r="56" customFormat="false" ht="42" hidden="false" customHeight="true" outlineLevel="0" collapsed="false">
      <c r="A56" s="19" t="s">
        <v>307</v>
      </c>
      <c r="B56" s="18" t="s">
        <v>562</v>
      </c>
      <c r="C56" s="21" t="s">
        <v>563</v>
      </c>
      <c r="D56" s="58" t="n">
        <v>0.15</v>
      </c>
      <c r="E56" s="20" t="n">
        <v>63960</v>
      </c>
      <c r="F56" s="54" t="n">
        <f aca="false">'Build-Up'!$F$115+'Build-Up'!$F$117</f>
        <v>9800</v>
      </c>
      <c r="G56" s="20" t="n">
        <f aca="false">E56-F56</f>
        <v>54160</v>
      </c>
      <c r="H56" s="21" t="s">
        <v>564</v>
      </c>
    </row>
    <row r="57" customFormat="false" ht="87.75" hidden="false" customHeight="true" outlineLevel="0" collapsed="false">
      <c r="A57" s="19" t="s">
        <v>310</v>
      </c>
      <c r="B57" s="18" t="s">
        <v>565</v>
      </c>
      <c r="C57" s="21" t="s">
        <v>563</v>
      </c>
      <c r="D57" s="58" t="n">
        <v>0.2</v>
      </c>
      <c r="E57" s="20" t="n">
        <v>85280</v>
      </c>
      <c r="F57" s="54" t="n">
        <f aca="false">'Build-Up'!$F$114+'Build-Up'!$F$125</f>
        <v>31300</v>
      </c>
      <c r="G57" s="20" t="n">
        <f aca="false">E57-F57</f>
        <v>53980</v>
      </c>
      <c r="H57" s="21" t="s">
        <v>566</v>
      </c>
    </row>
    <row r="58" customFormat="false" ht="50.25" hidden="false" customHeight="true" outlineLevel="0" collapsed="false">
      <c r="A58" s="19" t="s">
        <v>313</v>
      </c>
      <c r="B58" s="18" t="s">
        <v>567</v>
      </c>
      <c r="C58" s="21" t="s">
        <v>568</v>
      </c>
      <c r="D58" s="58" t="n">
        <v>0.15</v>
      </c>
      <c r="E58" s="20" t="n">
        <v>63960</v>
      </c>
      <c r="F58" s="54" t="n">
        <f aca="false">'Build-Up'!$F$121+'Build-Up'!$F$122</f>
        <v>10000</v>
      </c>
      <c r="G58" s="20" t="n">
        <f aca="false">E58-F58</f>
        <v>53960</v>
      </c>
      <c r="H58" s="21" t="s">
        <v>569</v>
      </c>
    </row>
    <row r="59" customFormat="false" ht="27" hidden="false" customHeight="true" outlineLevel="0" collapsed="false">
      <c r="A59" s="26"/>
      <c r="B59" s="26" t="s">
        <v>522</v>
      </c>
      <c r="C59" s="26"/>
      <c r="D59" s="26"/>
      <c r="E59" s="27" t="n">
        <f aca="false">SUM(E54:E58)</f>
        <v>426400</v>
      </c>
      <c r="F59" s="28" t="n">
        <f aca="false">SUM(F54:F58)</f>
        <v>159075</v>
      </c>
      <c r="G59" s="27" t="n">
        <f aca="false">E59-F59</f>
        <v>267325</v>
      </c>
      <c r="H59" s="59" t="s">
        <v>570</v>
      </c>
    </row>
    <row r="61" customFormat="false" ht="21" hidden="false" customHeight="true" outlineLevel="0" collapsed="false">
      <c r="A61" s="16" t="s">
        <v>571</v>
      </c>
      <c r="B61" s="16"/>
      <c r="C61" s="16"/>
      <c r="D61" s="16"/>
      <c r="E61" s="16"/>
      <c r="F61" s="16"/>
      <c r="G61" s="16"/>
      <c r="H61" s="16"/>
    </row>
    <row r="62" customFormat="false" ht="40.5" hidden="false" customHeight="true" outlineLevel="0" collapsed="false">
      <c r="A62" s="36" t="s">
        <v>572</v>
      </c>
      <c r="B62" s="36"/>
      <c r="C62" s="36"/>
      <c r="D62" s="36"/>
      <c r="E62" s="36"/>
      <c r="F62" s="36"/>
      <c r="G62" s="36"/>
      <c r="H62" s="36"/>
    </row>
    <row r="63" customFormat="false" ht="31.5" hidden="false" customHeight="true" outlineLevel="0" collapsed="false">
      <c r="A63" s="14" t="s">
        <v>94</v>
      </c>
      <c r="B63" s="14" t="s">
        <v>491</v>
      </c>
      <c r="C63" s="14" t="s">
        <v>492</v>
      </c>
      <c r="D63" s="14" t="s">
        <v>493</v>
      </c>
      <c r="E63" s="14" t="s">
        <v>494</v>
      </c>
      <c r="F63" s="52" t="s">
        <v>465</v>
      </c>
      <c r="G63" s="14" t="s">
        <v>466</v>
      </c>
      <c r="H63" s="14" t="s">
        <v>495</v>
      </c>
    </row>
    <row r="64" customFormat="false" ht="64.5" hidden="false" customHeight="true" outlineLevel="0" collapsed="false">
      <c r="A64" s="19" t="s">
        <v>378</v>
      </c>
      <c r="B64" s="18" t="s">
        <v>573</v>
      </c>
      <c r="C64" s="21" t="s">
        <v>574</v>
      </c>
      <c r="D64" s="58" t="n">
        <v>0.3</v>
      </c>
      <c r="E64" s="20" t="n">
        <v>126000</v>
      </c>
      <c r="F64" s="54" t="n">
        <f aca="false">'Build-Up'!$F$134+'Build-Up'!$F$135+'Build-Up'!$F$137+'Build-Up'!$F$138+'Build-Up'!$F$139</f>
        <v>107200</v>
      </c>
      <c r="G64" s="20" t="n">
        <f aca="false">E64-F64</f>
        <v>18800</v>
      </c>
      <c r="H64" s="21" t="s">
        <v>575</v>
      </c>
    </row>
    <row r="65" customFormat="false" ht="39" hidden="false" customHeight="true" outlineLevel="0" collapsed="false">
      <c r="A65" s="19" t="s">
        <v>382</v>
      </c>
      <c r="B65" s="18" t="s">
        <v>576</v>
      </c>
      <c r="C65" s="21" t="s">
        <v>577</v>
      </c>
      <c r="D65" s="58" t="n">
        <v>0.18</v>
      </c>
      <c r="E65" s="20" t="n">
        <v>75600</v>
      </c>
      <c r="F65" s="54" t="n">
        <f aca="false">'Build-Up'!$F$136</f>
        <v>55000</v>
      </c>
      <c r="G65" s="20" t="n">
        <f aca="false">E65-F65</f>
        <v>20600</v>
      </c>
      <c r="H65" s="21" t="s">
        <v>578</v>
      </c>
    </row>
    <row r="66" customFormat="false" ht="39" hidden="false" customHeight="true" outlineLevel="0" collapsed="false">
      <c r="A66" s="19" t="s">
        <v>385</v>
      </c>
      <c r="B66" s="18" t="s">
        <v>579</v>
      </c>
      <c r="C66" s="21" t="s">
        <v>577</v>
      </c>
      <c r="D66" s="58" t="n">
        <v>0.12</v>
      </c>
      <c r="E66" s="20" t="n">
        <v>50400</v>
      </c>
      <c r="F66" s="54" t="n">
        <f aca="false">'Build-Up'!$F$140+'Build-Up'!$F$141</f>
        <v>15000</v>
      </c>
      <c r="G66" s="20" t="n">
        <f aca="false">E66-F66</f>
        <v>35400</v>
      </c>
      <c r="H66" s="21" t="s">
        <v>580</v>
      </c>
    </row>
    <row r="67" customFormat="false" ht="64.5" hidden="false" customHeight="true" outlineLevel="0" collapsed="false">
      <c r="A67" s="19" t="s">
        <v>388</v>
      </c>
      <c r="B67" s="18" t="s">
        <v>581</v>
      </c>
      <c r="C67" s="21" t="s">
        <v>582</v>
      </c>
      <c r="D67" s="58" t="n">
        <v>0.2</v>
      </c>
      <c r="E67" s="20" t="n">
        <v>84000</v>
      </c>
      <c r="F67" s="54" t="n">
        <f aca="false">'Build-Up'!$F$147+'Build-Up'!$F$148</f>
        <v>20000</v>
      </c>
      <c r="G67" s="20" t="n">
        <f aca="false">E67-F67</f>
        <v>64000</v>
      </c>
      <c r="H67" s="21" t="s">
        <v>583</v>
      </c>
    </row>
    <row r="68" customFormat="false" ht="51.75" hidden="false" customHeight="true" outlineLevel="0" collapsed="false">
      <c r="A68" s="19" t="s">
        <v>390</v>
      </c>
      <c r="B68" s="18" t="s">
        <v>584</v>
      </c>
      <c r="C68" s="21" t="s">
        <v>585</v>
      </c>
      <c r="D68" s="58" t="n">
        <v>0.15</v>
      </c>
      <c r="E68" s="20" t="n">
        <v>63000</v>
      </c>
      <c r="F68" s="54" t="n">
        <f aca="false">'Build-Up'!$F$142+'Build-Up'!$F$143+'Build-Up'!$F$144+'Build-Up'!$F$145+'Build-Up'!$F$146+'Build-Up'!$F$149+'Build-Up'!$F$150+'Build-Up'!$F$151+'Build-Up'!$F$152</f>
        <v>42700</v>
      </c>
      <c r="G68" s="20" t="n">
        <f aca="false">E68-F68</f>
        <v>20300</v>
      </c>
      <c r="H68" s="21" t="s">
        <v>586</v>
      </c>
    </row>
    <row r="69" customFormat="false" ht="42" hidden="false" customHeight="true" outlineLevel="0" collapsed="false">
      <c r="A69" s="19" t="s">
        <v>392</v>
      </c>
      <c r="B69" s="18" t="s">
        <v>587</v>
      </c>
      <c r="C69" s="21" t="s">
        <v>577</v>
      </c>
      <c r="D69" s="58" t="n">
        <v>0.05</v>
      </c>
      <c r="E69" s="20" t="n">
        <v>21000</v>
      </c>
      <c r="F69" s="54" t="n">
        <f aca="false">'Build-Up'!$F$153+'Build-Up'!$F$154</f>
        <v>9080</v>
      </c>
      <c r="G69" s="20" t="n">
        <f aca="false">E69-F69</f>
        <v>11920</v>
      </c>
      <c r="H69" s="21" t="s">
        <v>588</v>
      </c>
    </row>
    <row r="70" customFormat="false" ht="27" hidden="false" customHeight="true" outlineLevel="0" collapsed="false">
      <c r="A70" s="26"/>
      <c r="B70" s="26" t="s">
        <v>522</v>
      </c>
      <c r="C70" s="26"/>
      <c r="D70" s="26"/>
      <c r="E70" s="27" t="n">
        <f aca="false">SUM(E64:E69)</f>
        <v>420000</v>
      </c>
      <c r="F70" s="28" t="n">
        <f aca="false">SUM(F64:F69)</f>
        <v>248980</v>
      </c>
      <c r="G70" s="27" t="n">
        <f aca="false">E70-F70</f>
        <v>171020</v>
      </c>
      <c r="H70" s="59" t="s">
        <v>589</v>
      </c>
    </row>
    <row r="72" customFormat="false" ht="21" hidden="false" customHeight="true" outlineLevel="0" collapsed="false">
      <c r="A72" s="16" t="s">
        <v>590</v>
      </c>
      <c r="B72" s="16"/>
      <c r="C72" s="16"/>
      <c r="D72" s="16"/>
      <c r="E72" s="16"/>
      <c r="F72" s="16"/>
      <c r="G72" s="16"/>
      <c r="H72" s="16"/>
    </row>
    <row r="73" customFormat="false" ht="45" hidden="false" customHeight="true" outlineLevel="0" collapsed="false">
      <c r="A73" s="36" t="s">
        <v>591</v>
      </c>
      <c r="B73" s="36"/>
      <c r="C73" s="36"/>
      <c r="D73" s="36"/>
      <c r="E73" s="36"/>
      <c r="F73" s="36"/>
      <c r="G73" s="36"/>
      <c r="H73" s="36"/>
    </row>
    <row r="74" customFormat="false" ht="31.5" hidden="false" customHeight="true" outlineLevel="0" collapsed="false">
      <c r="A74" s="14" t="s">
        <v>592</v>
      </c>
      <c r="B74" s="14" t="s">
        <v>593</v>
      </c>
      <c r="C74" s="14" t="s">
        <v>594</v>
      </c>
      <c r="D74" s="14"/>
      <c r="E74" s="14"/>
      <c r="F74" s="14"/>
      <c r="G74" s="14"/>
      <c r="H74" s="14" t="s">
        <v>595</v>
      </c>
    </row>
    <row r="75" customFormat="false" ht="30" hidden="false" customHeight="true" outlineLevel="0" collapsed="false">
      <c r="A75" s="19" t="s">
        <v>468</v>
      </c>
      <c r="B75" s="18" t="s">
        <v>596</v>
      </c>
      <c r="C75" s="60" t="s">
        <v>597</v>
      </c>
      <c r="D75" s="60"/>
      <c r="E75" s="60"/>
      <c r="F75" s="60"/>
      <c r="G75" s="60"/>
      <c r="H75" s="19" t="s">
        <v>598</v>
      </c>
    </row>
    <row r="76" customFormat="false" ht="30" hidden="false" customHeight="true" outlineLevel="0" collapsed="false">
      <c r="A76" s="19" t="s">
        <v>599</v>
      </c>
      <c r="B76" s="18" t="s">
        <v>600</v>
      </c>
      <c r="C76" s="60" t="s">
        <v>597</v>
      </c>
      <c r="D76" s="60"/>
      <c r="E76" s="60"/>
      <c r="F76" s="60"/>
      <c r="G76" s="60"/>
      <c r="H76" s="19" t="s">
        <v>601</v>
      </c>
    </row>
    <row r="77" customFormat="false" ht="30" hidden="false" customHeight="true" outlineLevel="0" collapsed="false">
      <c r="A77" s="19" t="s">
        <v>602</v>
      </c>
      <c r="B77" s="18" t="s">
        <v>603</v>
      </c>
      <c r="C77" s="60" t="s">
        <v>597</v>
      </c>
      <c r="D77" s="60"/>
      <c r="E77" s="60"/>
      <c r="F77" s="60"/>
      <c r="G77" s="60"/>
      <c r="H77" s="19" t="s">
        <v>601</v>
      </c>
    </row>
    <row r="78" customFormat="false" ht="67.5" hidden="false" customHeight="true" outlineLevel="0" collapsed="false">
      <c r="A78" s="19" t="s">
        <v>604</v>
      </c>
      <c r="B78" s="18" t="s">
        <v>605</v>
      </c>
      <c r="C78" s="60" t="s">
        <v>597</v>
      </c>
      <c r="D78" s="60"/>
      <c r="E78" s="60"/>
      <c r="F78" s="60"/>
      <c r="G78" s="60"/>
      <c r="H78" s="24" t="s">
        <v>606</v>
      </c>
    </row>
    <row r="79" customFormat="false" ht="30" hidden="false" customHeight="true" outlineLevel="0" collapsed="false">
      <c r="A79" s="19" t="s">
        <v>471</v>
      </c>
      <c r="B79" s="18" t="s">
        <v>607</v>
      </c>
      <c r="C79" s="61" t="s">
        <v>608</v>
      </c>
      <c r="D79" s="62"/>
      <c r="E79" s="62"/>
      <c r="F79" s="62"/>
      <c r="G79" s="63"/>
      <c r="H79" s="19" t="s">
        <v>598</v>
      </c>
    </row>
    <row r="80" customFormat="false" ht="30" hidden="false" customHeight="true" outlineLevel="0" collapsed="false">
      <c r="A80" s="19" t="s">
        <v>609</v>
      </c>
      <c r="B80" s="18" t="s">
        <v>610</v>
      </c>
      <c r="C80" s="61" t="s">
        <v>608</v>
      </c>
      <c r="D80" s="62"/>
      <c r="E80" s="62"/>
      <c r="F80" s="62"/>
      <c r="G80" s="63"/>
      <c r="H80" s="19" t="s">
        <v>611</v>
      </c>
    </row>
    <row r="81" customFormat="false" ht="30" hidden="false" customHeight="true" outlineLevel="0" collapsed="false">
      <c r="A81" s="19" t="s">
        <v>474</v>
      </c>
      <c r="B81" s="18" t="s">
        <v>612</v>
      </c>
      <c r="C81" s="61" t="s">
        <v>608</v>
      </c>
      <c r="D81" s="62"/>
      <c r="E81" s="62"/>
      <c r="F81" s="62"/>
      <c r="G81" s="63"/>
      <c r="H81" s="19" t="s">
        <v>611</v>
      </c>
    </row>
    <row r="82" customFormat="false" ht="30" hidden="false" customHeight="true" outlineLevel="0" collapsed="false">
      <c r="A82" s="19" t="s">
        <v>477</v>
      </c>
      <c r="B82" s="18" t="s">
        <v>613</v>
      </c>
      <c r="C82" s="61" t="s">
        <v>608</v>
      </c>
      <c r="D82" s="62"/>
      <c r="E82" s="62"/>
      <c r="F82" s="62"/>
      <c r="G82" s="63"/>
      <c r="H82" s="19" t="s">
        <v>598</v>
      </c>
    </row>
    <row r="83" customFormat="false" ht="30" hidden="false" customHeight="true" outlineLevel="0" collapsed="false">
      <c r="A83" s="19" t="s">
        <v>614</v>
      </c>
      <c r="B83" s="18" t="s">
        <v>615</v>
      </c>
      <c r="C83" s="61" t="s">
        <v>608</v>
      </c>
      <c r="D83" s="62"/>
      <c r="E83" s="62"/>
      <c r="F83" s="62"/>
      <c r="G83" s="63"/>
      <c r="H83" s="19" t="s">
        <v>616</v>
      </c>
    </row>
    <row r="84" customFormat="false" ht="67.5" hidden="false" customHeight="true" outlineLevel="0" collapsed="false">
      <c r="A84" s="19" t="n">
        <v>10</v>
      </c>
      <c r="B84" s="18" t="s">
        <v>617</v>
      </c>
      <c r="C84" s="60" t="s">
        <v>608</v>
      </c>
      <c r="D84" s="60"/>
      <c r="E84" s="60"/>
      <c r="F84" s="60"/>
      <c r="G84" s="60"/>
      <c r="H84" s="19" t="s">
        <v>618</v>
      </c>
    </row>
    <row r="85" customFormat="false" ht="54.75" hidden="false" customHeight="true" outlineLevel="0" collapsed="false">
      <c r="A85" s="19" t="n">
        <v>11</v>
      </c>
      <c r="B85" s="18" t="s">
        <v>619</v>
      </c>
      <c r="C85" s="60" t="s">
        <v>608</v>
      </c>
      <c r="D85" s="60"/>
      <c r="E85" s="60"/>
      <c r="F85" s="60"/>
      <c r="G85" s="60"/>
      <c r="H85" s="19" t="s">
        <v>618</v>
      </c>
    </row>
    <row r="86" customFormat="false" ht="67.5" hidden="false" customHeight="true" outlineLevel="0" collapsed="false">
      <c r="A86" s="19" t="n">
        <v>12</v>
      </c>
      <c r="B86" s="18" t="s">
        <v>620</v>
      </c>
      <c r="C86" s="60" t="s">
        <v>608</v>
      </c>
      <c r="D86" s="60"/>
      <c r="E86" s="60"/>
      <c r="F86" s="60"/>
      <c r="G86" s="60"/>
      <c r="H86" s="19" t="s">
        <v>618</v>
      </c>
    </row>
    <row r="87" customFormat="false" ht="67.5" hidden="false" customHeight="true" outlineLevel="0" collapsed="false">
      <c r="A87" s="19" t="n">
        <v>13</v>
      </c>
      <c r="B87" s="18" t="s">
        <v>621</v>
      </c>
      <c r="C87" s="60" t="s">
        <v>608</v>
      </c>
      <c r="D87" s="60"/>
      <c r="E87" s="60"/>
      <c r="F87" s="60"/>
      <c r="G87" s="60"/>
      <c r="H87" s="19" t="s">
        <v>618</v>
      </c>
    </row>
    <row r="88" customFormat="false" ht="118.5" hidden="false" customHeight="true" outlineLevel="0" collapsed="false">
      <c r="A88" s="19" t="n">
        <v>14</v>
      </c>
      <c r="B88" s="18" t="s">
        <v>622</v>
      </c>
      <c r="C88" s="60" t="s">
        <v>608</v>
      </c>
      <c r="D88" s="60"/>
      <c r="E88" s="60"/>
      <c r="F88" s="60"/>
      <c r="G88" s="60"/>
      <c r="H88" s="19" t="s">
        <v>618</v>
      </c>
    </row>
    <row r="89" customFormat="false" ht="54.75" hidden="false" customHeight="true" outlineLevel="0" collapsed="false">
      <c r="A89" s="19" t="n">
        <v>15</v>
      </c>
      <c r="B89" s="18" t="s">
        <v>623</v>
      </c>
      <c r="C89" s="60" t="s">
        <v>608</v>
      </c>
      <c r="D89" s="60"/>
      <c r="E89" s="60"/>
      <c r="F89" s="60"/>
      <c r="G89" s="60"/>
      <c r="H89" s="19" t="s">
        <v>624</v>
      </c>
    </row>
    <row r="90" customFormat="false" ht="67.5" hidden="false" customHeight="true" outlineLevel="0" collapsed="false">
      <c r="A90" s="19" t="n">
        <v>16</v>
      </c>
      <c r="B90" s="18" t="s">
        <v>625</v>
      </c>
      <c r="C90" s="60" t="s">
        <v>608</v>
      </c>
      <c r="D90" s="60"/>
      <c r="E90" s="60"/>
      <c r="F90" s="60"/>
      <c r="G90" s="60"/>
      <c r="H90" s="19" t="s">
        <v>618</v>
      </c>
    </row>
    <row r="91" customFormat="false" ht="80.25" hidden="false" customHeight="true" outlineLevel="0" collapsed="false">
      <c r="A91" s="19" t="n">
        <v>17</v>
      </c>
      <c r="B91" s="18" t="s">
        <v>626</v>
      </c>
      <c r="C91" s="60" t="s">
        <v>608</v>
      </c>
      <c r="D91" s="60"/>
      <c r="E91" s="60"/>
      <c r="F91" s="60"/>
      <c r="G91" s="60"/>
      <c r="H91" s="19" t="s">
        <v>618</v>
      </c>
    </row>
    <row r="93" customFormat="false" ht="30" hidden="false" customHeight="true" outlineLevel="0" collapsed="false">
      <c r="A93" s="64"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7,164,767.68 excluding VAT against the Contractor's proposal of SAR 8,110,296.62 excluding VAT.</v>
      </c>
      <c r="B93" s="64"/>
      <c r="C93" s="64"/>
      <c r="D93" s="64"/>
      <c r="E93" s="64"/>
      <c r="F93" s="64"/>
      <c r="G93" s="64"/>
      <c r="H93" s="64"/>
    </row>
    <row r="95" customFormat="false" ht="21" hidden="false" customHeight="true" outlineLevel="0" collapsed="false">
      <c r="A95" s="16" t="s">
        <v>627</v>
      </c>
      <c r="B95" s="16"/>
      <c r="C95" s="16"/>
      <c r="D95" s="16"/>
      <c r="E95" s="16"/>
      <c r="F95" s="16"/>
      <c r="G95" s="16"/>
      <c r="H95" s="16"/>
    </row>
    <row r="96" customFormat="false" ht="51.75" hidden="false" customHeight="true" outlineLevel="0" collapsed="false">
      <c r="A96" s="36" t="s">
        <v>628</v>
      </c>
      <c r="B96" s="36"/>
      <c r="C96" s="36"/>
      <c r="D96" s="36"/>
      <c r="E96" s="36"/>
      <c r="F96" s="36"/>
      <c r="G96" s="36"/>
      <c r="H96" s="36"/>
    </row>
    <row r="97" customFormat="false" ht="43.5" hidden="false" customHeight="true" outlineLevel="0" collapsed="false">
      <c r="A97" s="14" t="s">
        <v>35</v>
      </c>
      <c r="B97" s="14" t="s">
        <v>629</v>
      </c>
      <c r="C97" s="14" t="s">
        <v>630</v>
      </c>
      <c r="D97" s="14"/>
      <c r="E97" s="14" t="s">
        <v>464</v>
      </c>
      <c r="F97" s="52" t="s">
        <v>631</v>
      </c>
      <c r="G97" s="14" t="s">
        <v>632</v>
      </c>
      <c r="H97" s="14" t="s">
        <v>633</v>
      </c>
    </row>
    <row r="98" customFormat="false" ht="98.25" hidden="false" customHeight="true" outlineLevel="0" collapsed="false">
      <c r="A98" s="19" t="s">
        <v>468</v>
      </c>
      <c r="B98" s="18" t="s">
        <v>634</v>
      </c>
      <c r="C98" s="60" t="s">
        <v>635</v>
      </c>
      <c r="D98" s="60"/>
      <c r="E98" s="22" t="n">
        <f aca="false">Assessment!$F$8</f>
        <v>680000</v>
      </c>
      <c r="F98" s="23" t="n">
        <v>714000</v>
      </c>
      <c r="G98" s="20" t="n">
        <f aca="false">ROUND(F98/1.05,2)</f>
        <v>680000</v>
      </c>
      <c r="H98" s="21" t="s">
        <v>636</v>
      </c>
    </row>
    <row r="99" customFormat="false" ht="30" hidden="false" customHeight="true" outlineLevel="0" collapsed="false">
      <c r="A99" s="19" t="s">
        <v>599</v>
      </c>
      <c r="B99" s="18" t="s">
        <v>637</v>
      </c>
      <c r="C99" s="60" t="s">
        <v>638</v>
      </c>
      <c r="D99" s="60"/>
      <c r="E99" s="22" t="n">
        <f aca="false">Assessment!$F$10</f>
        <v>85000</v>
      </c>
      <c r="F99" s="23" t="n">
        <v>89250</v>
      </c>
      <c r="G99" s="20" t="n">
        <f aca="false">ROUND(F99/1.05,2)</f>
        <v>85000</v>
      </c>
      <c r="H99" s="21" t="s">
        <v>639</v>
      </c>
    </row>
    <row r="100" customFormat="false" ht="30" hidden="false" customHeight="true" outlineLevel="0" collapsed="false">
      <c r="A100" s="19" t="s">
        <v>640</v>
      </c>
      <c r="B100" s="18" t="s">
        <v>641</v>
      </c>
      <c r="C100" s="60" t="s">
        <v>642</v>
      </c>
      <c r="D100" s="60"/>
      <c r="E100" s="22" t="n">
        <f aca="false">Assessment!$F$12+Assessment!$F$13</f>
        <v>81500</v>
      </c>
      <c r="F100" s="23" t="n">
        <v>85575</v>
      </c>
      <c r="G100" s="20" t="n">
        <f aca="false">ROUND(F100/1.05,2)</f>
        <v>81500</v>
      </c>
      <c r="H100" s="21" t="s">
        <v>643</v>
      </c>
    </row>
    <row r="101" customFormat="false" ht="80.25" hidden="false" customHeight="true" outlineLevel="0" collapsed="false">
      <c r="A101" s="19" t="s">
        <v>644</v>
      </c>
      <c r="B101" s="18" t="s">
        <v>645</v>
      </c>
      <c r="C101" s="60" t="s">
        <v>646</v>
      </c>
      <c r="D101" s="60"/>
      <c r="E101" s="22" t="n">
        <f aca="false">Assessment!$F$14+Assessment!$F$16+Assessment!$F$17+Assessment!$F$18</f>
        <v>6877592.02</v>
      </c>
      <c r="F101" s="23" t="n">
        <v>7221471.62</v>
      </c>
      <c r="G101" s="20" t="n">
        <f aca="false">ROUND(F101/1.05,2)</f>
        <v>6877592.02</v>
      </c>
      <c r="H101" s="21" t="s">
        <v>647</v>
      </c>
    </row>
    <row r="102" customFormat="false" ht="80.25" hidden="false" customHeight="true" outlineLevel="0" collapsed="false">
      <c r="A102" s="19" t="s">
        <v>474</v>
      </c>
      <c r="B102" s="18" t="s">
        <v>648</v>
      </c>
      <c r="C102" s="60" t="s">
        <v>649</v>
      </c>
      <c r="D102" s="60"/>
      <c r="E102" s="22" t="n">
        <f aca="false">Assessment!$F$17</f>
        <v>426400</v>
      </c>
      <c r="F102" s="23" t="n">
        <v>200305.98</v>
      </c>
      <c r="G102" s="20" t="n">
        <f aca="false">ROUND(F102/1.05,2)</f>
        <v>190767.6</v>
      </c>
      <c r="H102" s="21" t="s">
        <v>650</v>
      </c>
    </row>
    <row r="103" customFormat="false" ht="27" hidden="false" customHeight="true" outlineLevel="0" collapsed="false">
      <c r="A103" s="26"/>
      <c r="B103" s="26" t="s">
        <v>651</v>
      </c>
      <c r="C103" s="26"/>
      <c r="D103" s="26"/>
      <c r="E103" s="27"/>
      <c r="F103" s="28" t="n">
        <f aca="false">SUM(F98:F101)</f>
        <v>8110296.62</v>
      </c>
      <c r="G103" s="27" t="n">
        <f aca="false">ROUND(F103/1.05,2)</f>
        <v>7724092.02</v>
      </c>
      <c r="H103" s="59" t="s">
        <v>652</v>
      </c>
    </row>
    <row r="105" customFormat="false" ht="51.75" hidden="false" customHeight="true" outlineLevel="0" collapsed="false">
      <c r="A105" s="36" t="s">
        <v>653</v>
      </c>
      <c r="B105" s="36"/>
      <c r="C105" s="36"/>
      <c r="D105" s="36"/>
      <c r="E105" s="36"/>
      <c r="F105" s="36"/>
      <c r="G105" s="36"/>
      <c r="H105" s="36"/>
    </row>
    <row r="106" customFormat="false" ht="21" hidden="false" customHeight="true" outlineLevel="0" collapsed="false">
      <c r="A106" s="14"/>
      <c r="B106" s="14" t="s">
        <v>654</v>
      </c>
      <c r="C106" s="14" t="s">
        <v>655</v>
      </c>
      <c r="D106" s="14"/>
      <c r="E106" s="14" t="s">
        <v>656</v>
      </c>
      <c r="F106" s="52"/>
      <c r="G106" s="14"/>
      <c r="H106" s="14" t="s">
        <v>633</v>
      </c>
    </row>
    <row r="107" customFormat="false" ht="18" hidden="false" customHeight="true" outlineLevel="0" collapsed="false">
      <c r="A107" s="19"/>
      <c r="B107" s="18" t="s">
        <v>657</v>
      </c>
      <c r="C107" s="20" t="n">
        <v>12035.96</v>
      </c>
      <c r="D107" s="20"/>
      <c r="E107" s="20" t="n">
        <f aca="false">SUM($C$107:C107)</f>
        <v>12035.96</v>
      </c>
      <c r="F107" s="23"/>
      <c r="G107" s="20"/>
      <c r="H107" s="21" t="s">
        <v>658</v>
      </c>
    </row>
    <row r="108" customFormat="false" ht="29.25" hidden="false" customHeight="true" outlineLevel="0" collapsed="false">
      <c r="A108" s="19"/>
      <c r="B108" s="18" t="s">
        <v>659</v>
      </c>
      <c r="C108" s="20" t="n">
        <v>1470052.21</v>
      </c>
      <c r="D108" s="20"/>
      <c r="E108" s="20" t="n">
        <f aca="false">SUM($C$107:C108)</f>
        <v>1482088.17</v>
      </c>
      <c r="F108" s="23"/>
      <c r="G108" s="20"/>
      <c r="H108" s="21" t="s">
        <v>660</v>
      </c>
    </row>
    <row r="109" customFormat="false" ht="18" hidden="false" customHeight="true" outlineLevel="0" collapsed="false">
      <c r="A109" s="19"/>
      <c r="B109" s="18" t="s">
        <v>661</v>
      </c>
      <c r="C109" s="20" t="n">
        <v>1005870.64</v>
      </c>
      <c r="D109" s="20"/>
      <c r="E109" s="20" t="n">
        <f aca="false">SUM($C$107:C109)</f>
        <v>2487958.81</v>
      </c>
      <c r="F109" s="23"/>
      <c r="G109" s="20"/>
      <c r="H109" s="21" t="s">
        <v>662</v>
      </c>
    </row>
    <row r="110" customFormat="false" ht="18" hidden="false" customHeight="true" outlineLevel="0" collapsed="false">
      <c r="A110" s="19"/>
      <c r="B110" s="18" t="s">
        <v>663</v>
      </c>
      <c r="C110" s="20" t="n">
        <v>2701160.67</v>
      </c>
      <c r="D110" s="20"/>
      <c r="E110" s="20" t="n">
        <f aca="false">SUM($C$107:C110)</f>
        <v>5189119.48</v>
      </c>
      <c r="F110" s="23"/>
      <c r="G110" s="20"/>
      <c r="H110" s="21" t="s">
        <v>664</v>
      </c>
    </row>
    <row r="111" customFormat="false" ht="18" hidden="false" customHeight="true" outlineLevel="0" collapsed="false">
      <c r="A111" s="19"/>
      <c r="B111" s="18" t="s">
        <v>665</v>
      </c>
      <c r="C111" s="20" t="n">
        <v>2417025.29</v>
      </c>
      <c r="D111" s="20"/>
      <c r="E111" s="20" t="n">
        <f aca="false">SUM($C$107:C111)</f>
        <v>7606144.77</v>
      </c>
      <c r="F111" s="23"/>
      <c r="G111" s="20"/>
      <c r="H111" s="21" t="s">
        <v>666</v>
      </c>
    </row>
    <row r="112" customFormat="false" ht="18" hidden="false" customHeight="true" outlineLevel="0" collapsed="false">
      <c r="A112" s="19"/>
      <c r="B112" s="18" t="s">
        <v>667</v>
      </c>
      <c r="C112" s="20" t="n">
        <v>504151.86</v>
      </c>
      <c r="D112" s="20"/>
      <c r="E112" s="20" t="n">
        <f aca="false">SUM($C$107:C112)</f>
        <v>8110296.63</v>
      </c>
      <c r="F112" s="23"/>
      <c r="G112" s="20"/>
      <c r="H112" s="21" t="s">
        <v>668</v>
      </c>
    </row>
    <row r="113" customFormat="false" ht="21.75" hidden="false" customHeight="true" outlineLevel="0" collapsed="false">
      <c r="A113" s="26"/>
      <c r="B113" s="26" t="s">
        <v>669</v>
      </c>
      <c r="C113" s="27" t="n">
        <f aca="false">SUM(C107:C112)</f>
        <v>8110296.63</v>
      </c>
      <c r="D113" s="27"/>
      <c r="E113" s="27"/>
      <c r="F113" s="28"/>
      <c r="G113" s="27"/>
      <c r="H113" s="59" t="s">
        <v>670</v>
      </c>
    </row>
    <row r="115" customFormat="false" ht="86.25" hidden="false" customHeight="true" outlineLevel="0" collapsed="false">
      <c r="A115" s="36" t="s">
        <v>671</v>
      </c>
      <c r="B115" s="36"/>
      <c r="C115" s="36"/>
      <c r="D115" s="36"/>
      <c r="E115" s="36"/>
      <c r="F115" s="36"/>
      <c r="G115" s="36"/>
      <c r="H115" s="36"/>
    </row>
    <row r="116" customFormat="false" ht="21" hidden="false" customHeight="true" outlineLevel="0" collapsed="false">
      <c r="A116" s="14"/>
      <c r="B116" s="14" t="s">
        <v>672</v>
      </c>
      <c r="C116" s="14" t="s">
        <v>669</v>
      </c>
      <c r="D116" s="14" t="s">
        <v>673</v>
      </c>
      <c r="E116" s="14" t="s">
        <v>674</v>
      </c>
      <c r="F116" s="52"/>
      <c r="G116" s="14"/>
      <c r="H116" s="14" t="s">
        <v>633</v>
      </c>
    </row>
    <row r="117" customFormat="false" ht="16.5" hidden="false" customHeight="true" outlineLevel="0" collapsed="false">
      <c r="A117" s="19"/>
      <c r="B117" s="18" t="s">
        <v>675</v>
      </c>
      <c r="C117" s="65" t="n">
        <v>8</v>
      </c>
      <c r="D117" s="65" t="n">
        <v>5</v>
      </c>
      <c r="E117" s="65" t="n">
        <v>3</v>
      </c>
      <c r="F117" s="23"/>
      <c r="G117" s="20"/>
      <c r="H117" s="21" t="s">
        <v>676</v>
      </c>
    </row>
    <row r="118" customFormat="false" ht="16.5" hidden="false" customHeight="true" outlineLevel="0" collapsed="false">
      <c r="A118" s="19"/>
      <c r="B118" s="18" t="s">
        <v>677</v>
      </c>
      <c r="C118" s="65" t="n">
        <v>14</v>
      </c>
      <c r="D118" s="65" t="n">
        <v>9</v>
      </c>
      <c r="E118" s="65" t="n">
        <v>5</v>
      </c>
      <c r="F118" s="23"/>
      <c r="G118" s="20"/>
      <c r="H118" s="21"/>
    </row>
    <row r="119" customFormat="false" ht="16.5" hidden="false" customHeight="true" outlineLevel="0" collapsed="false">
      <c r="A119" s="19"/>
      <c r="B119" s="18" t="s">
        <v>678</v>
      </c>
      <c r="C119" s="65" t="n">
        <v>13</v>
      </c>
      <c r="D119" s="65" t="n">
        <v>8</v>
      </c>
      <c r="E119" s="65" t="n">
        <v>5</v>
      </c>
      <c r="F119" s="23"/>
      <c r="G119" s="20"/>
      <c r="H119" s="21"/>
    </row>
    <row r="120" customFormat="false" ht="16.5" hidden="false" customHeight="true" outlineLevel="0" collapsed="false">
      <c r="A120" s="19"/>
      <c r="B120" s="18" t="s">
        <v>679</v>
      </c>
      <c r="C120" s="65" t="n">
        <v>12</v>
      </c>
      <c r="D120" s="65" t="n">
        <v>8</v>
      </c>
      <c r="E120" s="65" t="n">
        <v>4</v>
      </c>
      <c r="F120" s="23"/>
      <c r="G120" s="20"/>
      <c r="H120" s="21"/>
    </row>
    <row r="121" customFormat="false" ht="16.5" hidden="false" customHeight="true" outlineLevel="0" collapsed="false">
      <c r="A121" s="19"/>
      <c r="B121" s="18" t="s">
        <v>680</v>
      </c>
      <c r="C121" s="65" t="n">
        <v>11</v>
      </c>
      <c r="D121" s="65" t="n">
        <v>7</v>
      </c>
      <c r="E121" s="65" t="n">
        <v>4</v>
      </c>
      <c r="F121" s="23"/>
      <c r="G121" s="20"/>
      <c r="H121" s="21"/>
    </row>
    <row r="122" customFormat="false" ht="16.5" hidden="false" customHeight="true" outlineLevel="0" collapsed="false">
      <c r="A122" s="19"/>
      <c r="B122" s="18" t="s">
        <v>681</v>
      </c>
      <c r="C122" s="65" t="n">
        <v>10</v>
      </c>
      <c r="D122" s="65" t="n">
        <v>6</v>
      </c>
      <c r="E122" s="65" t="n">
        <v>4</v>
      </c>
      <c r="F122" s="23"/>
      <c r="G122" s="20"/>
      <c r="H122" s="21" t="s">
        <v>682</v>
      </c>
    </row>
    <row r="123" customFormat="false" ht="16.5" hidden="false" customHeight="true" outlineLevel="0" collapsed="false">
      <c r="A123" s="19"/>
      <c r="B123" s="18" t="s">
        <v>683</v>
      </c>
      <c r="C123" s="65" t="n">
        <v>10</v>
      </c>
      <c r="D123" s="65" t="n">
        <v>6</v>
      </c>
      <c r="E123" s="65" t="n">
        <v>4</v>
      </c>
      <c r="F123" s="23"/>
      <c r="G123" s="20"/>
      <c r="H123" s="21"/>
    </row>
    <row r="124" customFormat="false" ht="16.5" hidden="false" customHeight="true" outlineLevel="0" collapsed="false">
      <c r="A124" s="19"/>
      <c r="B124" s="18" t="s">
        <v>684</v>
      </c>
      <c r="C124" s="65" t="n">
        <v>8</v>
      </c>
      <c r="D124" s="65" t="n">
        <v>4</v>
      </c>
      <c r="E124" s="65" t="n">
        <v>4</v>
      </c>
      <c r="F124" s="23"/>
      <c r="G124" s="20"/>
      <c r="H124" s="21"/>
    </row>
    <row r="125" customFormat="false" ht="16.5" hidden="false" customHeight="true" outlineLevel="0" collapsed="false">
      <c r="A125" s="19"/>
      <c r="B125" s="18" t="s">
        <v>685</v>
      </c>
      <c r="C125" s="65" t="n">
        <v>14</v>
      </c>
      <c r="D125" s="65" t="n">
        <v>8</v>
      </c>
      <c r="E125" s="65" t="n">
        <v>6</v>
      </c>
      <c r="F125" s="23"/>
      <c r="G125" s="20"/>
      <c r="H125" s="21"/>
    </row>
    <row r="126" customFormat="false" ht="16.5" hidden="false" customHeight="true" outlineLevel="0" collapsed="false">
      <c r="A126" s="19"/>
      <c r="B126" s="18" t="s">
        <v>686</v>
      </c>
      <c r="C126" s="65" t="n">
        <v>35</v>
      </c>
      <c r="D126" s="65" t="n">
        <v>23</v>
      </c>
      <c r="E126" s="65" t="n">
        <v>12</v>
      </c>
      <c r="F126" s="23"/>
      <c r="G126" s="20"/>
      <c r="H126" s="21" t="s">
        <v>687</v>
      </c>
    </row>
    <row r="127" customFormat="false" ht="16.5" hidden="false" customHeight="true" outlineLevel="0" collapsed="false">
      <c r="A127" s="19"/>
      <c r="B127" s="18" t="s">
        <v>688</v>
      </c>
      <c r="C127" s="65" t="n">
        <v>26</v>
      </c>
      <c r="D127" s="65" t="n">
        <v>16</v>
      </c>
      <c r="E127" s="65" t="n">
        <v>10</v>
      </c>
      <c r="F127" s="23"/>
      <c r="G127" s="20"/>
      <c r="H127" s="21"/>
    </row>
    <row r="128" customFormat="false" ht="16.5" hidden="false" customHeight="true" outlineLevel="0" collapsed="false">
      <c r="A128" s="19"/>
      <c r="B128" s="18" t="s">
        <v>689</v>
      </c>
      <c r="C128" s="65" t="n">
        <v>19</v>
      </c>
      <c r="D128" s="65" t="n">
        <v>11</v>
      </c>
      <c r="E128" s="65" t="n">
        <v>8</v>
      </c>
      <c r="F128" s="23"/>
      <c r="G128" s="20"/>
      <c r="H128" s="21"/>
    </row>
    <row r="129" customFormat="false" ht="16.5" hidden="false" customHeight="true" outlineLevel="0" collapsed="false">
      <c r="A129" s="19"/>
      <c r="B129" s="18" t="s">
        <v>690</v>
      </c>
      <c r="C129" s="65" t="n">
        <v>16</v>
      </c>
      <c r="D129" s="65" t="n">
        <v>10</v>
      </c>
      <c r="E129" s="65" t="n">
        <v>6</v>
      </c>
      <c r="F129" s="23"/>
      <c r="G129" s="20"/>
      <c r="H129" s="21"/>
    </row>
    <row r="130" customFormat="false" ht="16.5" hidden="false" customHeight="true" outlineLevel="0" collapsed="false">
      <c r="A130" s="19"/>
      <c r="B130" s="18" t="s">
        <v>691</v>
      </c>
      <c r="C130" s="65" t="n">
        <v>13</v>
      </c>
      <c r="D130" s="65" t="n">
        <v>8</v>
      </c>
      <c r="E130" s="65" t="n">
        <v>5</v>
      </c>
      <c r="F130" s="23"/>
      <c r="G130" s="20"/>
      <c r="H130" s="21"/>
    </row>
    <row r="131" customFormat="false" ht="16.5" hidden="false" customHeight="true" outlineLevel="0" collapsed="false">
      <c r="A131" s="19"/>
      <c r="B131" s="18" t="s">
        <v>692</v>
      </c>
      <c r="C131" s="65" t="n">
        <v>7</v>
      </c>
      <c r="D131" s="65" t="n">
        <v>4</v>
      </c>
      <c r="E131" s="65" t="n">
        <v>3</v>
      </c>
      <c r="F131" s="23"/>
      <c r="G131" s="20"/>
      <c r="H131" s="21" t="s">
        <v>693</v>
      </c>
    </row>
    <row r="132" customFormat="false" ht="16.5" hidden="false" customHeight="true" outlineLevel="0" collapsed="false">
      <c r="A132" s="19"/>
      <c r="B132" s="18" t="s">
        <v>694</v>
      </c>
      <c r="C132" s="65" t="n">
        <v>5</v>
      </c>
      <c r="D132" s="65" t="n">
        <v>3</v>
      </c>
      <c r="E132" s="65" t="n">
        <v>2</v>
      </c>
      <c r="F132" s="23"/>
      <c r="G132" s="20"/>
      <c r="H132" s="21" t="s">
        <v>695</v>
      </c>
    </row>
    <row r="133" customFormat="false" ht="21.75" hidden="false" customHeight="true" outlineLevel="0" collapsed="false">
      <c r="A133" s="26"/>
      <c r="B133" s="26" t="s">
        <v>696</v>
      </c>
      <c r="C133" s="66" t="n">
        <f aca="false">SUM(C117:C132)</f>
        <v>221</v>
      </c>
      <c r="D133" s="66" t="n">
        <f aca="false">SUM(D117:D132)</f>
        <v>136</v>
      </c>
      <c r="E133" s="66" t="n">
        <f aca="false">SUM(E117:E132)</f>
        <v>85</v>
      </c>
      <c r="F133" s="28"/>
      <c r="G133" s="27"/>
      <c r="H133" s="59" t="s">
        <v>697</v>
      </c>
    </row>
  </sheetData>
  <mergeCells count="57">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C89:G89"/>
    <mergeCell ref="C90:G90"/>
    <mergeCell ref="C91:G91"/>
    <mergeCell ref="A93:H93"/>
    <mergeCell ref="A95:H95"/>
    <mergeCell ref="A96:H96"/>
    <mergeCell ref="C97:D97"/>
    <mergeCell ref="C98:D98"/>
    <mergeCell ref="C99:D99"/>
    <mergeCell ref="C100:D100"/>
    <mergeCell ref="C101:D101"/>
    <mergeCell ref="C102:D102"/>
    <mergeCell ref="A105:H105"/>
    <mergeCell ref="C106:D106"/>
    <mergeCell ref="C107:D107"/>
    <mergeCell ref="C108:D108"/>
    <mergeCell ref="C109:D109"/>
    <mergeCell ref="C110:D110"/>
    <mergeCell ref="C111:D111"/>
    <mergeCell ref="C112:D112"/>
    <mergeCell ref="C113:D113"/>
    <mergeCell ref="A115:H115"/>
  </mergeCells>
  <hyperlinks>
    <hyperlink ref="E8" location="'Assessment'!A8" display="#'Assessment'.A8"/>
    <hyperlink ref="F8" location="'Assessment'!A8" display="#'Assessment'.A8"/>
    <hyperlink ref="E9" location="'Assessment'!A14" display="#'Assessment'.A14"/>
    <hyperlink ref="F9" location="'Assessment'!A14" display="#'Assessment'.A14"/>
    <hyperlink ref="E10" location="'Assessment'!A17" display="#'Assessment'.A17"/>
    <hyperlink ref="F10" location="'Assessment'!A17" display="#'Assessment'.A17"/>
    <hyperlink ref="E11" location="'Assessment'!A18" display="#'Assessment'.A18"/>
    <hyperlink ref="F11" location="'Assessment'!A18" display="#'Assessment'.A18"/>
    <hyperlink ref="F25" location="'Build-Up'!A22" display="#'Build-Up'.A22"/>
    <hyperlink ref="F26" location="'Build-Up'!A14" display="#'Build-Up'.A14"/>
    <hyperlink ref="F27" location="'Build-Up'!A28" display="#'Build-Up'.A28"/>
    <hyperlink ref="F28" location="'Build-Up'!A20" display="#'Build-Up'.A20"/>
    <hyperlink ref="F29" location="'Build-Up'!A17" display="#'Build-Up'.A17"/>
    <hyperlink ref="F30" location="'Build-Up'!A10" display="#'Build-Up'.A10"/>
    <hyperlink ref="F31" location="'Build-Up'!A30" display="#'Build-Up'.A30"/>
    <hyperlink ref="F32" location="'Build-Up'!A23" display="#'Build-Up'.A23"/>
    <hyperlink ref="F33" location="'Build-Up'!A9" display="#'Build-Up'.A9"/>
    <hyperlink ref="F40" location="'Build-Up'!A77" display="#'Build-Up'.A77"/>
    <hyperlink ref="F41" location="'Build-Up'!A76" display="#'Build-Up'.A76"/>
    <hyperlink ref="F42" location="'Build-Up'!A75" display="#'Build-Up'.A75"/>
    <hyperlink ref="F43" location="'Build-Up'!A81" display="#'Build-Up'.A81"/>
    <hyperlink ref="F44" location="'Build-Up'!A83" display="#'Build-Up'.A83"/>
    <hyperlink ref="F45" location="'Build-Up'!A85" display="#'Build-Up'.A85"/>
    <hyperlink ref="F46" location="'Build-Up'!A88" display="#'Build-Up'.A88"/>
    <hyperlink ref="F48" location="'Build-Up'!A84" display="#'Build-Up'.A84"/>
    <hyperlink ref="F54" location="'Build-Up'!A102" display="#'Build-Up'.A102"/>
    <hyperlink ref="F55" location="'Build-Up'!A116" display="#'Build-Up'.A116"/>
    <hyperlink ref="F56" location="'Build-Up'!A115" display="#'Build-Up'.A115"/>
    <hyperlink ref="F57" location="'Build-Up'!A114" display="#'Build-Up'.A114"/>
    <hyperlink ref="F58" location="'Build-Up'!A121" display="#'Build-Up'.A121"/>
    <hyperlink ref="F64" location="'Build-Up'!A134" display="#'Build-Up'.A134"/>
    <hyperlink ref="F65" location="'Build-Up'!A136" display="#'Build-Up'.A136"/>
    <hyperlink ref="F66" location="'Build-Up'!A140" display="#'Build-Up'.A140"/>
    <hyperlink ref="F67" location="'Build-Up'!A147" display="#'Build-Up'.A147"/>
    <hyperlink ref="F68" location="'Build-Up'!A142" display="#'Build-Up'.A142"/>
    <hyperlink ref="F69" location="'Build-Up'!A153" display="#'Build-Up'.A153"/>
    <hyperlink ref="E98" location="'Assessment'!A8" display="#'Assessment'.A8"/>
    <hyperlink ref="E99" location="'Assessment'!A10" display="#'Assessment'.A10"/>
    <hyperlink ref="E100" location="'Assessment'!A12" display="#'Assessment'.A12"/>
    <hyperlink ref="E101" location="'Assessment'!A14" display="#'Assessment'.A14"/>
    <hyperlink ref="E102" location="'Assessment'!A17" display="#'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6"/>
    <col collapsed="false" customWidth="true" hidden="false" outlineLevel="0" max="2" min="2" style="1" width="46"/>
    <col collapsed="false" customWidth="true" hidden="false" outlineLevel="0" max="4" min="3" style="1" width="12"/>
    <col collapsed="false" customWidth="true" hidden="false" outlineLevel="0" max="5" min="5" style="1" width="11"/>
    <col collapsed="false" customWidth="true" hidden="false" outlineLevel="0" max="6" min="6" style="1" width="14"/>
    <col collapsed="false" customWidth="true" hidden="false" outlineLevel="0" max="7" min="7" style="1" width="20"/>
    <col collapsed="false" customWidth="true" hidden="false" outlineLevel="0" max="8" min="8" style="1" width="15"/>
    <col collapsed="false" customWidth="true" hidden="false" outlineLevel="0" max="9" min="9" style="1" width="14"/>
    <col collapsed="false" customWidth="true" hidden="false" outlineLevel="0" max="10" min="10" style="1" width="52"/>
  </cols>
  <sheetData>
    <row r="1" customFormat="false" ht="25.5" hidden="false" customHeight="true" outlineLevel="0" collapsed="false">
      <c r="A1" s="9" t="s">
        <v>698</v>
      </c>
    </row>
    <row r="2" customFormat="false" ht="17.25" hidden="false" customHeight="true" outlineLevel="0" collapsed="false">
      <c r="A2" s="10" t="s">
        <v>30</v>
      </c>
    </row>
    <row r="3" customFormat="false" ht="15" hidden="false" customHeight="true" outlineLevel="0" collapsed="false">
      <c r="A3" s="11" t="s">
        <v>31</v>
      </c>
    </row>
    <row r="4" customFormat="false" ht="86.25" hidden="false" customHeight="true" outlineLevel="0" collapsed="false">
      <c r="A4" s="12" t="s">
        <v>699</v>
      </c>
      <c r="B4" s="12"/>
      <c r="C4" s="12"/>
      <c r="D4" s="12"/>
      <c r="E4" s="12"/>
      <c r="F4" s="12"/>
      <c r="G4" s="12"/>
      <c r="H4" s="12"/>
      <c r="I4" s="12"/>
      <c r="J4" s="12"/>
    </row>
    <row r="5" customFormat="false" ht="15" hidden="false" customHeight="true" outlineLevel="0" collapsed="false">
      <c r="B5" s="38" t="s">
        <v>700</v>
      </c>
      <c r="J5" s="38" t="s">
        <v>701</v>
      </c>
    </row>
    <row r="6" customFormat="false" ht="21" hidden="false" customHeight="true" outlineLevel="0" collapsed="false">
      <c r="A6" s="16" t="s">
        <v>702</v>
      </c>
      <c r="B6" s="16"/>
      <c r="C6" s="16"/>
      <c r="D6" s="16"/>
      <c r="E6" s="16"/>
      <c r="F6" s="16"/>
      <c r="G6" s="16"/>
      <c r="H6" s="16"/>
      <c r="I6" s="16"/>
      <c r="J6" s="16"/>
    </row>
    <row r="7" customFormat="false" ht="51.75" hidden="false" customHeight="true" outlineLevel="0" collapsed="false">
      <c r="A7" s="12" t="s">
        <v>703</v>
      </c>
      <c r="B7" s="12"/>
      <c r="C7" s="12"/>
      <c r="D7" s="12"/>
      <c r="E7" s="12"/>
      <c r="F7" s="12"/>
      <c r="G7" s="12"/>
      <c r="H7" s="12"/>
      <c r="I7" s="12"/>
      <c r="J7" s="12"/>
    </row>
    <row r="8" customFormat="false" ht="40.5" hidden="false" customHeight="true" outlineLevel="0" collapsed="false">
      <c r="A8" s="12" t="s">
        <v>704</v>
      </c>
      <c r="B8" s="12"/>
      <c r="C8" s="12"/>
      <c r="D8" s="12"/>
      <c r="E8" s="12"/>
      <c r="F8" s="12"/>
      <c r="G8" s="12"/>
      <c r="H8" s="12"/>
      <c r="I8" s="12"/>
      <c r="J8" s="12"/>
    </row>
    <row r="9" customFormat="false" ht="51.75" hidden="false" customHeight="true" outlineLevel="0" collapsed="false">
      <c r="A9" s="12" t="s">
        <v>705</v>
      </c>
      <c r="B9" s="12"/>
      <c r="C9" s="12"/>
      <c r="D9" s="12"/>
      <c r="E9" s="12"/>
      <c r="F9" s="12"/>
      <c r="G9" s="12"/>
      <c r="H9" s="12"/>
      <c r="I9" s="12"/>
      <c r="J9" s="12"/>
    </row>
    <row r="11" customFormat="false" ht="21" hidden="false" customHeight="true" outlineLevel="0" collapsed="false">
      <c r="A11" s="16" t="s">
        <v>706</v>
      </c>
      <c r="B11" s="16"/>
      <c r="C11" s="16"/>
      <c r="D11" s="16"/>
      <c r="E11" s="16"/>
      <c r="F11" s="16"/>
      <c r="G11" s="16"/>
      <c r="H11" s="16"/>
      <c r="I11" s="16"/>
      <c r="J11" s="16"/>
    </row>
    <row r="12" customFormat="false" ht="31.5" hidden="false" customHeight="true" outlineLevel="0" collapsed="false">
      <c r="A12" s="14" t="s">
        <v>94</v>
      </c>
      <c r="B12" s="14" t="s">
        <v>707</v>
      </c>
      <c r="C12" s="14" t="s">
        <v>708</v>
      </c>
      <c r="D12" s="14"/>
      <c r="E12" s="14"/>
      <c r="F12" s="14"/>
      <c r="G12" s="14"/>
      <c r="H12" s="14"/>
      <c r="I12" s="14" t="s">
        <v>709</v>
      </c>
      <c r="J12" s="14"/>
    </row>
    <row r="13" customFormat="false" ht="42" hidden="false" customHeight="true" outlineLevel="0" collapsed="false">
      <c r="A13" s="19" t="s">
        <v>710</v>
      </c>
      <c r="B13" s="18" t="s">
        <v>711</v>
      </c>
      <c r="C13" s="60" t="s">
        <v>712</v>
      </c>
      <c r="D13" s="60"/>
      <c r="E13" s="60"/>
      <c r="F13" s="60"/>
      <c r="G13" s="60"/>
      <c r="H13" s="60"/>
      <c r="I13" s="21" t="s">
        <v>713</v>
      </c>
      <c r="J13" s="21"/>
    </row>
    <row r="14" customFormat="false" ht="42" hidden="false" customHeight="true" outlineLevel="0" collapsed="false">
      <c r="A14" s="19" t="s">
        <v>714</v>
      </c>
      <c r="B14" s="18" t="s">
        <v>715</v>
      </c>
      <c r="C14" s="67" t="n">
        <v>46288</v>
      </c>
      <c r="D14" s="67"/>
      <c r="E14" s="67"/>
      <c r="F14" s="67"/>
      <c r="G14" s="67"/>
      <c r="H14" s="67"/>
      <c r="I14" s="21" t="s">
        <v>716</v>
      </c>
      <c r="J14" s="21"/>
    </row>
    <row r="15" customFormat="false" ht="30" hidden="false" customHeight="true" outlineLevel="0" collapsed="false">
      <c r="A15" s="19" t="s">
        <v>717</v>
      </c>
      <c r="B15" s="18" t="s">
        <v>718</v>
      </c>
      <c r="C15" s="68" t="n">
        <v>30.4</v>
      </c>
      <c r="D15" s="68"/>
      <c r="E15" s="68"/>
      <c r="F15" s="68"/>
      <c r="G15" s="68"/>
      <c r="H15" s="68"/>
      <c r="I15" s="21" t="s">
        <v>719</v>
      </c>
      <c r="J15" s="21"/>
    </row>
    <row r="17" customFormat="false" ht="21" hidden="false" customHeight="true" outlineLevel="0" collapsed="false">
      <c r="A17" s="16" t="s">
        <v>720</v>
      </c>
      <c r="B17" s="16"/>
      <c r="C17" s="16"/>
      <c r="D17" s="16"/>
      <c r="E17" s="16"/>
      <c r="F17" s="16"/>
      <c r="G17" s="16"/>
      <c r="H17" s="16"/>
      <c r="I17" s="16"/>
      <c r="J17" s="16"/>
    </row>
    <row r="18" customFormat="false" ht="51.75" hidden="false" customHeight="true" outlineLevel="0" collapsed="false">
      <c r="A18" s="12" t="s">
        <v>721</v>
      </c>
      <c r="B18" s="12"/>
      <c r="C18" s="12"/>
      <c r="D18" s="12"/>
      <c r="E18" s="12"/>
      <c r="F18" s="12"/>
      <c r="G18" s="12"/>
      <c r="H18" s="12"/>
      <c r="I18" s="12"/>
      <c r="J18" s="12"/>
    </row>
    <row r="19" customFormat="false" ht="54.75" hidden="false" customHeight="true" outlineLevel="0" collapsed="false">
      <c r="A19" s="14" t="s">
        <v>94</v>
      </c>
      <c r="B19" s="14" t="s">
        <v>722</v>
      </c>
      <c r="C19" s="14" t="s">
        <v>723</v>
      </c>
      <c r="D19" s="14" t="s">
        <v>724</v>
      </c>
      <c r="E19" s="14" t="s">
        <v>725</v>
      </c>
      <c r="F19" s="14" t="s">
        <v>726</v>
      </c>
      <c r="G19" s="14" t="s">
        <v>727</v>
      </c>
      <c r="H19" s="14" t="s">
        <v>728</v>
      </c>
      <c r="I19" s="14" t="s">
        <v>729</v>
      </c>
      <c r="J19" s="14"/>
    </row>
    <row r="20" customFormat="false" ht="42" hidden="false" customHeight="true" outlineLevel="0" collapsed="false">
      <c r="A20" s="19" t="s">
        <v>730</v>
      </c>
      <c r="B20" s="18" t="s">
        <v>731</v>
      </c>
      <c r="C20" s="69" t="n">
        <f aca="false">INDEX('XER WBS'!$J$69:$J$149,MATCH("QCD18TSEMOB1240",'XER WBS'!$A$69:$A$149,0))</f>
        <v>46256</v>
      </c>
      <c r="D20" s="69" t="n">
        <f aca="false">INDEX('XER WBS'!$K$69:$K$149,MATCH("QCD18TSEMOB1250",'XER WBS'!$A$69:$A$149,0))</f>
        <v>46260</v>
      </c>
      <c r="E20" s="65" t="n">
        <f aca="false">D20-C20+1</f>
        <v>5</v>
      </c>
      <c r="F20" s="70" t="n">
        <f aca="false">C20</f>
        <v>46256</v>
      </c>
      <c r="G20" s="70" t="n">
        <f aca="false">D20</f>
        <v>46260</v>
      </c>
      <c r="H20" s="65" t="n">
        <f aca="false">E20</f>
        <v>5</v>
      </c>
      <c r="I20" s="21" t="s">
        <v>732</v>
      </c>
      <c r="J20" s="21"/>
    </row>
    <row r="21" customFormat="false" ht="67.5" hidden="false" customHeight="true" outlineLevel="0" collapsed="false">
      <c r="A21" s="19" t="s">
        <v>733</v>
      </c>
      <c r="B21" s="18" t="s">
        <v>734</v>
      </c>
      <c r="C21" s="69" t="n">
        <f aca="false">INDEX('XER WBS'!$J$69:$J$149,MATCH("QCD18TSECONDSM1020",'XER WBS'!$A$69:$A$149,0))</f>
        <v>46261</v>
      </c>
      <c r="D21" s="69" t="n">
        <f aca="false">INDEX('XER WBS'!$K$69:$K$149,MATCH("QCD18TSECONDSM1030",'XER WBS'!$A$69:$A$149,0))</f>
        <v>46277</v>
      </c>
      <c r="E21" s="65" t="n">
        <f aca="false">D21-C21+1</f>
        <v>17</v>
      </c>
      <c r="F21" s="70" t="n">
        <f aca="false">C21</f>
        <v>46261</v>
      </c>
      <c r="G21" s="70" t="n">
        <f aca="false">D21</f>
        <v>46277</v>
      </c>
      <c r="H21" s="65" t="n">
        <f aca="false">E21</f>
        <v>17</v>
      </c>
      <c r="I21" s="21" t="s">
        <v>735</v>
      </c>
      <c r="J21" s="21"/>
    </row>
    <row r="22" customFormat="false" ht="54.75" hidden="false" customHeight="true" outlineLevel="0" collapsed="false">
      <c r="A22" s="14" t="s">
        <v>94</v>
      </c>
      <c r="B22" s="14" t="s">
        <v>722</v>
      </c>
      <c r="C22" s="14" t="s">
        <v>723</v>
      </c>
      <c r="D22" s="14" t="s">
        <v>724</v>
      </c>
      <c r="E22" s="14" t="s">
        <v>725</v>
      </c>
      <c r="F22" s="14" t="s">
        <v>726</v>
      </c>
      <c r="G22" s="14" t="s">
        <v>727</v>
      </c>
      <c r="H22" s="14" t="s">
        <v>728</v>
      </c>
      <c r="I22" s="14" t="s">
        <v>729</v>
      </c>
      <c r="J22" s="14"/>
    </row>
    <row r="23" customFormat="false" ht="93" hidden="false" customHeight="true" outlineLevel="0" collapsed="false">
      <c r="A23" s="19" t="s">
        <v>736</v>
      </c>
      <c r="B23" s="18" t="s">
        <v>737</v>
      </c>
      <c r="C23" s="69" t="n">
        <f aca="false">INDEX('XER WBS'!$J$69:$J$149,MATCH("QCD18TSECONT1INS1020",'XER WBS'!$A$69:$A$149,0))</f>
        <v>46277</v>
      </c>
      <c r="D23" s="69" t="n">
        <f aca="false">INDEX('XER WBS'!$K$69:$K$149,MATCH("QCD18TSECONT1INS1020",'XER WBS'!$A$69:$A$149,0))</f>
        <v>46300</v>
      </c>
      <c r="E23" s="65" t="n">
        <f aca="false">NETWORKDAYS.INTL(C23,D23,"0000100",$C$14)</f>
        <v>20</v>
      </c>
      <c r="F23" s="70" t="n">
        <f aca="false">C23</f>
        <v>46277</v>
      </c>
      <c r="G23" s="70" t="n">
        <f aca="false">D23</f>
        <v>46300</v>
      </c>
      <c r="H23" s="65" t="n">
        <f aca="false">E23</f>
        <v>20</v>
      </c>
      <c r="I23" s="21" t="s">
        <v>738</v>
      </c>
      <c r="J23" s="21"/>
    </row>
    <row r="24" customFormat="false" ht="67.5" hidden="false" customHeight="true" outlineLevel="0" collapsed="false">
      <c r="A24" s="19" t="s">
        <v>739</v>
      </c>
      <c r="B24" s="18" t="s">
        <v>740</v>
      </c>
      <c r="C24" s="69" t="n">
        <f aca="false">INDEX('XER WBS'!$J$69:$J$149,MATCH("QCD18TSECONT1INS1030",'XER WBS'!$A$69:$A$149,0))</f>
        <v>46301</v>
      </c>
      <c r="D24" s="69" t="n">
        <f aca="false">INDEX('XER WBS'!$K$69:$K$149,MATCH("QCD18TSECONT1INS1030",'XER WBS'!$A$69:$A$149,0))</f>
        <v>46319</v>
      </c>
      <c r="E24" s="65" t="n">
        <f aca="false">NETWORKDAYS.INTL(C24,D24,"0000100",$C$14)</f>
        <v>16</v>
      </c>
      <c r="F24" s="70" t="n">
        <f aca="false">C24</f>
        <v>46301</v>
      </c>
      <c r="G24" s="70" t="n">
        <f aca="false">D24</f>
        <v>46319</v>
      </c>
      <c r="H24" s="65" t="n">
        <f aca="false">E24</f>
        <v>16</v>
      </c>
      <c r="I24" s="21" t="s">
        <v>741</v>
      </c>
      <c r="J24" s="21"/>
    </row>
    <row r="25" customFormat="false" ht="42" hidden="false" customHeight="true" outlineLevel="0" collapsed="false">
      <c r="A25" s="19" t="s">
        <v>742</v>
      </c>
      <c r="B25" s="18" t="s">
        <v>743</v>
      </c>
      <c r="C25" s="69" t="n">
        <f aca="false">INDEX('XER WBS'!$J$69:$J$149,MATCH("QCD18TSECONT1INS1060",'XER WBS'!$A$69:$A$149,0))</f>
        <v>46303</v>
      </c>
      <c r="D25" s="69" t="n">
        <f aca="false">INDEX('XER WBS'!$K$69:$K$149,MATCH("QCD18TSECONT1INS1060",'XER WBS'!$A$69:$A$149,0))</f>
        <v>46324</v>
      </c>
      <c r="E25" s="65" t="n">
        <f aca="false">NETWORKDAYS.INTL(C25,D25,"0000100",$C$14)</f>
        <v>19</v>
      </c>
      <c r="F25" s="70" t="n">
        <f aca="false">C25</f>
        <v>46303</v>
      </c>
      <c r="G25" s="70" t="n">
        <f aca="false">D25</f>
        <v>46324</v>
      </c>
      <c r="H25" s="65" t="n">
        <f aca="false">E25</f>
        <v>19</v>
      </c>
      <c r="I25" s="21" t="s">
        <v>744</v>
      </c>
      <c r="J25" s="21"/>
    </row>
    <row r="26" customFormat="false" ht="30" hidden="false" customHeight="true" outlineLevel="0" collapsed="false">
      <c r="A26" s="19" t="s">
        <v>745</v>
      </c>
      <c r="B26" s="18" t="s">
        <v>746</v>
      </c>
      <c r="C26" s="69" t="n">
        <f aca="false">INDEX('XER WBS'!$J$69:$J$149,MATCH("QCD18TSECONT1INS1040",'XER WBS'!$A$69:$A$149,0))</f>
        <v>46326</v>
      </c>
      <c r="D26" s="69" t="n">
        <f aca="false">INDEX('XER WBS'!$K$69:$K$149,MATCH("QCD18TSECONT1INS1040",'XER WBS'!$A$69:$A$149,0))</f>
        <v>46330</v>
      </c>
      <c r="E26" s="65" t="n">
        <f aca="false">NETWORKDAYS.INTL(C26,D26,"0000100",$C$14)</f>
        <v>5</v>
      </c>
      <c r="F26" s="70" t="n">
        <f aca="false">C26</f>
        <v>46326</v>
      </c>
      <c r="G26" s="70" t="n">
        <f aca="false">D26</f>
        <v>46330</v>
      </c>
      <c r="H26" s="65" t="n">
        <f aca="false">E26</f>
        <v>5</v>
      </c>
      <c r="I26" s="21" t="s">
        <v>747</v>
      </c>
      <c r="J26" s="21"/>
    </row>
    <row r="27" customFormat="false" ht="30" hidden="false" customHeight="true" outlineLevel="0" collapsed="false">
      <c r="A27" s="19" t="s">
        <v>748</v>
      </c>
      <c r="B27" s="18" t="s">
        <v>749</v>
      </c>
      <c r="C27" s="69" t="n">
        <f aca="false">INDEX('XER WBS'!$J$69:$J$149,MATCH("QCD18TSECONT1INS1050",'XER WBS'!$A$69:$A$149,0))</f>
        <v>46331</v>
      </c>
      <c r="D27" s="69" t="n">
        <f aca="false">INDEX('XER WBS'!$K$69:$K$149,MATCH("QCD18TSECONT1INS1050",'XER WBS'!$A$69:$A$149,0))</f>
        <v>46337</v>
      </c>
      <c r="E27" s="65" t="n">
        <f aca="false">NETWORKDAYS.INTL(C27,D27,"0000100",$C$14)</f>
        <v>6</v>
      </c>
      <c r="F27" s="70" t="n">
        <f aca="false">C27</f>
        <v>46331</v>
      </c>
      <c r="G27" s="70" t="n">
        <f aca="false">D27</f>
        <v>46337</v>
      </c>
      <c r="H27" s="65" t="n">
        <f aca="false">E27</f>
        <v>6</v>
      </c>
      <c r="I27" s="21" t="s">
        <v>750</v>
      </c>
      <c r="J27" s="21"/>
    </row>
    <row r="28" customFormat="false" ht="54.75" hidden="false" customHeight="true" outlineLevel="0" collapsed="false">
      <c r="A28" s="19" t="s">
        <v>751</v>
      </c>
      <c r="B28" s="18" t="s">
        <v>752</v>
      </c>
      <c r="C28" s="69" t="n">
        <f aca="false">INDEX('XER WBS'!$J$69:$J$149,MATCH("QCD18TSECONT1MW2050",'XER WBS'!$A$69:$A$149,0))</f>
        <v>46335</v>
      </c>
      <c r="D28" s="69" t="n">
        <f aca="false">INDEX('XER WBS'!$K$69:$K$149,MATCH("QCD18TSECONT1MW2055",'XER WBS'!$A$69:$A$149,0))</f>
        <v>46342</v>
      </c>
      <c r="E28" s="65" t="n">
        <f aca="false">NETWORKDAYS.INTL(C28,D28,"0000100",$C$14)</f>
        <v>7</v>
      </c>
      <c r="F28" s="70" t="n">
        <f aca="false">C28</f>
        <v>46335</v>
      </c>
      <c r="G28" s="70" t="n">
        <f aca="false">D28</f>
        <v>46342</v>
      </c>
      <c r="H28" s="65" t="n">
        <f aca="false">E28</f>
        <v>7</v>
      </c>
      <c r="I28" s="21" t="s">
        <v>753</v>
      </c>
      <c r="J28" s="21"/>
    </row>
    <row r="29" customFormat="false" ht="54.75" hidden="false" customHeight="true" outlineLevel="0" collapsed="false">
      <c r="A29" s="19" t="s">
        <v>754</v>
      </c>
      <c r="B29" s="18" t="s">
        <v>755</v>
      </c>
      <c r="C29" s="69" t="n">
        <f aca="false">INDEX('XER WBS'!$J$69:$J$149,MATCH("QCD18TSECONT2INS1020",'XER WBS'!$A$69:$A$149,0))</f>
        <v>46317</v>
      </c>
      <c r="D29" s="69" t="n">
        <f aca="false">INDEX('XER WBS'!$K$69:$K$149,MATCH("QCD18TSECONT2INS1020",'XER WBS'!$A$69:$A$149,0))</f>
        <v>46323</v>
      </c>
      <c r="E29" s="65" t="n">
        <f aca="false">NETWORKDAYS.INTL(C29,D29,"0000100",$C$14)</f>
        <v>6</v>
      </c>
      <c r="F29" s="70" t="n">
        <f aca="false">C29</f>
        <v>46317</v>
      </c>
      <c r="G29" s="70" t="n">
        <f aca="false">D29</f>
        <v>46323</v>
      </c>
      <c r="H29" s="65" t="n">
        <f aca="false">E29</f>
        <v>6</v>
      </c>
      <c r="I29" s="21" t="s">
        <v>756</v>
      </c>
      <c r="J29" s="21"/>
    </row>
    <row r="30" customFormat="false" ht="30" hidden="false" customHeight="true" outlineLevel="0" collapsed="false">
      <c r="A30" s="19" t="s">
        <v>757</v>
      </c>
      <c r="B30" s="18" t="s">
        <v>758</v>
      </c>
      <c r="C30" s="69" t="n">
        <f aca="false">INDEX('XER WBS'!$J$69:$J$149,MATCH("QCD18TSECONT2INS1030",'XER WBS'!$A$69:$A$149,0))</f>
        <v>46324</v>
      </c>
      <c r="D30" s="69" t="n">
        <f aca="false">INDEX('XER WBS'!$K$69:$K$149,MATCH("QCD18TSECONT2INS1030",'XER WBS'!$A$69:$A$149,0))</f>
        <v>46337</v>
      </c>
      <c r="E30" s="65" t="n">
        <f aca="false">NETWORKDAYS.INTL(C30,D30,"0000100",$C$14)</f>
        <v>12</v>
      </c>
      <c r="F30" s="70" t="n">
        <f aca="false">C30</f>
        <v>46324</v>
      </c>
      <c r="G30" s="70" t="n">
        <f aca="false">D30</f>
        <v>46337</v>
      </c>
      <c r="H30" s="65" t="n">
        <f aca="false">E30</f>
        <v>12</v>
      </c>
      <c r="I30" s="21" t="s">
        <v>759</v>
      </c>
      <c r="J30" s="21"/>
    </row>
    <row r="31" customFormat="false" ht="30" hidden="false" customHeight="true" outlineLevel="0" collapsed="false">
      <c r="A31" s="19" t="s">
        <v>760</v>
      </c>
      <c r="B31" s="18" t="s">
        <v>761</v>
      </c>
      <c r="C31" s="69" t="n">
        <f aca="false">INDEX('XER WBS'!$J$69:$J$149,MATCH("QCD18TSECONT2INS1060",'XER WBS'!$A$69:$A$149,0))</f>
        <v>46327</v>
      </c>
      <c r="D31" s="69" t="n">
        <f aca="false">INDEX('XER WBS'!$K$69:$K$149,MATCH("QCD18TSECONT2INS1060",'XER WBS'!$A$69:$A$149,0))</f>
        <v>46343</v>
      </c>
      <c r="E31" s="65" t="n">
        <f aca="false">NETWORKDAYS.INTL(C31,D31,"0000100",$C$14)</f>
        <v>15</v>
      </c>
      <c r="F31" s="70" t="n">
        <f aca="false">C31</f>
        <v>46327</v>
      </c>
      <c r="G31" s="70" t="n">
        <f aca="false">D31</f>
        <v>46343</v>
      </c>
      <c r="H31" s="65" t="n">
        <f aca="false">E31</f>
        <v>15</v>
      </c>
      <c r="I31" s="21" t="s">
        <v>762</v>
      </c>
      <c r="J31" s="21"/>
    </row>
    <row r="32" customFormat="false" ht="30" hidden="false" customHeight="true" outlineLevel="0" collapsed="false">
      <c r="A32" s="19" t="s">
        <v>763</v>
      </c>
      <c r="B32" s="18" t="s">
        <v>764</v>
      </c>
      <c r="C32" s="69" t="n">
        <f aca="false">INDEX('XER WBS'!$J$69:$J$149,MATCH("QCD18TSECONT2INS1040",'XER WBS'!$A$69:$A$149,0))</f>
        <v>46344</v>
      </c>
      <c r="D32" s="69" t="n">
        <f aca="false">INDEX('XER WBS'!$K$69:$K$149,MATCH("QCD18TSECONT2INS1040",'XER WBS'!$A$69:$A$149,0))</f>
        <v>46349</v>
      </c>
      <c r="E32" s="65" t="n">
        <f aca="false">NETWORKDAYS.INTL(C32,D32,"0000100",$C$14)</f>
        <v>5</v>
      </c>
      <c r="F32" s="70" t="n">
        <f aca="false">C32</f>
        <v>46344</v>
      </c>
      <c r="G32" s="70" t="n">
        <f aca="false">D32</f>
        <v>46349</v>
      </c>
      <c r="H32" s="65" t="n">
        <f aca="false">E32</f>
        <v>5</v>
      </c>
      <c r="I32" s="21" t="s">
        <v>765</v>
      </c>
      <c r="J32" s="21"/>
    </row>
    <row r="33" customFormat="false" ht="30" hidden="false" customHeight="true" outlineLevel="0" collapsed="false">
      <c r="A33" s="19" t="s">
        <v>766</v>
      </c>
      <c r="B33" s="18" t="s">
        <v>767</v>
      </c>
      <c r="C33" s="69" t="n">
        <f aca="false">INDEX('XER WBS'!$J$69:$J$149,MATCH("QCD18TSECONT2INS1050",'XER WBS'!$A$69:$A$149,0))</f>
        <v>46350</v>
      </c>
      <c r="D33" s="69" t="n">
        <f aca="false">INDEX('XER WBS'!$K$69:$K$149,MATCH("QCD18TSECONT2INS1050",'XER WBS'!$A$69:$A$149,0))</f>
        <v>46356</v>
      </c>
      <c r="E33" s="65" t="n">
        <f aca="false">NETWORKDAYS.INTL(C33,D33,"0000100",$C$14)</f>
        <v>6</v>
      </c>
      <c r="F33" s="70" t="n">
        <f aca="false">C33</f>
        <v>46350</v>
      </c>
      <c r="G33" s="70" t="n">
        <f aca="false">D33</f>
        <v>46356</v>
      </c>
      <c r="H33" s="65" t="n">
        <f aca="false">E33</f>
        <v>6</v>
      </c>
      <c r="I33" s="21" t="s">
        <v>768</v>
      </c>
      <c r="J33" s="21"/>
    </row>
    <row r="34" customFormat="false" ht="30" hidden="false" customHeight="true" outlineLevel="0" collapsed="false">
      <c r="A34" s="19" t="s">
        <v>769</v>
      </c>
      <c r="B34" s="18" t="s">
        <v>770</v>
      </c>
      <c r="C34" s="69" t="n">
        <f aca="false">INDEX('XER WBS'!$J$69:$J$149,MATCH("QCD18TSECONT2MW2030",'XER WBS'!$A$69:$A$149,0))</f>
        <v>46354</v>
      </c>
      <c r="D34" s="69" t="n">
        <f aca="false">INDEX('XER WBS'!$K$69:$K$149,MATCH("QCD18TSECONT2MW2020",'XER WBS'!$A$69:$A$149,0))</f>
        <v>46359</v>
      </c>
      <c r="E34" s="65" t="n">
        <f aca="false">NETWORKDAYS.INTL(C34,D34,"0000100",$C$14)</f>
        <v>6</v>
      </c>
      <c r="F34" s="70" t="n">
        <f aca="false">C34</f>
        <v>46354</v>
      </c>
      <c r="G34" s="70" t="n">
        <f aca="false">D34</f>
        <v>46359</v>
      </c>
      <c r="H34" s="65" t="n">
        <f aca="false">E34</f>
        <v>6</v>
      </c>
      <c r="I34" s="21" t="s">
        <v>771</v>
      </c>
      <c r="J34" s="21"/>
    </row>
    <row r="35" customFormat="false" ht="54.75" hidden="false" customHeight="true" outlineLevel="0" collapsed="false">
      <c r="A35" s="19" t="s">
        <v>772</v>
      </c>
      <c r="B35" s="18" t="s">
        <v>773</v>
      </c>
      <c r="C35" s="69" t="n">
        <f aca="false">INDEX('XER WBS'!$J$69:$J$149,MATCH("QCD18TSECONIF2050",'XER WBS'!$A$69:$A$149,0))</f>
        <v>46359</v>
      </c>
      <c r="D35" s="69" t="n">
        <f aca="false">INDEX('XER WBS'!$K$69:$K$149,MATCH("QCD18TSECONIF2050",'XER WBS'!$A$69:$A$149,0))</f>
        <v>46359</v>
      </c>
      <c r="E35" s="65" t="s">
        <v>774</v>
      </c>
      <c r="F35" s="70" t="n">
        <f aca="false">C35</f>
        <v>46359</v>
      </c>
      <c r="G35" s="70" t="n">
        <f aca="false">D35</f>
        <v>46359</v>
      </c>
      <c r="H35" s="65" t="s">
        <v>774</v>
      </c>
      <c r="I35" s="21" t="s">
        <v>775</v>
      </c>
      <c r="J35" s="21"/>
    </row>
    <row r="36" customFormat="false" ht="30" hidden="false" customHeight="true" outlineLevel="0" collapsed="false">
      <c r="A36" s="19" t="s">
        <v>776</v>
      </c>
      <c r="B36" s="18" t="s">
        <v>777</v>
      </c>
      <c r="C36" s="69" t="n">
        <f aca="false">INDEX('XER WBS'!$J$69:$J$149,MATCH("QCD18TSECONTC2040",'XER WBS'!$A$69:$A$149,0))</f>
        <v>46361</v>
      </c>
      <c r="D36" s="69" t="n">
        <f aca="false">INDEX('XER WBS'!$K$69:$K$149,MATCH("QCD18TSECONTC2040",'XER WBS'!$A$69:$A$149,0))</f>
        <v>46364</v>
      </c>
      <c r="E36" s="65" t="n">
        <f aca="false">NETWORKDAYS.INTL(C36,D36,"0000100",$C$14)</f>
        <v>4</v>
      </c>
      <c r="F36" s="70" t="n">
        <f aca="false">C36</f>
        <v>46361</v>
      </c>
      <c r="G36" s="70" t="n">
        <f aca="false">D36</f>
        <v>46364</v>
      </c>
      <c r="H36" s="65" t="n">
        <f aca="false">E36</f>
        <v>4</v>
      </c>
      <c r="I36" s="21" t="s">
        <v>778</v>
      </c>
      <c r="J36" s="21"/>
    </row>
    <row r="37" customFormat="false" ht="93" hidden="false" customHeight="true" outlineLevel="0" collapsed="false">
      <c r="A37" s="19" t="s">
        <v>779</v>
      </c>
      <c r="B37" s="18" t="s">
        <v>780</v>
      </c>
      <c r="C37" s="69" t="n">
        <f aca="false">INDEX('XER WBS'!$J$69:$J$149,MATCH("QCD18TSECONTCT12050",'XER WBS'!$A$69:$A$149,0))</f>
        <v>46365</v>
      </c>
      <c r="D37" s="69" t="n">
        <f aca="false">INDEX('XER WBS'!$K$69:$K$149,MATCH("QCD18TSECONTCT22030",'XER WBS'!$A$69:$A$149,0))</f>
        <v>46372</v>
      </c>
      <c r="E37" s="65" t="n">
        <f aca="false">NETWORKDAYS.INTL(C37,D37,"0000100",$C$14)</f>
        <v>7</v>
      </c>
      <c r="F37" s="70" t="s">
        <v>774</v>
      </c>
      <c r="G37" s="70" t="s">
        <v>774</v>
      </c>
      <c r="H37" s="65" t="s">
        <v>774</v>
      </c>
      <c r="I37" s="21" t="s">
        <v>781</v>
      </c>
      <c r="J37" s="21"/>
    </row>
    <row r="38" customFormat="false" ht="54.75" hidden="false" customHeight="true" outlineLevel="0" collapsed="false">
      <c r="A38" s="14" t="s">
        <v>94</v>
      </c>
      <c r="B38" s="14" t="s">
        <v>722</v>
      </c>
      <c r="C38" s="14" t="s">
        <v>723</v>
      </c>
      <c r="D38" s="14" t="s">
        <v>724</v>
      </c>
      <c r="E38" s="14" t="s">
        <v>725</v>
      </c>
      <c r="F38" s="14" t="s">
        <v>726</v>
      </c>
      <c r="G38" s="14" t="s">
        <v>727</v>
      </c>
      <c r="H38" s="14" t="s">
        <v>728</v>
      </c>
      <c r="I38" s="14" t="s">
        <v>729</v>
      </c>
      <c r="J38" s="14"/>
    </row>
    <row r="39" customFormat="false" ht="246.75" hidden="false" customHeight="true" outlineLevel="0" collapsed="false">
      <c r="A39" s="19" t="s">
        <v>782</v>
      </c>
      <c r="B39" s="18" t="s">
        <v>783</v>
      </c>
      <c r="C39" s="69" t="str">
        <f aca="false">G37</f>
        <v>-</v>
      </c>
      <c r="D39" s="69" t="str">
        <f aca="false">G37</f>
        <v>-</v>
      </c>
      <c r="E39" s="71" t="str">
        <f aca="false">G37</f>
        <v>-</v>
      </c>
      <c r="F39" s="69" t="n">
        <f aca="false">WORKDAY.INTL(D28,1,"0000100",$C$14)</f>
        <v>46343</v>
      </c>
      <c r="G39" s="70" t="n">
        <f aca="false">WORKDAY.INTL(F39,H39-1,"0000100",$C$14)</f>
        <v>46350</v>
      </c>
      <c r="H39" s="71" t="n">
        <f aca="false">INDEX('XER WBS'!$I$69:$I$149,MATCH("QCD18TSECONTCT12050",'XER WBS'!$A$69:$A$149,0))</f>
        <v>7</v>
      </c>
      <c r="I39" s="21" t="s">
        <v>784</v>
      </c>
      <c r="J39" s="21"/>
    </row>
    <row r="40" customFormat="false" ht="118.5" hidden="false" customHeight="true" outlineLevel="0" collapsed="false">
      <c r="A40" s="19" t="s">
        <v>785</v>
      </c>
      <c r="B40" s="18" t="s">
        <v>786</v>
      </c>
      <c r="C40" s="69" t="str">
        <f aca="false">G37</f>
        <v>-</v>
      </c>
      <c r="D40" s="69" t="str">
        <f aca="false">G37</f>
        <v>-</v>
      </c>
      <c r="E40" s="71" t="str">
        <f aca="false">G37</f>
        <v>-</v>
      </c>
      <c r="F40" s="69" t="n">
        <f aca="false">WORKDAY.INTL(MAX(G39,G34),1,"0000100",$C$14)</f>
        <v>46361</v>
      </c>
      <c r="G40" s="70" t="n">
        <f aca="false">WORKDAY.INTL(F40,H40-1,"0000100",$C$14)</f>
        <v>46363</v>
      </c>
      <c r="H40" s="65" t="n">
        <v>3</v>
      </c>
      <c r="I40" s="21" t="s">
        <v>787</v>
      </c>
      <c r="J40" s="21"/>
    </row>
    <row r="41" customFormat="false" ht="118.5" hidden="false" customHeight="true" outlineLevel="0" collapsed="false">
      <c r="A41" s="19" t="s">
        <v>788</v>
      </c>
      <c r="B41" s="18" t="s">
        <v>789</v>
      </c>
      <c r="C41" s="69" t="str">
        <f aca="false">G37</f>
        <v>-</v>
      </c>
      <c r="D41" s="69" t="str">
        <f aca="false">G37</f>
        <v>-</v>
      </c>
      <c r="E41" s="71" t="str">
        <f aca="false">G37</f>
        <v>-</v>
      </c>
      <c r="F41" s="69" t="n">
        <f aca="false">WORKDAY.INTL(G40,1,"0000100",$C$14)</f>
        <v>46364</v>
      </c>
      <c r="G41" s="70" t="n">
        <f aca="false">WORKDAY.INTL(F41,H41-1,"0000100",$C$14)</f>
        <v>46368</v>
      </c>
      <c r="H41" s="65" t="n">
        <v>4</v>
      </c>
      <c r="I41" s="21" t="s">
        <v>790</v>
      </c>
      <c r="J41" s="21"/>
    </row>
    <row r="42" customFormat="false" ht="144.75" hidden="false" customHeight="true" outlineLevel="0" collapsed="false">
      <c r="A42" s="19" t="s">
        <v>791</v>
      </c>
      <c r="B42" s="18" t="s">
        <v>792</v>
      </c>
      <c r="C42" s="69" t="str">
        <f aca="false">G37</f>
        <v>-</v>
      </c>
      <c r="D42" s="69" t="str">
        <f aca="false">G37</f>
        <v>-</v>
      </c>
      <c r="E42" s="71" t="str">
        <f aca="false">G37</f>
        <v>-</v>
      </c>
      <c r="F42" s="69" t="n">
        <f aca="false">WORKDAY.INTL(MAX(G40,G36),1,"0000100",$C$14)</f>
        <v>46365</v>
      </c>
      <c r="G42" s="70" t="n">
        <f aca="false">WORKDAY.INTL(F42,H42-1,"0000100",$C$14)</f>
        <v>46366</v>
      </c>
      <c r="H42" s="65" t="n">
        <v>2</v>
      </c>
      <c r="I42" s="21" t="s">
        <v>793</v>
      </c>
      <c r="J42" s="21"/>
    </row>
    <row r="43" customFormat="false" ht="105.75" hidden="false" customHeight="true" outlineLevel="0" collapsed="false">
      <c r="A43" s="19" t="s">
        <v>794</v>
      </c>
      <c r="B43" s="18" t="s">
        <v>795</v>
      </c>
      <c r="C43" s="69" t="str">
        <f aca="false">G37</f>
        <v>-</v>
      </c>
      <c r="D43" s="69" t="str">
        <f aca="false">G37</f>
        <v>-</v>
      </c>
      <c r="E43" s="71" t="str">
        <f aca="false">G37</f>
        <v>-</v>
      </c>
      <c r="F43" s="69" t="n">
        <f aca="false">WORKDAY.INTL(G36,1,"0000100",$C$14)</f>
        <v>46365</v>
      </c>
      <c r="G43" s="70" t="n">
        <f aca="false">WORKDAY.INTL(F43,H43-1,"0000100",$C$14)</f>
        <v>46368</v>
      </c>
      <c r="H43" s="65" t="n">
        <v>3</v>
      </c>
      <c r="I43" s="21" t="s">
        <v>796</v>
      </c>
      <c r="J43" s="21"/>
    </row>
    <row r="44" customFormat="false" ht="54.75" hidden="false" customHeight="true" outlineLevel="0" collapsed="false">
      <c r="A44" s="14" t="s">
        <v>94</v>
      </c>
      <c r="B44" s="14" t="s">
        <v>722</v>
      </c>
      <c r="C44" s="14" t="s">
        <v>723</v>
      </c>
      <c r="D44" s="14" t="s">
        <v>724</v>
      </c>
      <c r="E44" s="14" t="s">
        <v>725</v>
      </c>
      <c r="F44" s="14" t="s">
        <v>726</v>
      </c>
      <c r="G44" s="14" t="s">
        <v>727</v>
      </c>
      <c r="H44" s="14" t="s">
        <v>728</v>
      </c>
      <c r="I44" s="14" t="s">
        <v>729</v>
      </c>
      <c r="J44" s="14"/>
    </row>
    <row r="45" customFormat="false" ht="132" hidden="false" customHeight="true" outlineLevel="0" collapsed="false">
      <c r="A45" s="19" t="s">
        <v>797</v>
      </c>
      <c r="B45" s="18" t="s">
        <v>798</v>
      </c>
      <c r="C45" s="69" t="str">
        <f aca="false">G37</f>
        <v>-</v>
      </c>
      <c r="D45" s="69" t="str">
        <f aca="false">G37</f>
        <v>-</v>
      </c>
      <c r="E45" s="71" t="str">
        <f aca="false">G37</f>
        <v>-</v>
      </c>
      <c r="F45" s="69" t="n">
        <f aca="false">WORKDAY.INTL(MAX(G36,G41,G43,G42),3,"0000100",$C$14)</f>
        <v>46371</v>
      </c>
      <c r="G45" s="70" t="n">
        <f aca="false">WORKDAY.INTL(F45,H45-1,"0000100",$C$14)</f>
        <v>46373</v>
      </c>
      <c r="H45" s="65" t="n">
        <v>3</v>
      </c>
      <c r="I45" s="21" t="s">
        <v>799</v>
      </c>
      <c r="J45" s="21"/>
    </row>
    <row r="46" customFormat="false" ht="67.5" hidden="false" customHeight="true" outlineLevel="0" collapsed="false">
      <c r="A46" s="19" t="s">
        <v>800</v>
      </c>
      <c r="B46" s="18" t="s">
        <v>801</v>
      </c>
      <c r="C46" s="69" t="n">
        <f aca="false">INDEX('XER WBS'!$K$69:$K$149,MATCH("QCD18TSEOMS1040",'XER WBS'!$A$69:$A$149,0))</f>
        <v>46372</v>
      </c>
      <c r="D46" s="70" t="n">
        <f aca="false">C46</f>
        <v>46372</v>
      </c>
      <c r="E46" s="65" t="s">
        <v>774</v>
      </c>
      <c r="F46" s="69" t="n">
        <f aca="false">G45</f>
        <v>46373</v>
      </c>
      <c r="G46" s="70" t="n">
        <f aca="false">F46</f>
        <v>46373</v>
      </c>
      <c r="H46" s="65" t="s">
        <v>774</v>
      </c>
      <c r="I46" s="21" t="s">
        <v>802</v>
      </c>
      <c r="J46" s="21"/>
    </row>
    <row r="47" customFormat="false" ht="60" hidden="false" customHeight="true" outlineLevel="0" collapsed="false">
      <c r="A47" s="19" t="s">
        <v>803</v>
      </c>
      <c r="B47" s="18" t="s">
        <v>804</v>
      </c>
      <c r="C47" s="69" t="n">
        <f aca="false">INDEX('XER WBS'!$J$69:$J$149,MATCH("QCD18TSEDMOB1020",'XER WBS'!$A$69:$A$149,0))</f>
        <v>46373</v>
      </c>
      <c r="D47" s="69" t="n">
        <f aca="false">INDEX('XER WBS'!$K$69:$K$149,MATCH("QCD18TSEDMOB1020",'XER WBS'!$A$69:$A$149,0))</f>
        <v>46380</v>
      </c>
      <c r="E47" s="65" t="n">
        <f aca="false">NETWORKDAYS.INTL(C47,D47,"0000100",$C$14)</f>
        <v>7</v>
      </c>
      <c r="F47" s="69" t="n">
        <f aca="false">WORKDAY.INTL(G46,1,"0000100",$C$14)</f>
        <v>46375</v>
      </c>
      <c r="G47" s="70" t="n">
        <f aca="false">WORKDAY.INTL(F47,H47-1,"0000100",$C$14)</f>
        <v>46382</v>
      </c>
      <c r="H47" s="65" t="n">
        <f aca="false">E47</f>
        <v>7</v>
      </c>
      <c r="I47" s="21" t="s">
        <v>805</v>
      </c>
      <c r="J47" s="21"/>
    </row>
    <row r="48" customFormat="false" ht="19.5" hidden="false" customHeight="true" outlineLevel="0" collapsed="false">
      <c r="A48" s="26"/>
      <c r="B48" s="26" t="s">
        <v>806</v>
      </c>
      <c r="C48" s="26"/>
      <c r="D48" s="26"/>
      <c r="E48" s="26"/>
      <c r="F48" s="26"/>
      <c r="G48" s="26"/>
      <c r="H48" s="26"/>
      <c r="I48" s="26"/>
      <c r="J48" s="26"/>
    </row>
    <row r="49" customFormat="false" ht="132" hidden="false" customHeight="true" outlineLevel="0" collapsed="false">
      <c r="A49" s="19" t="s">
        <v>807</v>
      </c>
      <c r="B49" s="18" t="s">
        <v>808</v>
      </c>
      <c r="C49" s="69" t="n">
        <f aca="false">C20</f>
        <v>46256</v>
      </c>
      <c r="D49" s="69" t="n">
        <f aca="false">D47</f>
        <v>46380</v>
      </c>
      <c r="E49" s="65" t="n">
        <f aca="false">D49-C49+1</f>
        <v>125</v>
      </c>
      <c r="F49" s="69" t="n">
        <f aca="false">F20</f>
        <v>46256</v>
      </c>
      <c r="G49" s="69" t="n">
        <f aca="false">G47</f>
        <v>46382</v>
      </c>
      <c r="H49" s="65" t="n">
        <f aca="false">G49-F49+1</f>
        <v>127</v>
      </c>
      <c r="I49" s="21" t="s">
        <v>809</v>
      </c>
      <c r="J49" s="21"/>
    </row>
    <row r="50" customFormat="false" ht="30" hidden="false" customHeight="true" outlineLevel="0" collapsed="false">
      <c r="A50" s="19" t="s">
        <v>810</v>
      </c>
      <c r="B50" s="18" t="s">
        <v>811</v>
      </c>
      <c r="C50" s="69" t="n">
        <f aca="false">C20</f>
        <v>46256</v>
      </c>
      <c r="D50" s="69" t="n">
        <f aca="false">D46</f>
        <v>46372</v>
      </c>
      <c r="E50" s="65" t="n">
        <f aca="false">D50-C50+1</f>
        <v>117</v>
      </c>
      <c r="F50" s="69" t="n">
        <f aca="false">F20</f>
        <v>46256</v>
      </c>
      <c r="G50" s="69" t="n">
        <f aca="false">G46</f>
        <v>46373</v>
      </c>
      <c r="H50" s="65" t="n">
        <f aca="false">G50-F50+1</f>
        <v>118</v>
      </c>
      <c r="I50" s="21" t="s">
        <v>812</v>
      </c>
      <c r="J50" s="21"/>
    </row>
    <row r="51" customFormat="false" ht="42" hidden="false" customHeight="true" outlineLevel="0" collapsed="false">
      <c r="A51" s="19" t="s">
        <v>813</v>
      </c>
      <c r="B51" s="18" t="s">
        <v>814</v>
      </c>
      <c r="C51" s="69" t="n">
        <f aca="false">C23</f>
        <v>46277</v>
      </c>
      <c r="D51" s="69" t="n">
        <f aca="false">D34</f>
        <v>46359</v>
      </c>
      <c r="E51" s="65" t="n">
        <f aca="false">D51-C51+1</f>
        <v>83</v>
      </c>
      <c r="F51" s="70" t="n">
        <f aca="false">C51</f>
        <v>46277</v>
      </c>
      <c r="G51" s="70" t="n">
        <f aca="false">D51</f>
        <v>46359</v>
      </c>
      <c r="H51" s="65" t="n">
        <f aca="false">E51</f>
        <v>83</v>
      </c>
      <c r="I51" s="21" t="s">
        <v>815</v>
      </c>
      <c r="J51" s="21"/>
    </row>
    <row r="52" customFormat="false" ht="42" hidden="false" customHeight="true" outlineLevel="0" collapsed="false">
      <c r="A52" s="19" t="s">
        <v>816</v>
      </c>
      <c r="B52" s="18" t="s">
        <v>817</v>
      </c>
      <c r="C52" s="69" t="n">
        <f aca="false">C24</f>
        <v>46301</v>
      </c>
      <c r="D52" s="69" t="n">
        <f aca="false">D33</f>
        <v>46356</v>
      </c>
      <c r="E52" s="65" t="n">
        <f aca="false">D52-C52+1</f>
        <v>56</v>
      </c>
      <c r="F52" s="70" t="n">
        <f aca="false">C52</f>
        <v>46301</v>
      </c>
      <c r="G52" s="70" t="n">
        <f aca="false">D52</f>
        <v>46356</v>
      </c>
      <c r="H52" s="65" t="n">
        <f aca="false">E52</f>
        <v>56</v>
      </c>
      <c r="I52" s="21" t="s">
        <v>818</v>
      </c>
      <c r="J52" s="21"/>
    </row>
    <row r="53" customFormat="false" ht="54.75" hidden="false" customHeight="true" outlineLevel="0" collapsed="false">
      <c r="A53" s="19" t="s">
        <v>819</v>
      </c>
      <c r="B53" s="18" t="s">
        <v>820</v>
      </c>
      <c r="C53" s="69" t="n">
        <f aca="false">INDEX('XER WBS'!$J$69:$J$149,MATCH("QCD18TSEPRC1120",'XER WBS'!$A$69:$A$149,0))</f>
        <v>46273</v>
      </c>
      <c r="D53" s="69" t="n">
        <f aca="false">D33</f>
        <v>46356</v>
      </c>
      <c r="E53" s="65" t="n">
        <f aca="false">D53-C53+1</f>
        <v>84</v>
      </c>
      <c r="F53" s="70" t="n">
        <f aca="false">C53</f>
        <v>46273</v>
      </c>
      <c r="G53" s="70" t="n">
        <f aca="false">D53</f>
        <v>46356</v>
      </c>
      <c r="H53" s="65" t="n">
        <f aca="false">E53</f>
        <v>84</v>
      </c>
      <c r="I53" s="21" t="s">
        <v>821</v>
      </c>
      <c r="J53" s="21"/>
    </row>
    <row r="54" customFormat="false" ht="132" hidden="false" customHeight="true" outlineLevel="0" collapsed="false">
      <c r="A54" s="12" t="s">
        <v>822</v>
      </c>
      <c r="B54" s="12"/>
      <c r="C54" s="12"/>
      <c r="D54" s="12"/>
      <c r="E54" s="12"/>
      <c r="F54" s="12"/>
      <c r="G54" s="12"/>
      <c r="H54" s="12"/>
      <c r="I54" s="12"/>
      <c r="J54" s="12"/>
    </row>
    <row r="55" customFormat="false" ht="54.75" hidden="false" customHeight="true" outlineLevel="0" collapsed="false">
      <c r="A55" s="14" t="s">
        <v>94</v>
      </c>
      <c r="B55" s="14" t="s">
        <v>722</v>
      </c>
      <c r="C55" s="14" t="s">
        <v>723</v>
      </c>
      <c r="D55" s="14" t="s">
        <v>724</v>
      </c>
      <c r="E55" s="14" t="s">
        <v>725</v>
      </c>
      <c r="F55" s="14" t="s">
        <v>726</v>
      </c>
      <c r="G55" s="14" t="s">
        <v>727</v>
      </c>
      <c r="H55" s="14" t="s">
        <v>728</v>
      </c>
      <c r="I55" s="14" t="s">
        <v>729</v>
      </c>
      <c r="J55" s="14"/>
    </row>
    <row r="56" customFormat="false" ht="19.5" hidden="false" customHeight="true" outlineLevel="0" collapsed="false">
      <c r="A56" s="26"/>
      <c r="B56" s="26" t="s">
        <v>823</v>
      </c>
      <c r="C56" s="26"/>
      <c r="D56" s="26"/>
      <c r="E56" s="26"/>
      <c r="F56" s="26"/>
      <c r="G56" s="26"/>
      <c r="H56" s="26"/>
      <c r="I56" s="26"/>
      <c r="J56" s="26"/>
    </row>
    <row r="57" customFormat="false" ht="80.25" hidden="false" customHeight="true" outlineLevel="0" collapsed="false">
      <c r="A57" s="19" t="s">
        <v>824</v>
      </c>
      <c r="B57" s="18" t="s">
        <v>825</v>
      </c>
      <c r="C57" s="69" t="n">
        <f aca="false">F20</f>
        <v>46256</v>
      </c>
      <c r="D57" s="69"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1,"0000100",$C$14),7-1,"0000100",$C$14)</f>
        <v>46394</v>
      </c>
      <c r="E57" s="65" t="n">
        <f aca="false">D57-C57+1</f>
        <v>139</v>
      </c>
      <c r="F57" s="70" t="s">
        <v>774</v>
      </c>
      <c r="G57" s="70" t="s">
        <v>774</v>
      </c>
      <c r="H57" s="65" t="s">
        <v>774</v>
      </c>
      <c r="I57" s="21" t="s">
        <v>826</v>
      </c>
      <c r="J57" s="21"/>
    </row>
    <row r="58" customFormat="false" ht="118.5" hidden="false" customHeight="true" outlineLevel="0" collapsed="false">
      <c r="A58" s="19" t="s">
        <v>827</v>
      </c>
      <c r="B58" s="18" t="s">
        <v>828</v>
      </c>
      <c r="C58" s="72" t="n">
        <f aca="false">E57-H49</f>
        <v>12</v>
      </c>
      <c r="D58" s="70" t="s">
        <v>774</v>
      </c>
      <c r="E58" s="22"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20+1)/$C$15,1)-G182)+D183*(ROUND((H49+C58)/$C$15,1)-G183)+D184*(ROUND((H49+C58)/$C$15,1)-G184)+D173*(2*ROUNDUP((H49+C58)/7,0)-G173)</f>
        <v>35348.4</v>
      </c>
      <c r="F58" s="70" t="s">
        <v>774</v>
      </c>
      <c r="G58" s="70" t="s">
        <v>774</v>
      </c>
      <c r="H58" s="65" t="s">
        <v>774</v>
      </c>
      <c r="I58" s="21" t="s">
        <v>829</v>
      </c>
      <c r="J58" s="21"/>
    </row>
    <row r="59" customFormat="false" ht="42" hidden="false" customHeight="true" outlineLevel="0" collapsed="false">
      <c r="A59" s="19" t="s">
        <v>830</v>
      </c>
      <c r="B59" s="18" t="s">
        <v>831</v>
      </c>
      <c r="C59" s="73" t="n">
        <f aca="false">ROUND(E58*0.05,2)</f>
        <v>1767.42</v>
      </c>
      <c r="D59" s="70" t="s">
        <v>774</v>
      </c>
      <c r="E59" s="22" t="n">
        <f aca="false">E58+C59</f>
        <v>37115.82</v>
      </c>
      <c r="F59" s="70" t="s">
        <v>774</v>
      </c>
      <c r="G59" s="70" t="s">
        <v>774</v>
      </c>
      <c r="H59" s="65" t="s">
        <v>774</v>
      </c>
      <c r="I59" s="21" t="s">
        <v>832</v>
      </c>
      <c r="J59" s="21"/>
    </row>
    <row r="61" customFormat="false" ht="21" hidden="false" customHeight="true" outlineLevel="0" collapsed="false">
      <c r="A61" s="16" t="s">
        <v>833</v>
      </c>
      <c r="B61" s="16"/>
      <c r="C61" s="16"/>
      <c r="D61" s="16"/>
      <c r="E61" s="16"/>
      <c r="F61" s="16"/>
      <c r="G61" s="16"/>
      <c r="H61" s="16"/>
      <c r="I61" s="16"/>
      <c r="J61" s="16"/>
    </row>
    <row r="62" customFormat="false" ht="75" hidden="false" customHeight="true" outlineLevel="0" collapsed="false">
      <c r="A62" s="12" t="s">
        <v>834</v>
      </c>
      <c r="B62" s="12"/>
      <c r="C62" s="12"/>
      <c r="D62" s="12"/>
      <c r="E62" s="12"/>
      <c r="F62" s="12"/>
      <c r="G62" s="12"/>
      <c r="H62" s="12"/>
      <c r="I62" s="12"/>
      <c r="J62" s="12"/>
    </row>
    <row r="63" customFormat="false" ht="75" hidden="false" customHeight="true" outlineLevel="0" collapsed="false">
      <c r="A63" s="12" t="s">
        <v>835</v>
      </c>
      <c r="B63" s="12"/>
      <c r="C63" s="12"/>
      <c r="D63" s="12"/>
      <c r="E63" s="12"/>
      <c r="F63" s="12"/>
      <c r="G63" s="12"/>
      <c r="H63" s="12"/>
      <c r="I63" s="12"/>
      <c r="J63" s="12"/>
    </row>
    <row r="64" customFormat="false" ht="80.25" hidden="false" customHeight="true" outlineLevel="0" collapsed="false">
      <c r="A64" s="14" t="s">
        <v>94</v>
      </c>
      <c r="B64" s="14" t="s">
        <v>836</v>
      </c>
      <c r="C64" s="14" t="s">
        <v>837</v>
      </c>
      <c r="D64" s="14" t="s">
        <v>838</v>
      </c>
      <c r="E64" s="14" t="s">
        <v>839</v>
      </c>
      <c r="F64" s="14" t="s">
        <v>840</v>
      </c>
      <c r="G64" s="14" t="s">
        <v>841</v>
      </c>
      <c r="H64" s="14" t="s">
        <v>842</v>
      </c>
      <c r="I64" s="14" t="s">
        <v>843</v>
      </c>
      <c r="J64" s="14" t="s">
        <v>844</v>
      </c>
    </row>
    <row r="65" customFormat="false" ht="54.75" hidden="false" customHeight="true" outlineLevel="0" collapsed="false">
      <c r="A65" s="19" t="s">
        <v>845</v>
      </c>
      <c r="B65" s="18" t="s">
        <v>846</v>
      </c>
      <c r="C65" s="65" t="n">
        <f aca="false">SUMPRODUCT(('XER WBS'!$J$69:$J$149&lt;=DATE(2026,8,28))*('XER WBS'!$K$69:$K$149&gt;=DATE(2026,8,22))*ISNUMBER(SEARCH("Tank Installation",'XER WBS'!$C$69:$C$149)))</f>
        <v>0</v>
      </c>
      <c r="D65" s="65" t="n">
        <f aca="false">NETWORKDAYS.INTL(DATE(2026,8,22),DATE(2026,8,28),"0000100",$C$14)</f>
        <v>6</v>
      </c>
      <c r="E65" s="65" t="n">
        <v>8</v>
      </c>
      <c r="F65" s="65" t="n">
        <v>5</v>
      </c>
      <c r="G65" s="65" t="n">
        <v>3</v>
      </c>
      <c r="H65" s="65" t="n">
        <f aca="false">G65*D65</f>
        <v>18</v>
      </c>
      <c r="I65" s="74" t="n">
        <f aca="false">H65</f>
        <v>18</v>
      </c>
      <c r="J65" s="21" t="s">
        <v>847</v>
      </c>
    </row>
    <row r="66" customFormat="false" ht="42" hidden="false" customHeight="true" outlineLevel="0" collapsed="false">
      <c r="A66" s="19" t="s">
        <v>848</v>
      </c>
      <c r="B66" s="18" t="s">
        <v>849</v>
      </c>
      <c r="C66" s="65" t="n">
        <f aca="false">SUMPRODUCT(('XER WBS'!$J$69:$J$149&lt;=DATE(2026,9,4))*('XER WBS'!$K$69:$K$149&gt;=DATE(2026,8,29))*ISNUMBER(SEARCH("Tank Installation",'XER WBS'!$C$69:$C$149)))</f>
        <v>0</v>
      </c>
      <c r="D66" s="65" t="n">
        <f aca="false">NETWORKDAYS.INTL(DATE(2026,8,29),DATE(2026,9,4),"0000100",$C$14)</f>
        <v>6</v>
      </c>
      <c r="E66" s="65" t="n">
        <v>14</v>
      </c>
      <c r="F66" s="65" t="n">
        <v>9</v>
      </c>
      <c r="G66" s="65" t="n">
        <v>5</v>
      </c>
      <c r="H66" s="65" t="n">
        <f aca="false">G66*D66</f>
        <v>30</v>
      </c>
      <c r="I66" s="74" t="n">
        <f aca="false">H66</f>
        <v>30</v>
      </c>
      <c r="J66" s="21" t="s">
        <v>850</v>
      </c>
    </row>
    <row r="67" customFormat="false" ht="42" hidden="false" customHeight="true" outlineLevel="0" collapsed="false">
      <c r="A67" s="19" t="s">
        <v>851</v>
      </c>
      <c r="B67" s="18" t="s">
        <v>852</v>
      </c>
      <c r="C67" s="65" t="n">
        <f aca="false">SUMPRODUCT(('XER WBS'!$J$69:$J$149&lt;=DATE(2026,9,11))*('XER WBS'!$K$69:$K$149&gt;=DATE(2026,9,5))*ISNUMBER(SEARCH("Tank Installation",'XER WBS'!$C$69:$C$149)))</f>
        <v>0</v>
      </c>
      <c r="D67" s="65" t="n">
        <f aca="false">NETWORKDAYS.INTL(DATE(2026,9,5),DATE(2026,9,11),"0000100",$C$14)</f>
        <v>6</v>
      </c>
      <c r="E67" s="65" t="n">
        <v>13</v>
      </c>
      <c r="F67" s="65" t="n">
        <v>8</v>
      </c>
      <c r="G67" s="65" t="n">
        <v>5</v>
      </c>
      <c r="H67" s="65" t="n">
        <f aca="false">G67*D67</f>
        <v>30</v>
      </c>
      <c r="I67" s="74" t="n">
        <f aca="false">H67</f>
        <v>30</v>
      </c>
      <c r="J67" s="21" t="s">
        <v>853</v>
      </c>
    </row>
    <row r="68" customFormat="false" ht="60" hidden="false" customHeight="true" outlineLevel="0" collapsed="false">
      <c r="A68" s="19" t="s">
        <v>854</v>
      </c>
      <c r="B68" s="18" t="s">
        <v>855</v>
      </c>
      <c r="C68" s="71" t="n">
        <f aca="false">SUMPRODUCT(('XER WBS'!$J$69:$J$149&lt;=DATE(2026,9,18))*('XER WBS'!$K$69:$K$149&gt;=DATE(2026,9,12))*ISNUMBER(SEARCH("Tank Installation",'XER WBS'!$C$69:$C$149)))</f>
        <v>1</v>
      </c>
      <c r="D68" s="65" t="n">
        <f aca="false">NETWORKDAYS.INTL(DATE(2026,9,12),DATE(2026,9,18),"0000100",$C$14)</f>
        <v>6</v>
      </c>
      <c r="E68" s="65" t="n">
        <v>12</v>
      </c>
      <c r="F68" s="65" t="n">
        <v>8</v>
      </c>
      <c r="G68" s="65" t="n">
        <v>4</v>
      </c>
      <c r="H68" s="65" t="n">
        <f aca="false">G68*D68</f>
        <v>24</v>
      </c>
      <c r="I68" s="74" t="n">
        <f aca="false">H68</f>
        <v>24</v>
      </c>
      <c r="J68" s="21" t="s">
        <v>856</v>
      </c>
    </row>
    <row r="69" customFormat="false" ht="60" hidden="false" customHeight="true" outlineLevel="0" collapsed="false">
      <c r="A69" s="19" t="s">
        <v>857</v>
      </c>
      <c r="B69" s="18" t="s">
        <v>858</v>
      </c>
      <c r="C69" s="71" t="n">
        <f aca="false">SUMPRODUCT(('XER WBS'!$J$69:$J$149&lt;=DATE(2026,9,25))*('XER WBS'!$K$69:$K$149&gt;=DATE(2026,9,19))*ISNUMBER(SEARCH("Tank Installation",'XER WBS'!$C$69:$C$149)))</f>
        <v>1</v>
      </c>
      <c r="D69" s="65" t="n">
        <f aca="false">NETWORKDAYS.INTL(DATE(2026,9,19),DATE(2026,9,25),"0000100",$C$14)</f>
        <v>5</v>
      </c>
      <c r="E69" s="65" t="n">
        <v>11</v>
      </c>
      <c r="F69" s="65" t="n">
        <v>7</v>
      </c>
      <c r="G69" s="65" t="n">
        <v>4</v>
      </c>
      <c r="H69" s="65" t="n">
        <f aca="false">G69*D69</f>
        <v>20</v>
      </c>
      <c r="I69" s="74" t="n">
        <f aca="false">H69</f>
        <v>20</v>
      </c>
      <c r="J69" s="21" t="s">
        <v>856</v>
      </c>
    </row>
    <row r="70" customFormat="false" ht="60" hidden="false" customHeight="true" outlineLevel="0" collapsed="false">
      <c r="A70" s="19" t="s">
        <v>859</v>
      </c>
      <c r="B70" s="18" t="s">
        <v>860</v>
      </c>
      <c r="C70" s="71" t="n">
        <f aca="false">SUMPRODUCT(('XER WBS'!$J$69:$J$149&lt;=DATE(2026,10,2))*('XER WBS'!$K$69:$K$149&gt;=DATE(2026,9,26))*ISNUMBER(SEARCH("Tank Installation",'XER WBS'!$C$69:$C$149)))</f>
        <v>1</v>
      </c>
      <c r="D70" s="65" t="n">
        <f aca="false">NETWORKDAYS.INTL(DATE(2026,9,26),DATE(2026,10,2),"0000100",$C$14)</f>
        <v>6</v>
      </c>
      <c r="E70" s="65" t="n">
        <v>10</v>
      </c>
      <c r="F70" s="65" t="n">
        <v>6</v>
      </c>
      <c r="G70" s="65" t="n">
        <v>4</v>
      </c>
      <c r="H70" s="65" t="n">
        <f aca="false">G70*D70</f>
        <v>24</v>
      </c>
      <c r="I70" s="74" t="n">
        <f aca="false">H70</f>
        <v>24</v>
      </c>
      <c r="J70" s="21" t="s">
        <v>856</v>
      </c>
    </row>
    <row r="71" customFormat="false" ht="87.75" hidden="false" customHeight="true" outlineLevel="0" collapsed="false">
      <c r="A71" s="19" t="s">
        <v>861</v>
      </c>
      <c r="B71" s="18" t="s">
        <v>862</v>
      </c>
      <c r="C71" s="71" t="n">
        <f aca="false">SUMPRODUCT(('XER WBS'!$J$69:$J$149&lt;=DATE(2026,10,9))*('XER WBS'!$K$69:$K$149&gt;=DATE(2026,10,3))*ISNUMBER(SEARCH("Tank Installation",'XER WBS'!$C$69:$C$149)))</f>
        <v>3</v>
      </c>
      <c r="D71" s="65" t="n">
        <f aca="false">NETWORKDAYS.INTL(DATE(2026,10,3),DATE(2026,10,9),"0000100",$C$14)</f>
        <v>6</v>
      </c>
      <c r="E71" s="65" t="n">
        <v>10</v>
      </c>
      <c r="F71" s="65" t="n">
        <v>6</v>
      </c>
      <c r="G71" s="65" t="n">
        <v>4</v>
      </c>
      <c r="H71" s="65" t="n">
        <f aca="false">G71*D71</f>
        <v>24</v>
      </c>
      <c r="I71" s="74" t="n">
        <f aca="false">H71</f>
        <v>24</v>
      </c>
      <c r="J71" s="21" t="s">
        <v>863</v>
      </c>
    </row>
    <row r="72" customFormat="false" ht="60" hidden="false" customHeight="true" outlineLevel="0" collapsed="false">
      <c r="A72" s="19" t="s">
        <v>864</v>
      </c>
      <c r="B72" s="18" t="s">
        <v>865</v>
      </c>
      <c r="C72" s="71" t="n">
        <f aca="false">SUMPRODUCT(('XER WBS'!$J$69:$J$149&lt;=DATE(2026,10,16))*('XER WBS'!$K$69:$K$149&gt;=DATE(2026,10,10))*ISNUMBER(SEARCH("Tank Installation",'XER WBS'!$C$69:$C$149)))</f>
        <v>2</v>
      </c>
      <c r="D72" s="65" t="n">
        <f aca="false">NETWORKDAYS.INTL(DATE(2026,10,10),DATE(2026,10,16),"0000100",$C$14)</f>
        <v>6</v>
      </c>
      <c r="E72" s="65" t="n">
        <v>8</v>
      </c>
      <c r="F72" s="65" t="n">
        <v>4</v>
      </c>
      <c r="G72" s="65" t="n">
        <v>4</v>
      </c>
      <c r="H72" s="65" t="n">
        <f aca="false">G72*D72</f>
        <v>24</v>
      </c>
      <c r="I72" s="74" t="n">
        <f aca="false">H72</f>
        <v>24</v>
      </c>
      <c r="J72" s="21" t="s">
        <v>866</v>
      </c>
    </row>
    <row r="73" customFormat="false" ht="60" hidden="false" customHeight="true" outlineLevel="0" collapsed="false">
      <c r="A73" s="19" t="s">
        <v>867</v>
      </c>
      <c r="B73" s="18" t="s">
        <v>868</v>
      </c>
      <c r="C73" s="71" t="n">
        <f aca="false">SUMPRODUCT(('XER WBS'!$J$69:$J$149&lt;=DATE(2026,10,23))*('XER WBS'!$K$69:$K$149&gt;=DATE(2026,10,17))*ISNUMBER(SEARCH("Tank Installation",'XER WBS'!$C$69:$C$149)))</f>
        <v>3</v>
      </c>
      <c r="D73" s="65" t="n">
        <f aca="false">NETWORKDAYS.INTL(DATE(2026,10,17),DATE(2026,10,23),"0000100",$C$14)</f>
        <v>6</v>
      </c>
      <c r="E73" s="65" t="n">
        <v>14</v>
      </c>
      <c r="F73" s="65" t="n">
        <v>8</v>
      </c>
      <c r="G73" s="65" t="n">
        <v>6</v>
      </c>
      <c r="H73" s="65" t="n">
        <f aca="false">G73*D73</f>
        <v>36</v>
      </c>
      <c r="I73" s="74" t="n">
        <f aca="false">H73</f>
        <v>36</v>
      </c>
      <c r="J73" s="21" t="s">
        <v>869</v>
      </c>
    </row>
    <row r="74" customFormat="false" ht="60" hidden="false" customHeight="true" outlineLevel="0" collapsed="false">
      <c r="A74" s="19" t="s">
        <v>870</v>
      </c>
      <c r="B74" s="18" t="s">
        <v>871</v>
      </c>
      <c r="C74" s="71" t="n">
        <f aca="false">SUMPRODUCT(('XER WBS'!$J$69:$J$149&lt;=DATE(2026,10,30))*('XER WBS'!$K$69:$K$149&gt;=DATE(2026,10,24))*ISNUMBER(SEARCH("Tank Installation",'XER WBS'!$C$69:$C$149)))</f>
        <v>4</v>
      </c>
      <c r="D74" s="65" t="n">
        <f aca="false">NETWORKDAYS.INTL(DATE(2026,10,24),DATE(2026,10,30),"0000100",$C$14)</f>
        <v>6</v>
      </c>
      <c r="E74" s="65" t="n">
        <v>35</v>
      </c>
      <c r="F74" s="65" t="n">
        <v>23</v>
      </c>
      <c r="G74" s="65" t="n">
        <v>12</v>
      </c>
      <c r="H74" s="65" t="n">
        <f aca="false">G74*D74</f>
        <v>72</v>
      </c>
      <c r="I74" s="74" t="n">
        <f aca="false">H74</f>
        <v>72</v>
      </c>
      <c r="J74" s="21" t="s">
        <v>872</v>
      </c>
    </row>
    <row r="75" customFormat="false" ht="60" hidden="false" customHeight="true" outlineLevel="0" collapsed="false">
      <c r="A75" s="19" t="s">
        <v>873</v>
      </c>
      <c r="B75" s="18" t="s">
        <v>874</v>
      </c>
      <c r="C75" s="71" t="n">
        <f aca="false">SUMPRODUCT(('XER WBS'!$J$69:$J$149&lt;=DATE(2026,11,6))*('XER WBS'!$K$69:$K$149&gt;=DATE(2026,10,31))*ISNUMBER(SEARCH("Tank Installation",'XER WBS'!$C$69:$C$149)))</f>
        <v>4</v>
      </c>
      <c r="D75" s="65" t="n">
        <f aca="false">NETWORKDAYS.INTL(DATE(2026,10,31),DATE(2026,11,6),"0000100",$C$14)</f>
        <v>6</v>
      </c>
      <c r="E75" s="65" t="n">
        <v>26</v>
      </c>
      <c r="F75" s="65" t="n">
        <v>16</v>
      </c>
      <c r="G75" s="65" t="n">
        <v>10</v>
      </c>
      <c r="H75" s="65" t="n">
        <f aca="false">G75*D75</f>
        <v>60</v>
      </c>
      <c r="I75" s="74" t="n">
        <f aca="false">H75</f>
        <v>60</v>
      </c>
      <c r="J75" s="21" t="s">
        <v>875</v>
      </c>
    </row>
    <row r="76" customFormat="false" ht="73.5" hidden="false" customHeight="true" outlineLevel="0" collapsed="false">
      <c r="A76" s="19" t="s">
        <v>876</v>
      </c>
      <c r="B76" s="18" t="s">
        <v>877</v>
      </c>
      <c r="C76" s="71" t="n">
        <f aca="false">SUMPRODUCT(('XER WBS'!$J$69:$J$149&lt;=DATE(2026,11,13))*('XER WBS'!$K$69:$K$149&gt;=DATE(2026,11,7))*ISNUMBER(SEARCH("Tank Installation",'XER WBS'!$C$69:$C$149)))</f>
        <v>3</v>
      </c>
      <c r="D76" s="65" t="n">
        <f aca="false">NETWORKDAYS.INTL(DATE(2026,11,7),DATE(2026,11,13),"0000100",$C$14)</f>
        <v>6</v>
      </c>
      <c r="E76" s="65" t="n">
        <v>19</v>
      </c>
      <c r="F76" s="65" t="n">
        <v>11</v>
      </c>
      <c r="G76" s="65" t="n">
        <v>8</v>
      </c>
      <c r="H76" s="65" t="n">
        <f aca="false">G76*D76</f>
        <v>48</v>
      </c>
      <c r="I76" s="74" t="n">
        <f aca="false">H76</f>
        <v>48</v>
      </c>
      <c r="J76" s="21" t="s">
        <v>878</v>
      </c>
    </row>
    <row r="77" customFormat="false" ht="73.5" hidden="false" customHeight="true" outlineLevel="0" collapsed="false">
      <c r="A77" s="19" t="s">
        <v>879</v>
      </c>
      <c r="B77" s="18" t="s">
        <v>880</v>
      </c>
      <c r="C77" s="71" t="n">
        <f aca="false">SUMPRODUCT(('XER WBS'!$J$69:$J$149&lt;=DATE(2026,11,20))*('XER WBS'!$K$69:$K$149&gt;=DATE(2026,11,14))*ISNUMBER(SEARCH("Tank Installation",'XER WBS'!$C$69:$C$149)))</f>
        <v>2</v>
      </c>
      <c r="D77" s="65" t="n">
        <f aca="false">NETWORKDAYS.INTL(DATE(2026,11,14),DATE(2026,11,20),"0000100",$C$14)</f>
        <v>6</v>
      </c>
      <c r="E77" s="65" t="n">
        <v>16</v>
      </c>
      <c r="F77" s="65" t="n">
        <v>10</v>
      </c>
      <c r="G77" s="65" t="n">
        <v>6</v>
      </c>
      <c r="H77" s="65" t="n">
        <f aca="false">G77*D77</f>
        <v>36</v>
      </c>
      <c r="I77" s="74" t="n">
        <f aca="false">H77</f>
        <v>36</v>
      </c>
      <c r="J77" s="21" t="s">
        <v>881</v>
      </c>
    </row>
    <row r="78" customFormat="false" ht="73.5" hidden="false" customHeight="true" outlineLevel="0" collapsed="false">
      <c r="A78" s="19" t="s">
        <v>882</v>
      </c>
      <c r="B78" s="18" t="s">
        <v>883</v>
      </c>
      <c r="C78" s="71" t="n">
        <f aca="false">SUMPRODUCT(('XER WBS'!$J$69:$J$149&lt;=DATE(2026,11,27))*('XER WBS'!$K$69:$K$149&gt;=DATE(2026,11,21))*ISNUMBER(SEARCH("Tank Installation",'XER WBS'!$C$69:$C$149)))</f>
        <v>2</v>
      </c>
      <c r="D78" s="65" t="n">
        <f aca="false">NETWORKDAYS.INTL(DATE(2026,11,21),DATE(2026,11,27),"0000100",$C$14)</f>
        <v>6</v>
      </c>
      <c r="E78" s="65" t="n">
        <v>13</v>
      </c>
      <c r="F78" s="65" t="n">
        <v>8</v>
      </c>
      <c r="G78" s="65" t="n">
        <v>5</v>
      </c>
      <c r="H78" s="65" t="n">
        <f aca="false">G78*D78</f>
        <v>30</v>
      </c>
      <c r="I78" s="74" t="n">
        <f aca="false">H78</f>
        <v>30</v>
      </c>
      <c r="J78" s="21" t="s">
        <v>884</v>
      </c>
    </row>
    <row r="79" customFormat="false" ht="60" hidden="false" customHeight="true" outlineLevel="0" collapsed="false">
      <c r="A79" s="19" t="s">
        <v>885</v>
      </c>
      <c r="B79" s="18" t="s">
        <v>886</v>
      </c>
      <c r="C79" s="71" t="n">
        <f aca="false">SUMPRODUCT(('XER WBS'!$J$69:$J$149&lt;=DATE(2026,12,4))*('XER WBS'!$K$69:$K$149&gt;=DATE(2026,11,28))*ISNUMBER(SEARCH("Tank Installation",'XER WBS'!$C$69:$C$149)))</f>
        <v>1</v>
      </c>
      <c r="D79" s="65" t="n">
        <f aca="false">NETWORKDAYS.INTL(DATE(2026,11,28),DATE(2026,12,4),"0000100",$C$14)</f>
        <v>6</v>
      </c>
      <c r="E79" s="65" t="n">
        <v>7</v>
      </c>
      <c r="F79" s="65" t="n">
        <v>4</v>
      </c>
      <c r="G79" s="65" t="n">
        <v>3</v>
      </c>
      <c r="H79" s="65" t="n">
        <f aca="false">G79*D79</f>
        <v>18</v>
      </c>
      <c r="I79" s="74" t="n">
        <f aca="false">H79</f>
        <v>18</v>
      </c>
      <c r="J79" s="21" t="s">
        <v>887</v>
      </c>
    </row>
    <row r="80" customFormat="false" ht="42" hidden="false" customHeight="true" outlineLevel="0" collapsed="false">
      <c r="A80" s="19" t="s">
        <v>888</v>
      </c>
      <c r="B80" s="18" t="s">
        <v>889</v>
      </c>
      <c r="C80" s="65" t="n">
        <f aca="false">SUMPRODUCT(('XER WBS'!$J$69:$J$149&lt;=DATE(2026,12,11))*('XER WBS'!$K$69:$K$149&gt;=DATE(2026,12,5))*ISNUMBER(SEARCH("Tank Installation",'XER WBS'!$C$69:$C$149)))</f>
        <v>0</v>
      </c>
      <c r="D80" s="65" t="n">
        <f aca="false">NETWORKDAYS.INTL(DATE(2026,12,5),DATE(2026,12,11),"0000100",$C$14)</f>
        <v>6</v>
      </c>
      <c r="E80" s="65" t="n">
        <v>5</v>
      </c>
      <c r="F80" s="65" t="n">
        <v>3</v>
      </c>
      <c r="G80" s="65" t="n">
        <v>2</v>
      </c>
      <c r="H80" s="65" t="n">
        <f aca="false">G80*D80</f>
        <v>12</v>
      </c>
      <c r="I80" s="74" t="n">
        <f aca="false">H80</f>
        <v>12</v>
      </c>
      <c r="J80" s="21" t="s">
        <v>890</v>
      </c>
    </row>
    <row r="81" customFormat="false" ht="80.25" hidden="false" customHeight="true" outlineLevel="0" collapsed="false">
      <c r="A81" s="14" t="s">
        <v>94</v>
      </c>
      <c r="B81" s="14" t="s">
        <v>836</v>
      </c>
      <c r="C81" s="14" t="s">
        <v>837</v>
      </c>
      <c r="D81" s="14" t="s">
        <v>838</v>
      </c>
      <c r="E81" s="14" t="s">
        <v>839</v>
      </c>
      <c r="F81" s="14" t="s">
        <v>840</v>
      </c>
      <c r="G81" s="14" t="s">
        <v>841</v>
      </c>
      <c r="H81" s="14" t="s">
        <v>842</v>
      </c>
      <c r="I81" s="14" t="s">
        <v>843</v>
      </c>
      <c r="J81" s="14" t="s">
        <v>844</v>
      </c>
    </row>
    <row r="82" customFormat="false" ht="42" hidden="false" customHeight="true" outlineLevel="0" collapsed="false">
      <c r="A82" s="19" t="s">
        <v>891</v>
      </c>
      <c r="B82" s="18" t="s">
        <v>892</v>
      </c>
      <c r="C82" s="65" t="n">
        <f aca="false">SUMPRODUCT(('XER WBS'!$J$69:$J$149&lt;=DATE(2026,12,18))*('XER WBS'!$K$69:$K$149&gt;=DATE(2026,12,12))*ISNUMBER(SEARCH("Tank Installation",'XER WBS'!$C$69:$C$149)))</f>
        <v>0</v>
      </c>
      <c r="D82" s="65" t="n">
        <f aca="false">NETWORKDAYS.INTL(DATE(2026,12,12),DATE(2026,12,18),"0000100",$C$14)</f>
        <v>6</v>
      </c>
      <c r="E82" s="65" t="n">
        <v>0</v>
      </c>
      <c r="F82" s="65" t="n">
        <v>0</v>
      </c>
      <c r="G82" s="65" t="n">
        <v>0</v>
      </c>
      <c r="H82" s="65" t="n">
        <f aca="false">G82*D82</f>
        <v>0</v>
      </c>
      <c r="I82" s="74" t="n">
        <f aca="false">H82</f>
        <v>0</v>
      </c>
      <c r="J82" s="21" t="s">
        <v>893</v>
      </c>
    </row>
    <row r="83" customFormat="false" ht="30" hidden="false" customHeight="true" outlineLevel="0" collapsed="false">
      <c r="A83" s="19" t="s">
        <v>894</v>
      </c>
      <c r="B83" s="18" t="s">
        <v>895</v>
      </c>
      <c r="C83" s="65" t="n">
        <f aca="false">SUMPRODUCT(('XER WBS'!$J$69:$J$149&lt;=DATE(2026,12,25))*('XER WBS'!$K$69:$K$149&gt;=DATE(2026,12,19))*ISNUMBER(SEARCH("Tank Installation",'XER WBS'!$C$69:$C$149)))</f>
        <v>0</v>
      </c>
      <c r="D83" s="65" t="n">
        <f aca="false">NETWORKDAYS.INTL(DATE(2026,12,19),DATE(2026,12,25),"0000100",$C$14)</f>
        <v>6</v>
      </c>
      <c r="E83" s="65" t="n">
        <v>0</v>
      </c>
      <c r="F83" s="65" t="n">
        <v>0</v>
      </c>
      <c r="G83" s="65" t="n">
        <v>0</v>
      </c>
      <c r="H83" s="65" t="n">
        <f aca="false">G83*D83</f>
        <v>0</v>
      </c>
      <c r="I83" s="74" t="n">
        <f aca="false">H83</f>
        <v>0</v>
      </c>
      <c r="J83" s="21" t="s">
        <v>896</v>
      </c>
    </row>
    <row r="84" customFormat="false" ht="54.75" hidden="false" customHeight="true" outlineLevel="0" collapsed="false">
      <c r="A84" s="26"/>
      <c r="B84" s="26" t="s">
        <v>897</v>
      </c>
      <c r="C84" s="26"/>
      <c r="D84" s="26"/>
      <c r="E84" s="75" t="n">
        <f aca="false">SUM(E65:E83)</f>
        <v>221</v>
      </c>
      <c r="F84" s="75" t="n">
        <f aca="false">SUM(F65:F83)</f>
        <v>136</v>
      </c>
      <c r="G84" s="75" t="n">
        <f aca="false">SUM(G65:G83)</f>
        <v>85</v>
      </c>
      <c r="H84" s="75" t="n">
        <f aca="false">SUM(H65:H83)</f>
        <v>506</v>
      </c>
      <c r="I84" s="75" t="n">
        <f aca="false">SUM(I65:I83)</f>
        <v>506</v>
      </c>
      <c r="J84" s="21" t="s">
        <v>898</v>
      </c>
    </row>
    <row r="85" customFormat="false" ht="42" hidden="false" customHeight="true" outlineLevel="0" collapsed="false">
      <c r="A85" s="26"/>
      <c r="B85" s="26" t="s">
        <v>899</v>
      </c>
      <c r="C85" s="26"/>
      <c r="D85" s="26"/>
      <c r="E85" s="26"/>
      <c r="F85" s="26"/>
      <c r="G85" s="26"/>
      <c r="H85" s="26"/>
      <c r="I85" s="76" t="n">
        <f aca="false">ROUND((I84+H104)/26,1)</f>
        <v>19.8</v>
      </c>
      <c r="J85" s="21" t="s">
        <v>900</v>
      </c>
    </row>
    <row r="87" customFormat="false" ht="40.5" hidden="false" customHeight="true" outlineLevel="0" collapsed="false">
      <c r="A87" s="12" t="s">
        <v>901</v>
      </c>
      <c r="B87" s="12"/>
      <c r="C87" s="12"/>
      <c r="D87" s="12"/>
      <c r="E87" s="12"/>
      <c r="F87" s="12"/>
      <c r="G87" s="12"/>
      <c r="H87" s="12"/>
      <c r="I87" s="12"/>
      <c r="J87" s="12"/>
    </row>
    <row r="88" customFormat="false" ht="54.75" hidden="false" customHeight="true" outlineLevel="0" collapsed="false">
      <c r="A88" s="14" t="s">
        <v>94</v>
      </c>
      <c r="B88" s="14" t="s">
        <v>902</v>
      </c>
      <c r="C88" s="14" t="s">
        <v>903</v>
      </c>
      <c r="D88" s="14" t="s">
        <v>904</v>
      </c>
      <c r="E88" s="14" t="s">
        <v>905</v>
      </c>
      <c r="F88" s="14" t="s">
        <v>906</v>
      </c>
      <c r="G88" s="14" t="s">
        <v>907</v>
      </c>
      <c r="H88" s="14" t="s">
        <v>908</v>
      </c>
      <c r="I88" s="14" t="s">
        <v>909</v>
      </c>
      <c r="J88" s="14" t="s">
        <v>910</v>
      </c>
    </row>
    <row r="89" customFormat="false" ht="30" hidden="false" customHeight="true" outlineLevel="0" collapsed="false">
      <c r="A89" s="19" t="s">
        <v>911</v>
      </c>
      <c r="B89" s="18" t="s">
        <v>912</v>
      </c>
      <c r="C89" s="65" t="n">
        <v>12</v>
      </c>
      <c r="D89" s="65" t="n">
        <v>0</v>
      </c>
      <c r="E89" s="65" t="n">
        <v>0</v>
      </c>
      <c r="F89" s="65" t="n">
        <v>0</v>
      </c>
      <c r="G89" s="65" t="n">
        <v>0</v>
      </c>
      <c r="H89" s="65" t="n">
        <f aca="false">SUM(C89:G89)</f>
        <v>12</v>
      </c>
      <c r="I89" s="24" t="s">
        <v>269</v>
      </c>
      <c r="J89" s="21" t="s">
        <v>913</v>
      </c>
    </row>
    <row r="90" customFormat="false" ht="30" hidden="false" customHeight="true" outlineLevel="0" collapsed="false">
      <c r="A90" s="19" t="s">
        <v>914</v>
      </c>
      <c r="B90" s="18" t="s">
        <v>915</v>
      </c>
      <c r="C90" s="65" t="n">
        <v>6</v>
      </c>
      <c r="D90" s="65" t="n">
        <v>9</v>
      </c>
      <c r="E90" s="65" t="n">
        <v>0</v>
      </c>
      <c r="F90" s="65" t="n">
        <v>0</v>
      </c>
      <c r="G90" s="65" t="n">
        <v>0</v>
      </c>
      <c r="H90" s="65" t="n">
        <f aca="false">SUM(C90:G90)</f>
        <v>15</v>
      </c>
      <c r="I90" s="24" t="s">
        <v>269</v>
      </c>
      <c r="J90" s="21" t="s">
        <v>916</v>
      </c>
    </row>
    <row r="91" customFormat="false" ht="67.5" hidden="false" customHeight="true" outlineLevel="0" collapsed="false">
      <c r="A91" s="19" t="s">
        <v>917</v>
      </c>
      <c r="B91" s="18" t="s">
        <v>918</v>
      </c>
      <c r="C91" s="65" t="n">
        <v>6</v>
      </c>
      <c r="D91" s="65" t="n">
        <v>4</v>
      </c>
      <c r="E91" s="65" t="n">
        <v>0</v>
      </c>
      <c r="F91" s="65" t="n">
        <v>0</v>
      </c>
      <c r="G91" s="65" t="n">
        <v>0</v>
      </c>
      <c r="H91" s="65" t="n">
        <f aca="false">SUM(C91:G91)</f>
        <v>10</v>
      </c>
      <c r="I91" s="24" t="s">
        <v>269</v>
      </c>
      <c r="J91" s="21" t="s">
        <v>919</v>
      </c>
    </row>
    <row r="92" customFormat="false" ht="54.75" hidden="false" customHeight="true" outlineLevel="0" collapsed="false">
      <c r="A92" s="19" t="s">
        <v>920</v>
      </c>
      <c r="B92" s="18" t="s">
        <v>921</v>
      </c>
      <c r="C92" s="65" t="n">
        <v>0</v>
      </c>
      <c r="D92" s="65" t="n">
        <v>15</v>
      </c>
      <c r="E92" s="65" t="n">
        <v>15</v>
      </c>
      <c r="F92" s="65" t="n">
        <v>0</v>
      </c>
      <c r="G92" s="65" t="n">
        <v>0</v>
      </c>
      <c r="H92" s="65" t="n">
        <f aca="false">SUM(C92:G92)</f>
        <v>30</v>
      </c>
      <c r="I92" s="24" t="s">
        <v>269</v>
      </c>
      <c r="J92" s="21" t="s">
        <v>922</v>
      </c>
    </row>
    <row r="93" customFormat="false" ht="42" hidden="false" customHeight="true" outlineLevel="0" collapsed="false">
      <c r="A93" s="19" t="s">
        <v>923</v>
      </c>
      <c r="B93" s="18" t="s">
        <v>924</v>
      </c>
      <c r="C93" s="65" t="n">
        <v>0</v>
      </c>
      <c r="D93" s="65" t="n">
        <v>0</v>
      </c>
      <c r="E93" s="65" t="n">
        <v>5</v>
      </c>
      <c r="F93" s="65" t="n">
        <v>0</v>
      </c>
      <c r="G93" s="65" t="n">
        <v>0</v>
      </c>
      <c r="H93" s="65" t="n">
        <f aca="false">SUM(C93:G93)</f>
        <v>5</v>
      </c>
      <c r="I93" s="24" t="s">
        <v>269</v>
      </c>
      <c r="J93" s="21" t="s">
        <v>925</v>
      </c>
    </row>
    <row r="94" customFormat="false" ht="42" hidden="false" customHeight="true" outlineLevel="0" collapsed="false">
      <c r="A94" s="19" t="s">
        <v>926</v>
      </c>
      <c r="B94" s="18" t="s">
        <v>927</v>
      </c>
      <c r="C94" s="65" t="n">
        <v>0</v>
      </c>
      <c r="D94" s="65" t="n">
        <v>0</v>
      </c>
      <c r="E94" s="65" t="n">
        <v>5</v>
      </c>
      <c r="F94" s="65" t="n">
        <v>0</v>
      </c>
      <c r="G94" s="65" t="n">
        <v>0</v>
      </c>
      <c r="H94" s="65" t="n">
        <f aca="false">SUM(C94:G94)</f>
        <v>5</v>
      </c>
      <c r="I94" s="24" t="s">
        <v>269</v>
      </c>
      <c r="J94" s="21" t="s">
        <v>928</v>
      </c>
    </row>
    <row r="95" customFormat="false" ht="30" hidden="false" customHeight="true" outlineLevel="0" collapsed="false">
      <c r="A95" s="19" t="s">
        <v>929</v>
      </c>
      <c r="B95" s="18" t="s">
        <v>930</v>
      </c>
      <c r="C95" s="65" t="n">
        <v>0</v>
      </c>
      <c r="D95" s="65" t="n">
        <v>0</v>
      </c>
      <c r="E95" s="65" t="n">
        <v>0</v>
      </c>
      <c r="F95" s="65" t="n">
        <v>6</v>
      </c>
      <c r="G95" s="65" t="n">
        <v>0</v>
      </c>
      <c r="H95" s="65" t="n">
        <f aca="false">SUM(C95:G95)</f>
        <v>6</v>
      </c>
      <c r="I95" s="24" t="s">
        <v>269</v>
      </c>
      <c r="J95" s="21" t="s">
        <v>931</v>
      </c>
    </row>
    <row r="96" customFormat="false" ht="54.75" hidden="false" customHeight="true" outlineLevel="0" collapsed="false">
      <c r="A96" s="19" t="s">
        <v>932</v>
      </c>
      <c r="B96" s="18" t="s">
        <v>933</v>
      </c>
      <c r="C96" s="65" t="n">
        <v>0</v>
      </c>
      <c r="D96" s="65" t="n">
        <v>0</v>
      </c>
      <c r="E96" s="65" t="n">
        <v>0</v>
      </c>
      <c r="F96" s="65" t="n">
        <v>2</v>
      </c>
      <c r="G96" s="65" t="n">
        <v>2</v>
      </c>
      <c r="H96" s="65" t="n">
        <f aca="false">SUM(C96:G96)</f>
        <v>4</v>
      </c>
      <c r="I96" s="24" t="s">
        <v>934</v>
      </c>
      <c r="J96" s="21" t="s">
        <v>935</v>
      </c>
    </row>
    <row r="97" customFormat="false" ht="42" hidden="false" customHeight="true" outlineLevel="0" collapsed="false">
      <c r="A97" s="19" t="s">
        <v>936</v>
      </c>
      <c r="B97" s="18" t="s">
        <v>937</v>
      </c>
      <c r="C97" s="65" t="n">
        <v>0</v>
      </c>
      <c r="D97" s="65" t="n">
        <v>0</v>
      </c>
      <c r="E97" s="65" t="n">
        <v>0</v>
      </c>
      <c r="F97" s="65" t="n">
        <v>0</v>
      </c>
      <c r="G97" s="65" t="n">
        <v>1</v>
      </c>
      <c r="H97" s="65" t="n">
        <f aca="false">SUM(C97:G97)</f>
        <v>1</v>
      </c>
      <c r="I97" s="24" t="s">
        <v>321</v>
      </c>
      <c r="J97" s="21" t="s">
        <v>938</v>
      </c>
    </row>
    <row r="98" customFormat="false" ht="54.75" hidden="false" customHeight="true" outlineLevel="0" collapsed="false">
      <c r="A98" s="14" t="s">
        <v>94</v>
      </c>
      <c r="B98" s="14" t="s">
        <v>902</v>
      </c>
      <c r="C98" s="14" t="s">
        <v>903</v>
      </c>
      <c r="D98" s="14" t="s">
        <v>904</v>
      </c>
      <c r="E98" s="14" t="s">
        <v>905</v>
      </c>
      <c r="F98" s="14" t="s">
        <v>906</v>
      </c>
      <c r="G98" s="14" t="s">
        <v>907</v>
      </c>
      <c r="H98" s="14" t="s">
        <v>908</v>
      </c>
      <c r="I98" s="14" t="s">
        <v>909</v>
      </c>
      <c r="J98" s="14" t="s">
        <v>910</v>
      </c>
    </row>
    <row r="99" customFormat="false" ht="42" hidden="false" customHeight="true" outlineLevel="0" collapsed="false">
      <c r="A99" s="19" t="s">
        <v>939</v>
      </c>
      <c r="B99" s="18" t="s">
        <v>940</v>
      </c>
      <c r="C99" s="65" t="n">
        <v>0</v>
      </c>
      <c r="D99" s="65" t="n">
        <v>0</v>
      </c>
      <c r="E99" s="65" t="n">
        <v>0</v>
      </c>
      <c r="F99" s="65" t="n">
        <v>2</v>
      </c>
      <c r="G99" s="65" t="n">
        <v>0</v>
      </c>
      <c r="H99" s="65" t="n">
        <f aca="false">SUM(C99:G99)</f>
        <v>2</v>
      </c>
      <c r="I99" s="24" t="s">
        <v>269</v>
      </c>
      <c r="J99" s="21" t="s">
        <v>941</v>
      </c>
    </row>
    <row r="100" customFormat="false" ht="42" hidden="false" customHeight="true" outlineLevel="0" collapsed="false">
      <c r="A100" s="19" t="s">
        <v>942</v>
      </c>
      <c r="B100" s="18" t="s">
        <v>943</v>
      </c>
      <c r="C100" s="65" t="n">
        <v>0</v>
      </c>
      <c r="D100" s="65" t="n">
        <v>0</v>
      </c>
      <c r="E100" s="65" t="n">
        <v>0</v>
      </c>
      <c r="F100" s="65" t="n">
        <v>0</v>
      </c>
      <c r="G100" s="65" t="n">
        <v>0</v>
      </c>
      <c r="H100" s="65" t="n">
        <f aca="false">SUM(C100:G100)</f>
        <v>0</v>
      </c>
      <c r="I100" s="24" t="s">
        <v>944</v>
      </c>
      <c r="J100" s="21" t="s">
        <v>945</v>
      </c>
    </row>
    <row r="101" customFormat="false" ht="19.5" hidden="false" customHeight="true" outlineLevel="0" collapsed="false">
      <c r="A101" s="26"/>
      <c r="B101" s="26" t="s">
        <v>946</v>
      </c>
      <c r="C101" s="75" t="n">
        <f aca="false">SUM(C89:C100)</f>
        <v>24</v>
      </c>
      <c r="D101" s="75" t="n">
        <f aca="false">SUM(D89:D100)</f>
        <v>28</v>
      </c>
      <c r="E101" s="75" t="n">
        <f aca="false">SUM(E89:E100)</f>
        <v>25</v>
      </c>
      <c r="F101" s="75" t="n">
        <f aca="false">SUM(F89:F100)</f>
        <v>10</v>
      </c>
      <c r="G101" s="75" t="n">
        <f aca="false">SUM(G89:G100)</f>
        <v>3</v>
      </c>
      <c r="H101" s="75" t="n">
        <f aca="false">SUM(H89:H100)</f>
        <v>90</v>
      </c>
      <c r="I101" s="26"/>
      <c r="J101" s="21" t="s">
        <v>947</v>
      </c>
    </row>
    <row r="102" customFormat="false" ht="30" hidden="false" customHeight="true" outlineLevel="0" collapsed="false">
      <c r="A102" s="26"/>
      <c r="B102" s="26" t="s">
        <v>948</v>
      </c>
      <c r="C102" s="77" t="n">
        <f aca="false">H77</f>
        <v>36</v>
      </c>
      <c r="D102" s="77" t="n">
        <f aca="false">H78</f>
        <v>30</v>
      </c>
      <c r="E102" s="77" t="n">
        <f aca="false">H79</f>
        <v>18</v>
      </c>
      <c r="F102" s="77" t="n">
        <f aca="false">H80</f>
        <v>12</v>
      </c>
      <c r="G102" s="41" t="n">
        <v>0</v>
      </c>
      <c r="H102" s="75" t="n">
        <f aca="false">SUM(C102:G102)</f>
        <v>96</v>
      </c>
      <c r="I102" s="26"/>
      <c r="J102" s="21" t="s">
        <v>949</v>
      </c>
    </row>
    <row r="103" customFormat="false" ht="67.5" hidden="false" customHeight="true" outlineLevel="0" collapsed="false">
      <c r="A103" s="26"/>
      <c r="B103" s="26" t="s">
        <v>950</v>
      </c>
      <c r="C103" s="78" t="n">
        <f aca="false">C102-C101</f>
        <v>12</v>
      </c>
      <c r="D103" s="78" t="n">
        <f aca="false">D102-D101</f>
        <v>2</v>
      </c>
      <c r="E103" s="78" t="n">
        <f aca="false">E102-E101</f>
        <v>-7</v>
      </c>
      <c r="F103" s="78" t="n">
        <f aca="false">F102-F101</f>
        <v>2</v>
      </c>
      <c r="G103" s="78" t="n">
        <f aca="false">G102-G101</f>
        <v>-3</v>
      </c>
      <c r="H103" s="78" t="n">
        <f aca="false">H102-H101</f>
        <v>6</v>
      </c>
      <c r="I103" s="26"/>
      <c r="J103" s="21" t="s">
        <v>951</v>
      </c>
    </row>
    <row r="104" customFormat="false" ht="105.75" hidden="false" customHeight="true" outlineLevel="0" collapsed="false">
      <c r="A104" s="26"/>
      <c r="B104" s="26" t="s">
        <v>952</v>
      </c>
      <c r="C104" s="26"/>
      <c r="D104" s="26"/>
      <c r="E104" s="26"/>
      <c r="F104" s="26"/>
      <c r="G104" s="26"/>
      <c r="H104" s="77" t="n">
        <f aca="false">E133</f>
        <v>9</v>
      </c>
      <c r="I104" s="26"/>
      <c r="J104" s="21" t="s">
        <v>953</v>
      </c>
    </row>
    <row r="106" customFormat="false" ht="40.5" hidden="false" customHeight="true" outlineLevel="0" collapsed="false">
      <c r="A106" s="12" t="s">
        <v>954</v>
      </c>
      <c r="B106" s="12"/>
      <c r="C106" s="12"/>
      <c r="D106" s="12"/>
      <c r="E106" s="12"/>
      <c r="F106" s="12"/>
      <c r="G106" s="12"/>
      <c r="H106" s="12"/>
      <c r="I106" s="12"/>
      <c r="J106" s="12"/>
    </row>
    <row r="107" customFormat="false" ht="31.5" hidden="false" customHeight="true" outlineLevel="0" collapsed="false">
      <c r="A107" s="14" t="s">
        <v>94</v>
      </c>
      <c r="B107" s="14" t="s">
        <v>955</v>
      </c>
      <c r="C107" s="14" t="s">
        <v>956</v>
      </c>
      <c r="D107" s="14" t="s">
        <v>957</v>
      </c>
      <c r="E107" s="14" t="s">
        <v>958</v>
      </c>
      <c r="F107" s="14"/>
      <c r="G107" s="14"/>
      <c r="H107" s="14"/>
      <c r="I107" s="14"/>
      <c r="J107" s="14" t="s">
        <v>633</v>
      </c>
    </row>
    <row r="108" customFormat="false" ht="16.5" hidden="false" customHeight="true" outlineLevel="0" collapsed="false">
      <c r="A108" s="19" t="s">
        <v>959</v>
      </c>
      <c r="B108" s="18" t="s">
        <v>960</v>
      </c>
      <c r="C108" s="65" t="n">
        <v>3</v>
      </c>
      <c r="D108" s="71" t="n">
        <f aca="false">G77</f>
        <v>6</v>
      </c>
      <c r="E108" s="79" t="n">
        <f aca="false">D108-C108</f>
        <v>3</v>
      </c>
      <c r="F108" s="19"/>
      <c r="G108" s="19"/>
      <c r="H108" s="19"/>
      <c r="I108" s="19"/>
      <c r="J108" s="21"/>
    </row>
    <row r="109" customFormat="false" ht="16.5" hidden="false" customHeight="true" outlineLevel="0" collapsed="false">
      <c r="A109" s="19" t="s">
        <v>961</v>
      </c>
      <c r="B109" s="18" t="s">
        <v>962</v>
      </c>
      <c r="C109" s="65" t="n">
        <v>3</v>
      </c>
      <c r="D109" s="71" t="n">
        <f aca="false">G77</f>
        <v>6</v>
      </c>
      <c r="E109" s="79" t="n">
        <f aca="false">D109-C109</f>
        <v>3</v>
      </c>
      <c r="F109" s="19"/>
      <c r="G109" s="19"/>
      <c r="H109" s="19"/>
      <c r="I109" s="19"/>
      <c r="J109" s="21"/>
    </row>
    <row r="110" customFormat="false" ht="16.5" hidden="false" customHeight="true" outlineLevel="0" collapsed="false">
      <c r="A110" s="19" t="s">
        <v>963</v>
      </c>
      <c r="B110" s="18" t="s">
        <v>964</v>
      </c>
      <c r="C110" s="65" t="n">
        <v>3</v>
      </c>
      <c r="D110" s="71" t="n">
        <f aca="false">G77</f>
        <v>6</v>
      </c>
      <c r="E110" s="79" t="n">
        <f aca="false">D110-C110</f>
        <v>3</v>
      </c>
      <c r="F110" s="19"/>
      <c r="G110" s="19"/>
      <c r="H110" s="19"/>
      <c r="I110" s="19"/>
      <c r="J110" s="21"/>
    </row>
    <row r="111" customFormat="false" ht="16.5" hidden="false" customHeight="true" outlineLevel="0" collapsed="false">
      <c r="A111" s="19" t="s">
        <v>965</v>
      </c>
      <c r="B111" s="18" t="s">
        <v>966</v>
      </c>
      <c r="C111" s="65" t="n">
        <v>5</v>
      </c>
      <c r="D111" s="71" t="n">
        <f aca="false">G77</f>
        <v>6</v>
      </c>
      <c r="E111" s="79" t="n">
        <f aca="false">D111-C111</f>
        <v>1</v>
      </c>
      <c r="F111" s="19"/>
      <c r="G111" s="19"/>
      <c r="H111" s="19"/>
      <c r="I111" s="19"/>
      <c r="J111" s="21"/>
    </row>
    <row r="112" customFormat="false" ht="16.5" hidden="false" customHeight="true" outlineLevel="0" collapsed="false">
      <c r="A112" s="19" t="s">
        <v>967</v>
      </c>
      <c r="B112" s="18" t="s">
        <v>968</v>
      </c>
      <c r="C112" s="65" t="n">
        <v>5</v>
      </c>
      <c r="D112" s="71" t="n">
        <f aca="false">G77</f>
        <v>6</v>
      </c>
      <c r="E112" s="79" t="n">
        <f aca="false">D112-C112</f>
        <v>1</v>
      </c>
      <c r="F112" s="19"/>
      <c r="G112" s="19"/>
      <c r="H112" s="19"/>
      <c r="I112" s="19"/>
      <c r="J112" s="21"/>
    </row>
    <row r="113" customFormat="false" ht="16.5" hidden="false" customHeight="true" outlineLevel="0" collapsed="false">
      <c r="A113" s="19" t="s">
        <v>969</v>
      </c>
      <c r="B113" s="18" t="s">
        <v>970</v>
      </c>
      <c r="C113" s="65" t="n">
        <v>5</v>
      </c>
      <c r="D113" s="71" t="n">
        <f aca="false">G77</f>
        <v>6</v>
      </c>
      <c r="E113" s="79" t="n">
        <f aca="false">D113-C113</f>
        <v>1</v>
      </c>
      <c r="F113" s="19"/>
      <c r="G113" s="19"/>
      <c r="H113" s="19"/>
      <c r="I113" s="19"/>
      <c r="J113" s="21"/>
    </row>
    <row r="114" customFormat="false" ht="16.5" hidden="false" customHeight="true" outlineLevel="0" collapsed="false">
      <c r="A114" s="19" t="s">
        <v>971</v>
      </c>
      <c r="B114" s="18" t="s">
        <v>972</v>
      </c>
      <c r="C114" s="65" t="n">
        <v>5</v>
      </c>
      <c r="D114" s="71" t="n">
        <f aca="false">G78</f>
        <v>5</v>
      </c>
      <c r="E114" s="79" t="n">
        <f aca="false">D114-C114</f>
        <v>0</v>
      </c>
      <c r="F114" s="19"/>
      <c r="G114" s="19"/>
      <c r="H114" s="19"/>
      <c r="I114" s="19"/>
      <c r="J114" s="21"/>
    </row>
    <row r="115" customFormat="false" ht="16.5" hidden="false" customHeight="true" outlineLevel="0" collapsed="false">
      <c r="A115" s="19" t="s">
        <v>973</v>
      </c>
      <c r="B115" s="18" t="s">
        <v>974</v>
      </c>
      <c r="C115" s="65" t="n">
        <v>5</v>
      </c>
      <c r="D115" s="71" t="n">
        <f aca="false">G78</f>
        <v>5</v>
      </c>
      <c r="E115" s="79" t="n">
        <f aca="false">D115-C115</f>
        <v>0</v>
      </c>
      <c r="F115" s="19"/>
      <c r="G115" s="19"/>
      <c r="H115" s="19"/>
      <c r="I115" s="19"/>
      <c r="J115" s="21"/>
    </row>
    <row r="116" customFormat="false" ht="16.5" hidden="false" customHeight="true" outlineLevel="0" collapsed="false">
      <c r="A116" s="19" t="s">
        <v>975</v>
      </c>
      <c r="B116" s="18" t="s">
        <v>976</v>
      </c>
      <c r="C116" s="65" t="n">
        <v>3</v>
      </c>
      <c r="D116" s="71" t="n">
        <f aca="false">G78</f>
        <v>5</v>
      </c>
      <c r="E116" s="79" t="n">
        <f aca="false">D116-C116</f>
        <v>2</v>
      </c>
      <c r="F116" s="19"/>
      <c r="G116" s="19"/>
      <c r="H116" s="19"/>
      <c r="I116" s="19"/>
      <c r="J116" s="21"/>
    </row>
    <row r="117" customFormat="false" ht="29.25" hidden="false" customHeight="true" outlineLevel="0" collapsed="false">
      <c r="A117" s="19" t="s">
        <v>977</v>
      </c>
      <c r="B117" s="18" t="s">
        <v>978</v>
      </c>
      <c r="C117" s="65" t="n">
        <v>5</v>
      </c>
      <c r="D117" s="71" t="n">
        <f aca="false">G78</f>
        <v>5</v>
      </c>
      <c r="E117" s="79" t="n">
        <f aca="false">D117-C117</f>
        <v>0</v>
      </c>
      <c r="F117" s="19"/>
      <c r="G117" s="19"/>
      <c r="H117" s="19"/>
      <c r="I117" s="19"/>
      <c r="J117" s="21"/>
    </row>
    <row r="118" customFormat="false" ht="16.5" hidden="false" customHeight="true" outlineLevel="0" collapsed="false">
      <c r="A118" s="19" t="s">
        <v>979</v>
      </c>
      <c r="B118" s="18" t="s">
        <v>980</v>
      </c>
      <c r="C118" s="65" t="n">
        <v>5</v>
      </c>
      <c r="D118" s="71" t="n">
        <f aca="false">G78</f>
        <v>5</v>
      </c>
      <c r="E118" s="79" t="n">
        <f aca="false">D118-C118</f>
        <v>0</v>
      </c>
      <c r="F118" s="19"/>
      <c r="G118" s="19"/>
      <c r="H118" s="19"/>
      <c r="I118" s="19"/>
      <c r="J118" s="21"/>
    </row>
    <row r="119" customFormat="false" ht="16.5" hidden="false" customHeight="true" outlineLevel="0" collapsed="false">
      <c r="A119" s="19" t="s">
        <v>981</v>
      </c>
      <c r="B119" s="18" t="s">
        <v>982</v>
      </c>
      <c r="C119" s="65" t="n">
        <v>5</v>
      </c>
      <c r="D119" s="71" t="n">
        <f aca="false">G78</f>
        <v>5</v>
      </c>
      <c r="E119" s="79" t="n">
        <f aca="false">D119-C119</f>
        <v>0</v>
      </c>
      <c r="F119" s="19"/>
      <c r="G119" s="19"/>
      <c r="H119" s="19"/>
      <c r="I119" s="19"/>
      <c r="J119" s="21"/>
    </row>
    <row r="120" customFormat="false" ht="16.5" hidden="false" customHeight="true" outlineLevel="0" collapsed="false">
      <c r="A120" s="19" t="s">
        <v>983</v>
      </c>
      <c r="B120" s="18" t="s">
        <v>984</v>
      </c>
      <c r="C120" s="65" t="n">
        <v>6</v>
      </c>
      <c r="D120" s="71" t="n">
        <f aca="false">G79</f>
        <v>3</v>
      </c>
      <c r="E120" s="79" t="n">
        <f aca="false">D120-C120</f>
        <v>-3</v>
      </c>
      <c r="F120" s="19"/>
      <c r="G120" s="19"/>
      <c r="H120" s="19"/>
      <c r="I120" s="19"/>
      <c r="J120" s="21" t="s">
        <v>985</v>
      </c>
    </row>
    <row r="121" customFormat="false" ht="16.5" hidden="false" customHeight="true" outlineLevel="0" collapsed="false">
      <c r="A121" s="19" t="s">
        <v>986</v>
      </c>
      <c r="B121" s="18" t="s">
        <v>987</v>
      </c>
      <c r="C121" s="65" t="n">
        <v>6</v>
      </c>
      <c r="D121" s="71" t="n">
        <f aca="false">G79</f>
        <v>3</v>
      </c>
      <c r="E121" s="79" t="n">
        <f aca="false">D121-C121</f>
        <v>-3</v>
      </c>
      <c r="F121" s="19"/>
      <c r="G121" s="19"/>
      <c r="H121" s="19"/>
      <c r="I121" s="19"/>
      <c r="J121" s="21" t="s">
        <v>985</v>
      </c>
    </row>
    <row r="122" customFormat="false" ht="16.5" hidden="false" customHeight="true" outlineLevel="0" collapsed="false">
      <c r="A122" s="19" t="s">
        <v>988</v>
      </c>
      <c r="B122" s="18" t="s">
        <v>989</v>
      </c>
      <c r="C122" s="65" t="n">
        <v>6</v>
      </c>
      <c r="D122" s="71" t="n">
        <f aca="false">G79</f>
        <v>3</v>
      </c>
      <c r="E122" s="79" t="n">
        <f aca="false">D122-C122</f>
        <v>-3</v>
      </c>
      <c r="F122" s="19"/>
      <c r="G122" s="19"/>
      <c r="H122" s="19"/>
      <c r="I122" s="19"/>
      <c r="J122" s="21" t="s">
        <v>985</v>
      </c>
    </row>
    <row r="123" customFormat="false" ht="16.5" hidden="false" customHeight="true" outlineLevel="0" collapsed="false">
      <c r="A123" s="19" t="s">
        <v>990</v>
      </c>
      <c r="B123" s="18" t="s">
        <v>991</v>
      </c>
      <c r="C123" s="65" t="n">
        <v>3</v>
      </c>
      <c r="D123" s="71" t="n">
        <f aca="false">G79</f>
        <v>3</v>
      </c>
      <c r="E123" s="79" t="n">
        <f aca="false">D123-C123</f>
        <v>0</v>
      </c>
      <c r="F123" s="19"/>
      <c r="G123" s="19"/>
      <c r="H123" s="19"/>
      <c r="I123" s="19"/>
      <c r="J123" s="21"/>
    </row>
    <row r="124" customFormat="false" ht="16.5" hidden="false" customHeight="true" outlineLevel="0" collapsed="false">
      <c r="A124" s="19" t="s">
        <v>992</v>
      </c>
      <c r="B124" s="18" t="s">
        <v>993</v>
      </c>
      <c r="C124" s="65" t="n">
        <v>3</v>
      </c>
      <c r="D124" s="71" t="n">
        <f aca="false">G79</f>
        <v>3</v>
      </c>
      <c r="E124" s="79" t="n">
        <f aca="false">D124-C124</f>
        <v>0</v>
      </c>
      <c r="F124" s="19"/>
      <c r="G124" s="19"/>
      <c r="H124" s="19"/>
      <c r="I124" s="19"/>
      <c r="J124" s="21"/>
    </row>
    <row r="125" customFormat="false" ht="16.5" hidden="false" customHeight="true" outlineLevel="0" collapsed="false">
      <c r="A125" s="19" t="s">
        <v>994</v>
      </c>
      <c r="B125" s="18" t="s">
        <v>995</v>
      </c>
      <c r="C125" s="65" t="n">
        <v>1</v>
      </c>
      <c r="D125" s="71" t="n">
        <f aca="false">G79</f>
        <v>3</v>
      </c>
      <c r="E125" s="79" t="n">
        <f aca="false">D125-C125</f>
        <v>2</v>
      </c>
      <c r="F125" s="19"/>
      <c r="G125" s="19"/>
      <c r="H125" s="19"/>
      <c r="I125" s="19"/>
      <c r="J125" s="21"/>
    </row>
    <row r="126" customFormat="false" ht="16.5" hidden="false" customHeight="true" outlineLevel="0" collapsed="false">
      <c r="A126" s="19" t="s">
        <v>996</v>
      </c>
      <c r="B126" s="18" t="s">
        <v>997</v>
      </c>
      <c r="C126" s="65" t="n">
        <v>2</v>
      </c>
      <c r="D126" s="71" t="n">
        <f aca="false">G80</f>
        <v>2</v>
      </c>
      <c r="E126" s="79" t="n">
        <f aca="false">D126-C126</f>
        <v>0</v>
      </c>
      <c r="F126" s="19"/>
      <c r="G126" s="19"/>
      <c r="H126" s="19"/>
      <c r="I126" s="19"/>
      <c r="J126" s="21"/>
    </row>
    <row r="127" customFormat="false" ht="31.5" hidden="false" customHeight="true" outlineLevel="0" collapsed="false">
      <c r="A127" s="14" t="s">
        <v>94</v>
      </c>
      <c r="B127" s="14" t="s">
        <v>955</v>
      </c>
      <c r="C127" s="14" t="s">
        <v>956</v>
      </c>
      <c r="D127" s="14" t="s">
        <v>957</v>
      </c>
      <c r="E127" s="14" t="s">
        <v>958</v>
      </c>
      <c r="F127" s="14"/>
      <c r="G127" s="14"/>
      <c r="H127" s="14"/>
      <c r="I127" s="14"/>
      <c r="J127" s="14" t="s">
        <v>633</v>
      </c>
    </row>
    <row r="128" customFormat="false" ht="16.5" hidden="false" customHeight="true" outlineLevel="0" collapsed="false">
      <c r="A128" s="19" t="s">
        <v>998</v>
      </c>
      <c r="B128" s="18" t="s">
        <v>999</v>
      </c>
      <c r="C128" s="65" t="n">
        <v>2</v>
      </c>
      <c r="D128" s="71" t="n">
        <f aca="false">G80</f>
        <v>2</v>
      </c>
      <c r="E128" s="79" t="n">
        <f aca="false">D128-C128</f>
        <v>0</v>
      </c>
      <c r="F128" s="19"/>
      <c r="G128" s="19"/>
      <c r="H128" s="19"/>
      <c r="I128" s="19"/>
      <c r="J128" s="21"/>
    </row>
    <row r="129" customFormat="false" ht="16.5" hidden="false" customHeight="true" outlineLevel="0" collapsed="false">
      <c r="A129" s="19" t="s">
        <v>1000</v>
      </c>
      <c r="B129" s="18" t="s">
        <v>1001</v>
      </c>
      <c r="C129" s="65" t="n">
        <v>2</v>
      </c>
      <c r="D129" s="71" t="n">
        <f aca="false">G80</f>
        <v>2</v>
      </c>
      <c r="E129" s="79" t="n">
        <f aca="false">D129-C129</f>
        <v>0</v>
      </c>
      <c r="F129" s="19"/>
      <c r="G129" s="19"/>
      <c r="H129" s="19"/>
      <c r="I129" s="19"/>
      <c r="J129" s="21"/>
    </row>
    <row r="130" customFormat="false" ht="16.5" hidden="false" customHeight="true" outlineLevel="0" collapsed="false">
      <c r="A130" s="19" t="s">
        <v>1002</v>
      </c>
      <c r="B130" s="18" t="s">
        <v>1003</v>
      </c>
      <c r="C130" s="65" t="n">
        <v>1</v>
      </c>
      <c r="D130" s="71" t="n">
        <f aca="false">G80</f>
        <v>2</v>
      </c>
      <c r="E130" s="79" t="n">
        <f aca="false">D130-C130</f>
        <v>1</v>
      </c>
      <c r="F130" s="19"/>
      <c r="G130" s="19"/>
      <c r="H130" s="19"/>
      <c r="I130" s="19"/>
      <c r="J130" s="21"/>
    </row>
    <row r="131" customFormat="false" ht="29.25" hidden="false" customHeight="true" outlineLevel="0" collapsed="false">
      <c r="A131" s="19" t="s">
        <v>1004</v>
      </c>
      <c r="B131" s="18" t="s">
        <v>1005</v>
      </c>
      <c r="C131" s="65" t="n">
        <v>1</v>
      </c>
      <c r="D131" s="71" t="n">
        <f aca="false">G80</f>
        <v>2</v>
      </c>
      <c r="E131" s="79" t="n">
        <f aca="false">D131-C131</f>
        <v>1</v>
      </c>
      <c r="F131" s="19"/>
      <c r="G131" s="19"/>
      <c r="H131" s="19"/>
      <c r="I131" s="19"/>
      <c r="J131" s="21"/>
    </row>
    <row r="132" customFormat="false" ht="29.25" hidden="false" customHeight="true" outlineLevel="0" collapsed="false">
      <c r="A132" s="19" t="s">
        <v>1006</v>
      </c>
      <c r="B132" s="18" t="s">
        <v>1007</v>
      </c>
      <c r="C132" s="65" t="n">
        <v>2</v>
      </c>
      <c r="D132" s="71" t="n">
        <f aca="false">G80</f>
        <v>2</v>
      </c>
      <c r="E132" s="79" t="n">
        <f aca="false">D132-C132</f>
        <v>0</v>
      </c>
      <c r="F132" s="19"/>
      <c r="G132" s="19"/>
      <c r="H132" s="19"/>
      <c r="I132" s="19"/>
      <c r="J132" s="21" t="s">
        <v>1008</v>
      </c>
    </row>
    <row r="133" customFormat="false" ht="29.25" hidden="false" customHeight="true" outlineLevel="0" collapsed="false">
      <c r="A133" s="26"/>
      <c r="B133" s="26" t="s">
        <v>1009</v>
      </c>
      <c r="C133" s="26"/>
      <c r="D133" s="26"/>
      <c r="E133" s="75" t="n">
        <f aca="false">-SUMIF(E108:E132,"&lt;0")</f>
        <v>9</v>
      </c>
      <c r="F133" s="26"/>
      <c r="G133" s="26"/>
      <c r="H133" s="26"/>
      <c r="I133" s="26"/>
      <c r="J133" s="21" t="s">
        <v>1010</v>
      </c>
    </row>
    <row r="135" customFormat="false" ht="42" hidden="false" customHeight="true" outlineLevel="0" collapsed="false">
      <c r="A135" s="14" t="s">
        <v>94</v>
      </c>
      <c r="B135" s="14" t="s">
        <v>1011</v>
      </c>
      <c r="C135" s="14" t="s">
        <v>1012</v>
      </c>
      <c r="D135" s="14"/>
      <c r="E135" s="14" t="s">
        <v>1013</v>
      </c>
      <c r="F135" s="14" t="s">
        <v>1014</v>
      </c>
      <c r="G135" s="14"/>
      <c r="H135" s="14"/>
      <c r="I135" s="14"/>
      <c r="J135" s="14" t="s">
        <v>1015</v>
      </c>
    </row>
    <row r="136" customFormat="false" ht="30" hidden="false" customHeight="true" outlineLevel="0" collapsed="false">
      <c r="A136" s="19" t="s">
        <v>1016</v>
      </c>
      <c r="B136" s="18" t="s">
        <v>1017</v>
      </c>
      <c r="C136" s="19" t="s">
        <v>845</v>
      </c>
      <c r="D136" s="19"/>
      <c r="E136" s="71" t="n">
        <f aca="false">F65</f>
        <v>5</v>
      </c>
      <c r="F136" s="21" t="s">
        <v>1018</v>
      </c>
      <c r="G136" s="21"/>
      <c r="H136" s="21"/>
      <c r="I136" s="21"/>
      <c r="J136" s="21" t="s">
        <v>1019</v>
      </c>
    </row>
    <row r="137" customFormat="false" ht="30" hidden="false" customHeight="true" outlineLevel="0" collapsed="false">
      <c r="A137" s="19" t="s">
        <v>1020</v>
      </c>
      <c r="B137" s="18" t="s">
        <v>1021</v>
      </c>
      <c r="C137" s="19" t="s">
        <v>1022</v>
      </c>
      <c r="D137" s="19"/>
      <c r="E137" s="71" t="n">
        <f aca="false">F66+F67</f>
        <v>17</v>
      </c>
      <c r="F137" s="21" t="s">
        <v>1023</v>
      </c>
      <c r="G137" s="21"/>
      <c r="H137" s="21"/>
      <c r="I137" s="21"/>
      <c r="J137" s="21" t="s">
        <v>1024</v>
      </c>
    </row>
    <row r="138" customFormat="false" ht="30" hidden="false" customHeight="true" outlineLevel="0" collapsed="false">
      <c r="A138" s="19" t="s">
        <v>1025</v>
      </c>
      <c r="B138" s="18" t="s">
        <v>1026</v>
      </c>
      <c r="C138" s="19" t="s">
        <v>1027</v>
      </c>
      <c r="D138" s="19"/>
      <c r="E138" s="65" t="n">
        <f aca="false">SUM(F68:F73)</f>
        <v>39</v>
      </c>
      <c r="F138" s="21" t="s">
        <v>1028</v>
      </c>
      <c r="G138" s="21"/>
      <c r="H138" s="21"/>
      <c r="I138" s="21"/>
      <c r="J138" s="21" t="s">
        <v>1029</v>
      </c>
    </row>
    <row r="139" customFormat="false" ht="31.5" hidden="false" customHeight="true" outlineLevel="0" collapsed="false">
      <c r="A139" s="19" t="s">
        <v>1030</v>
      </c>
      <c r="B139" s="18" t="s">
        <v>1031</v>
      </c>
      <c r="C139" s="19" t="s">
        <v>1032</v>
      </c>
      <c r="D139" s="19"/>
      <c r="E139" s="71" t="n">
        <f aca="false">F74+F75</f>
        <v>39</v>
      </c>
      <c r="F139" s="21" t="s">
        <v>1033</v>
      </c>
      <c r="G139" s="21"/>
      <c r="H139" s="21"/>
      <c r="I139" s="21"/>
      <c r="J139" s="21" t="s">
        <v>1029</v>
      </c>
    </row>
    <row r="140" customFormat="false" ht="42" hidden="false" customHeight="true" outlineLevel="0" collapsed="false">
      <c r="A140" s="19" t="s">
        <v>1034</v>
      </c>
      <c r="B140" s="18" t="s">
        <v>1035</v>
      </c>
      <c r="C140" s="19" t="s">
        <v>1036</v>
      </c>
      <c r="D140" s="19"/>
      <c r="E140" s="65" t="n">
        <f aca="false">SUM(F76:F79)</f>
        <v>33</v>
      </c>
      <c r="F140" s="21" t="s">
        <v>1037</v>
      </c>
      <c r="G140" s="21"/>
      <c r="H140" s="21"/>
      <c r="I140" s="21"/>
      <c r="J140" s="21" t="s">
        <v>1038</v>
      </c>
    </row>
    <row r="141" customFormat="false" ht="31.5" hidden="false" customHeight="true" outlineLevel="0" collapsed="false">
      <c r="A141" s="19" t="s">
        <v>1039</v>
      </c>
      <c r="B141" s="18" t="s">
        <v>1040</v>
      </c>
      <c r="C141" s="19" t="s">
        <v>888</v>
      </c>
      <c r="D141" s="19"/>
      <c r="E141" s="71" t="n">
        <f aca="false">F80</f>
        <v>3</v>
      </c>
      <c r="F141" s="21" t="s">
        <v>1041</v>
      </c>
      <c r="G141" s="21"/>
      <c r="H141" s="21"/>
      <c r="I141" s="21"/>
      <c r="J141" s="21" t="s">
        <v>1038</v>
      </c>
    </row>
    <row r="142" customFormat="false" ht="42" hidden="false" customHeight="true" outlineLevel="0" collapsed="false">
      <c r="A142" s="26"/>
      <c r="B142" s="26" t="s">
        <v>1042</v>
      </c>
      <c r="C142" s="26"/>
      <c r="D142" s="26"/>
      <c r="E142" s="75" t="n">
        <f aca="false">SUM(E136:E141)</f>
        <v>136</v>
      </c>
      <c r="F142" s="26"/>
      <c r="G142" s="26"/>
      <c r="H142" s="26"/>
      <c r="I142" s="26"/>
      <c r="J142" s="21" t="s">
        <v>1043</v>
      </c>
    </row>
    <row r="144" customFormat="false" ht="31.5" hidden="false" customHeight="true" outlineLevel="0" collapsed="false">
      <c r="A144" s="14" t="s">
        <v>94</v>
      </c>
      <c r="B144" s="14" t="s">
        <v>1044</v>
      </c>
      <c r="C144" s="14" t="s">
        <v>1045</v>
      </c>
      <c r="D144" s="14" t="s">
        <v>1046</v>
      </c>
      <c r="E144" s="14" t="s">
        <v>1047</v>
      </c>
      <c r="F144" s="14" t="s">
        <v>1048</v>
      </c>
      <c r="G144" s="14"/>
      <c r="H144" s="14"/>
      <c r="I144" s="14"/>
      <c r="J144" s="14" t="s">
        <v>1049</v>
      </c>
    </row>
    <row r="145" customFormat="false" ht="80.25" hidden="false" customHeight="true" outlineLevel="0" collapsed="false">
      <c r="A145" s="19" t="s">
        <v>1050</v>
      </c>
      <c r="B145" s="18" t="s">
        <v>1051</v>
      </c>
      <c r="C145" s="69" t="n">
        <f aca="false">INDEX('XER WBS'!$J$69:$J$149,MATCH("QCD18TSEPRC1120",'XER WBS'!$A$69:$A$149,0))</f>
        <v>46273</v>
      </c>
      <c r="D145" s="69" t="n">
        <f aca="false">INDEX('XER WBS'!$K$69:$K$149,MATCH("QCD18TSECONT2INS1030",'XER WBS'!$A$69:$A$149,0))</f>
        <v>46337</v>
      </c>
      <c r="E145" s="65" t="n">
        <f aca="false">NETWORKDAYS.INTL(C145,D145,"0000100",$C$14)</f>
        <v>55</v>
      </c>
      <c r="F145" s="65" t="n">
        <f aca="false">E145</f>
        <v>55</v>
      </c>
      <c r="G145" s="19"/>
      <c r="H145" s="19"/>
      <c r="I145" s="19"/>
      <c r="J145" s="21" t="s">
        <v>1052</v>
      </c>
    </row>
    <row r="146" customFormat="false" ht="30" hidden="false" customHeight="true" outlineLevel="0" collapsed="false">
      <c r="A146" s="19" t="s">
        <v>1053</v>
      </c>
      <c r="B146" s="18" t="s">
        <v>1054</v>
      </c>
      <c r="C146" s="69" t="n">
        <f aca="false">INDEX('XER WBS'!$J$69:$J$149,MATCH("QCD18TSECONT2INS1040",'XER WBS'!$A$69:$A$149,0))</f>
        <v>46344</v>
      </c>
      <c r="D146" s="69" t="n">
        <f aca="false">INDEX('XER WBS'!$K$69:$K$149,MATCH("QCD18TSECONT2INS1050",'XER WBS'!$A$69:$A$149,0))</f>
        <v>46356</v>
      </c>
      <c r="E146" s="65" t="n">
        <f aca="false">NETWORKDAYS.INTL(C146,D146,"0000100",$C$14)</f>
        <v>11</v>
      </c>
      <c r="F146" s="71" t="n">
        <f aca="false">ROUND(INDEX('XER WBS'!$I$69:$I$149,MATCH("QCD18TSECONT2INS1040",'XER WBS'!$A$69:$A$149,0))/2,0)+INDEX('XER WBS'!$I$69:$I$149,MATCH("QCD18TSECONT2INS1050",'XER WBS'!$A$69:$A$149,0))</f>
        <v>9</v>
      </c>
      <c r="G146" s="19"/>
      <c r="H146" s="19"/>
      <c r="I146" s="19"/>
      <c r="J146" s="21" t="s">
        <v>1055</v>
      </c>
    </row>
    <row r="147" customFormat="false" ht="30" hidden="false" customHeight="true" outlineLevel="0" collapsed="false">
      <c r="A147" s="19" t="s">
        <v>1056</v>
      </c>
      <c r="B147" s="18" t="s">
        <v>1057</v>
      </c>
      <c r="C147" s="70" t="s">
        <v>774</v>
      </c>
      <c r="D147" s="70" t="s">
        <v>774</v>
      </c>
      <c r="E147" s="65" t="s">
        <v>774</v>
      </c>
      <c r="F147" s="71" t="n">
        <f aca="false">F145+F146</f>
        <v>64</v>
      </c>
      <c r="G147" s="19"/>
      <c r="H147" s="19"/>
      <c r="I147" s="19"/>
      <c r="J147" s="21" t="s">
        <v>1058</v>
      </c>
    </row>
    <row r="148" customFormat="false" ht="42" hidden="false" customHeight="true" outlineLevel="0" collapsed="false">
      <c r="A148" s="19" t="s">
        <v>1059</v>
      </c>
      <c r="B148" s="18" t="s">
        <v>1060</v>
      </c>
      <c r="C148" s="69" t="n">
        <f aca="false">INDEX('XER WBS'!$J$69:$J$149,MATCH("QCD18TSECONT1INS1030",'XER WBS'!$A$69:$A$149,0))</f>
        <v>46301</v>
      </c>
      <c r="D148" s="69" t="n">
        <f aca="false">INDEX('XER WBS'!$K$69:$K$149,MATCH("QCD18TSECONT2INS1060",'XER WBS'!$A$69:$A$149,0))</f>
        <v>46343</v>
      </c>
      <c r="E148" s="71"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71"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9"/>
      <c r="H148" s="19"/>
      <c r="I148" s="19"/>
      <c r="J148" s="21" t="s">
        <v>1061</v>
      </c>
    </row>
    <row r="149" customFormat="false" ht="30" hidden="false" customHeight="true" outlineLevel="0" collapsed="false">
      <c r="A149" s="19" t="s">
        <v>1062</v>
      </c>
      <c r="B149" s="18" t="s">
        <v>1063</v>
      </c>
      <c r="C149" s="69" t="n">
        <f aca="false">INDEX('XER WBS'!$J$69:$J$149,MATCH("QCD18TSECONT1INS1040",'XER WBS'!$A$69:$A$149,0))</f>
        <v>46326</v>
      </c>
      <c r="D149" s="69" t="n">
        <f aca="false">INDEX('XER WBS'!$K$69:$K$149,MATCH("QCD18TSECONT2INS1050",'XER WBS'!$A$69:$A$149,0))</f>
        <v>46356</v>
      </c>
      <c r="E149" s="71" t="n">
        <f aca="false">INDEX('XER WBS'!$I$69:$I$149,MATCH("QCD18TSECONT1INS1040",'XER WBS'!$A$69:$A$149,0))+INDEX('XER WBS'!$I$69:$I$149,MATCH("QCD18TSECONT1INS1050",'XER WBS'!$A$69:$A$149,0))+INDEX('XER WBS'!$I$69:$I$149,MATCH("QCD18TSECONT2INS1040",'XER WBS'!$A$69:$A$149,0))+INDEX('XER WBS'!$I$69:$I$149,MATCH("QCD18TSECONT2INS1050",'XER WBS'!$A$69:$A$149,0))</f>
        <v>22</v>
      </c>
      <c r="F149" s="65" t="n">
        <f aca="false">E149</f>
        <v>22</v>
      </c>
      <c r="G149" s="19"/>
      <c r="H149" s="19"/>
      <c r="I149" s="19"/>
      <c r="J149" s="21" t="s">
        <v>1064</v>
      </c>
    </row>
    <row r="150" customFormat="false" ht="30" hidden="false" customHeight="true" outlineLevel="0" collapsed="false">
      <c r="A150" s="19" t="s">
        <v>1065</v>
      </c>
      <c r="B150" s="18" t="s">
        <v>1066</v>
      </c>
      <c r="C150" s="69" t="n">
        <f aca="false">MAX(INDEX('XER WBS'!$J$69:$J$149,MATCH("QCD18TSECONT1INS1040",'XER WBS'!$A$69:$A$149,0)),INDEX('XER WBS'!$J$69:$J$149,MATCH("QCD18TSECONT2INS1030",'XER WBS'!$A$69:$A$149,0)))</f>
        <v>46326</v>
      </c>
      <c r="D150" s="69" t="n">
        <f aca="false">MIN(INDEX('XER WBS'!$K$69:$K$149,MATCH("QCD18TSECONT1INS1050",'XER WBS'!$A$69:$A$149,0)),INDEX('XER WBS'!$K$69:$K$149,MATCH("QCD18TSECONT2INS1060",'XER WBS'!$A$69:$A$149,0)))</f>
        <v>46337</v>
      </c>
      <c r="E150" s="65" t="n">
        <f aca="false">NETWORKDAYS.INTL(C150,D150,"0000100",$C$14)</f>
        <v>11</v>
      </c>
      <c r="F150" s="65" t="n">
        <f aca="false">-ROUND(E150/2,0)</f>
        <v>-6</v>
      </c>
      <c r="G150" s="19"/>
      <c r="H150" s="19"/>
      <c r="I150" s="19"/>
      <c r="J150" s="21" t="s">
        <v>1067</v>
      </c>
    </row>
    <row r="151" customFormat="false" ht="31.5" hidden="false" customHeight="true" outlineLevel="0" collapsed="false">
      <c r="A151" s="14" t="s">
        <v>94</v>
      </c>
      <c r="B151" s="14" t="s">
        <v>1044</v>
      </c>
      <c r="C151" s="14" t="s">
        <v>1045</v>
      </c>
      <c r="D151" s="14" t="s">
        <v>1046</v>
      </c>
      <c r="E151" s="14" t="s">
        <v>1047</v>
      </c>
      <c r="F151" s="14" t="s">
        <v>1048</v>
      </c>
      <c r="G151" s="14"/>
      <c r="H151" s="14"/>
      <c r="I151" s="14"/>
      <c r="J151" s="14" t="s">
        <v>1049</v>
      </c>
    </row>
    <row r="152" customFormat="false" ht="54.75" hidden="false" customHeight="true" outlineLevel="0" collapsed="false">
      <c r="A152" s="19" t="s">
        <v>1068</v>
      </c>
      <c r="B152" s="18" t="s">
        <v>1069</v>
      </c>
      <c r="C152" s="70" t="s">
        <v>774</v>
      </c>
      <c r="D152" s="70" t="s">
        <v>774</v>
      </c>
      <c r="E152" s="65" t="n">
        <v>12</v>
      </c>
      <c r="F152" s="65" t="n">
        <f aca="false">E152</f>
        <v>12</v>
      </c>
      <c r="G152" s="19"/>
      <c r="H152" s="19"/>
      <c r="I152" s="19"/>
      <c r="J152" s="21" t="s">
        <v>1070</v>
      </c>
    </row>
    <row r="153" customFormat="false" ht="30" hidden="false" customHeight="true" outlineLevel="0" collapsed="false">
      <c r="A153" s="19" t="s">
        <v>1071</v>
      </c>
      <c r="B153" s="18" t="s">
        <v>1072</v>
      </c>
      <c r="C153" s="70" t="s">
        <v>774</v>
      </c>
      <c r="D153" s="70" t="s">
        <v>774</v>
      </c>
      <c r="E153" s="65" t="s">
        <v>774</v>
      </c>
      <c r="F153" s="71" t="n">
        <f aca="false">F148+F149+F150+F152</f>
        <v>48</v>
      </c>
      <c r="G153" s="19"/>
      <c r="H153" s="19"/>
      <c r="I153" s="19"/>
      <c r="J153" s="21" t="s">
        <v>1073</v>
      </c>
    </row>
    <row r="154" customFormat="false" ht="31.5" hidden="false" customHeight="true" outlineLevel="0" collapsed="false">
      <c r="A154" s="14" t="s">
        <v>94</v>
      </c>
      <c r="B154" s="14" t="s">
        <v>1074</v>
      </c>
      <c r="C154" s="14" t="s">
        <v>1075</v>
      </c>
      <c r="D154" s="14" t="s">
        <v>1076</v>
      </c>
      <c r="E154" s="14" t="s">
        <v>1077</v>
      </c>
      <c r="F154" s="14" t="s">
        <v>1078</v>
      </c>
      <c r="G154" s="14"/>
      <c r="H154" s="14"/>
      <c r="I154" s="14"/>
      <c r="J154" s="14" t="s">
        <v>1079</v>
      </c>
    </row>
    <row r="155" customFormat="false" ht="80.25" hidden="false" customHeight="true" outlineLevel="0" collapsed="false">
      <c r="A155" s="19" t="s">
        <v>1080</v>
      </c>
      <c r="B155" s="18" t="s">
        <v>1081</v>
      </c>
      <c r="C155" s="69" t="n">
        <f aca="false">F49</f>
        <v>46256</v>
      </c>
      <c r="D155" s="69" t="n">
        <f aca="false">G49</f>
        <v>46382</v>
      </c>
      <c r="E155" s="65" t="n">
        <f aca="false">D155-C155+1</f>
        <v>127</v>
      </c>
      <c r="F155" s="80" t="n">
        <f aca="false">ROUND(E155/$C$15,1)</f>
        <v>4.2</v>
      </c>
      <c r="G155" s="19"/>
      <c r="H155" s="19"/>
      <c r="I155" s="19"/>
      <c r="J155" s="21" t="s">
        <v>1082</v>
      </c>
    </row>
    <row r="156" customFormat="false" ht="54.75" hidden="false" customHeight="true" outlineLevel="0" collapsed="false">
      <c r="A156" s="19" t="s">
        <v>1083</v>
      </c>
      <c r="B156" s="18" t="s">
        <v>1084</v>
      </c>
      <c r="C156" s="69" t="n">
        <f aca="false">F49</f>
        <v>46256</v>
      </c>
      <c r="D156" s="69" t="n">
        <f aca="false">G49</f>
        <v>46382</v>
      </c>
      <c r="E156" s="65" t="n">
        <f aca="false">D156-C156+1</f>
        <v>127</v>
      </c>
      <c r="F156" s="80" t="n">
        <f aca="false">ROUND(E156/$C$15,1)</f>
        <v>4.2</v>
      </c>
      <c r="G156" s="19"/>
      <c r="H156" s="19"/>
      <c r="I156" s="19"/>
      <c r="J156" s="21" t="s">
        <v>1085</v>
      </c>
    </row>
    <row r="157" customFormat="false" ht="42" hidden="false" customHeight="true" outlineLevel="0" collapsed="false">
      <c r="A157" s="19" t="s">
        <v>1086</v>
      </c>
      <c r="B157" s="18" t="s">
        <v>1087</v>
      </c>
      <c r="C157" s="69" t="n">
        <f aca="false">F21</f>
        <v>46261</v>
      </c>
      <c r="D157" s="69" t="n">
        <f aca="false">G46</f>
        <v>46373</v>
      </c>
      <c r="E157" s="65" t="n">
        <f aca="false">D157-C157+1</f>
        <v>113</v>
      </c>
      <c r="F157" s="80" t="n">
        <f aca="false">ROUND(E157/$C$15,1)</f>
        <v>3.7</v>
      </c>
      <c r="G157" s="19"/>
      <c r="H157" s="19"/>
      <c r="I157" s="19"/>
      <c r="J157" s="21" t="s">
        <v>1088</v>
      </c>
    </row>
    <row r="158" customFormat="false" ht="42" hidden="false" customHeight="true" outlineLevel="0" collapsed="false">
      <c r="A158" s="19" t="s">
        <v>1089</v>
      </c>
      <c r="B158" s="18" t="s">
        <v>1090</v>
      </c>
      <c r="C158" s="69" t="n">
        <f aca="false">F49</f>
        <v>46256</v>
      </c>
      <c r="D158" s="69" t="n">
        <f aca="false">G49</f>
        <v>46382</v>
      </c>
      <c r="E158" s="65" t="n">
        <f aca="false">D158-C158+1</f>
        <v>127</v>
      </c>
      <c r="F158" s="80" t="n">
        <f aca="false">ROUND(E158/$C$15,1)</f>
        <v>4.2</v>
      </c>
      <c r="G158" s="19"/>
      <c r="H158" s="19"/>
      <c r="I158" s="19"/>
      <c r="J158" s="21" t="s">
        <v>1091</v>
      </c>
    </row>
    <row r="159" customFormat="false" ht="42" hidden="false" customHeight="true" outlineLevel="0" collapsed="false">
      <c r="A159" s="19" t="s">
        <v>1092</v>
      </c>
      <c r="B159" s="18" t="s">
        <v>1093</v>
      </c>
      <c r="C159" s="69" t="n">
        <f aca="false">INDEX('XER WBS'!$J$69:$J$149,MATCH("QCD18TSEPRC1120",'XER WBS'!$A$69:$A$149,0))</f>
        <v>46273</v>
      </c>
      <c r="D159" s="69" t="n">
        <f aca="false">G46</f>
        <v>46373</v>
      </c>
      <c r="E159" s="65" t="n">
        <f aca="false">D159-C159+1</f>
        <v>101</v>
      </c>
      <c r="F159" s="80" t="n">
        <f aca="false">ROUND(E159/$C$15,1)</f>
        <v>3.3</v>
      </c>
      <c r="G159" s="19"/>
      <c r="H159" s="19"/>
      <c r="I159" s="19"/>
      <c r="J159" s="21" t="s">
        <v>1094</v>
      </c>
    </row>
    <row r="161" customFormat="false" ht="21" hidden="false" customHeight="true" outlineLevel="0" collapsed="false">
      <c r="A161" s="16" t="s">
        <v>1095</v>
      </c>
      <c r="B161" s="16"/>
      <c r="C161" s="16"/>
      <c r="D161" s="16"/>
      <c r="E161" s="16"/>
      <c r="F161" s="16"/>
      <c r="G161" s="16"/>
      <c r="H161" s="16"/>
      <c r="I161" s="16"/>
      <c r="J161" s="16"/>
    </row>
    <row r="162" customFormat="false" ht="40.5" hidden="false" customHeight="true" outlineLevel="0" collapsed="false">
      <c r="A162" s="12" t="s">
        <v>1096</v>
      </c>
      <c r="B162" s="12"/>
      <c r="C162" s="12"/>
      <c r="D162" s="12"/>
      <c r="E162" s="12"/>
      <c r="F162" s="12"/>
      <c r="G162" s="12"/>
      <c r="H162" s="12"/>
      <c r="I162" s="12"/>
      <c r="J162" s="12"/>
    </row>
    <row r="163" customFormat="false" ht="54.75" hidden="false" customHeight="true" outlineLevel="0" collapsed="false">
      <c r="A163" s="14" t="s">
        <v>94</v>
      </c>
      <c r="B163" s="14" t="s">
        <v>1097</v>
      </c>
      <c r="C163" s="14" t="s">
        <v>37</v>
      </c>
      <c r="D163" s="14" t="s">
        <v>39</v>
      </c>
      <c r="E163" s="14" t="s">
        <v>1098</v>
      </c>
      <c r="F163" s="14" t="s">
        <v>1099</v>
      </c>
      <c r="G163" s="14" t="s">
        <v>1100</v>
      </c>
      <c r="H163" s="14" t="s">
        <v>1101</v>
      </c>
      <c r="I163" s="14" t="s">
        <v>1102</v>
      </c>
      <c r="J163" s="14" t="s">
        <v>1103</v>
      </c>
    </row>
    <row r="164" customFormat="false" ht="30" hidden="false" customHeight="true" outlineLevel="0" collapsed="false">
      <c r="A164" s="17" t="s">
        <v>96</v>
      </c>
      <c r="B164" s="81" t="str">
        <f aca="false">'Build-Up'!B9</f>
        <v>Site engineer - dedicated to the tank site</v>
      </c>
      <c r="C164" s="82" t="str">
        <f aca="false">'Build-Up'!C9</f>
        <v>month</v>
      </c>
      <c r="D164" s="22" t="n">
        <f aca="false">'Build-Up'!E9</f>
        <v>12000</v>
      </c>
      <c r="E164" s="83" t="n">
        <v>3</v>
      </c>
      <c r="F164" s="84" t="n">
        <f aca="false">ROUND(E49/$C$15,1)</f>
        <v>4.1</v>
      </c>
      <c r="G164" s="54" t="n">
        <f aca="false">F155</f>
        <v>4.2</v>
      </c>
      <c r="H164" s="83" t="n">
        <f aca="false">ROUND(F164*D164,2)</f>
        <v>49200</v>
      </c>
      <c r="I164" s="20" t="n">
        <f aca="false">ROUND(G164*D164,2)</f>
        <v>50400</v>
      </c>
      <c r="J164" s="21" t="s">
        <v>1104</v>
      </c>
    </row>
    <row r="165" customFormat="false" ht="30" hidden="false" customHeight="true" outlineLevel="0" collapsed="false">
      <c r="A165" s="17" t="s">
        <v>100</v>
      </c>
      <c r="B165" s="81" t="str">
        <f aca="false">'Build-Up'!B10</f>
        <v>HSE officer - dedicated</v>
      </c>
      <c r="C165" s="82" t="str">
        <f aca="false">'Build-Up'!C10</f>
        <v>month</v>
      </c>
      <c r="D165" s="22" t="n">
        <f aca="false">'Build-Up'!E10</f>
        <v>10000</v>
      </c>
      <c r="E165" s="83" t="n">
        <v>3</v>
      </c>
      <c r="F165" s="84" t="n">
        <f aca="false">ROUND(E49/$C$15,1)</f>
        <v>4.1</v>
      </c>
      <c r="G165" s="54" t="n">
        <f aca="false">F156</f>
        <v>4.2</v>
      </c>
      <c r="H165" s="83" t="n">
        <f aca="false">ROUND(F165*D165,2)</f>
        <v>41000</v>
      </c>
      <c r="I165" s="20" t="n">
        <f aca="false">ROUND(G165*D165,2)</f>
        <v>42000</v>
      </c>
      <c r="J165" s="21" t="s">
        <v>1105</v>
      </c>
    </row>
    <row r="166" customFormat="false" ht="30" hidden="false" customHeight="true" outlineLevel="0" collapsed="false">
      <c r="A166" s="17" t="s">
        <v>103</v>
      </c>
      <c r="B166" s="81" t="str">
        <f aca="false">'Build-Up'!B11</f>
        <v>QA/QC inspector - dedicated (daily inspections, ITPs and WIRs during erection)</v>
      </c>
      <c r="C166" s="82" t="str">
        <f aca="false">'Build-Up'!C11</f>
        <v>month</v>
      </c>
      <c r="D166" s="22" t="n">
        <f aca="false">'Build-Up'!E11</f>
        <v>10000</v>
      </c>
      <c r="E166" s="83" t="n">
        <v>3</v>
      </c>
      <c r="F166" s="84" t="n">
        <f aca="false">ROUND(E49/$C$15,1)</f>
        <v>4.1</v>
      </c>
      <c r="G166" s="54" t="n">
        <f aca="false">F157</f>
        <v>3.7</v>
      </c>
      <c r="H166" s="83" t="n">
        <f aca="false">ROUND(F166*D166,2)</f>
        <v>41000</v>
      </c>
      <c r="I166" s="20" t="n">
        <f aca="false">ROUND(G166*D166,2)</f>
        <v>37000</v>
      </c>
      <c r="J166" s="21" t="s">
        <v>1106</v>
      </c>
    </row>
    <row r="167" customFormat="false" ht="30" hidden="false" customHeight="true" outlineLevel="0" collapsed="false">
      <c r="A167" s="17" t="s">
        <v>106</v>
      </c>
      <c r="B167" s="81" t="str">
        <f aca="false">'Build-Up'!B12</f>
        <v>Works foreman - dedicated</v>
      </c>
      <c r="C167" s="82" t="str">
        <f aca="false">'Build-Up'!C12</f>
        <v>month</v>
      </c>
      <c r="D167" s="22" t="n">
        <f aca="false">'Build-Up'!E12</f>
        <v>8000</v>
      </c>
      <c r="E167" s="83" t="n">
        <v>3</v>
      </c>
      <c r="F167" s="84" t="n">
        <f aca="false">ROUND(E49/$C$15,1)</f>
        <v>4.1</v>
      </c>
      <c r="G167" s="54" t="n">
        <f aca="false">F158</f>
        <v>4.2</v>
      </c>
      <c r="H167" s="83" t="n">
        <f aca="false">ROUND(F167*D167,2)</f>
        <v>32800</v>
      </c>
      <c r="I167" s="20" t="n">
        <f aca="false">ROUND(G167*D167,2)</f>
        <v>33600</v>
      </c>
      <c r="J167" s="21" t="s">
        <v>1107</v>
      </c>
    </row>
    <row r="168" customFormat="false" ht="30" hidden="false" customHeight="true" outlineLevel="0" collapsed="false">
      <c r="A168" s="17" t="s">
        <v>109</v>
      </c>
      <c r="B168" s="81" t="str">
        <f aca="false">'Build-Up'!B13</f>
        <v>Storekeeper / timekeeper</v>
      </c>
      <c r="C168" s="82" t="str">
        <f aca="false">'Build-Up'!C13</f>
        <v>month</v>
      </c>
      <c r="D168" s="22" t="n">
        <f aca="false">'Build-Up'!E13</f>
        <v>4000</v>
      </c>
      <c r="E168" s="83" t="n">
        <v>3</v>
      </c>
      <c r="F168" s="84" t="n">
        <f aca="false">ROUND(E49/$C$15,1)</f>
        <v>4.1</v>
      </c>
      <c r="G168" s="54" t="n">
        <f aca="false">F159</f>
        <v>3.3</v>
      </c>
      <c r="H168" s="83" t="n">
        <f aca="false">ROUND(F168*D168,2)</f>
        <v>16400</v>
      </c>
      <c r="I168" s="20" t="n">
        <f aca="false">ROUND(G168*D168,2)</f>
        <v>13200</v>
      </c>
      <c r="J168" s="21" t="s">
        <v>1108</v>
      </c>
    </row>
    <row r="169" customFormat="false" ht="30" hidden="false" customHeight="true" outlineLevel="0" collapsed="false">
      <c r="A169" s="17" t="s">
        <v>112</v>
      </c>
      <c r="B169" s="81" t="str">
        <f aca="false">'Build-Up'!B14</f>
        <v>Site office porta cabin, air-conditioned, rental with electricity connection and maintenance</v>
      </c>
      <c r="C169" s="82" t="str">
        <f aca="false">'Build-Up'!C14</f>
        <v>month</v>
      </c>
      <c r="D169" s="22" t="n">
        <f aca="false">'Build-Up'!E14</f>
        <v>2200</v>
      </c>
      <c r="E169" s="83" t="n">
        <v>3</v>
      </c>
      <c r="F169" s="84" t="n">
        <f aca="false">ROUND(E49/$C$15,1)</f>
        <v>4.1</v>
      </c>
      <c r="G169" s="54" t="n">
        <f aca="false">ROUND(H49/$C$15,1)</f>
        <v>4.2</v>
      </c>
      <c r="H169" s="83" t="n">
        <f aca="false">ROUND(F169*D169,2)</f>
        <v>9020</v>
      </c>
      <c r="I169" s="20" t="n">
        <f aca="false">ROUND(G169*D169,2)</f>
        <v>9240</v>
      </c>
      <c r="J169" s="21" t="s">
        <v>1109</v>
      </c>
    </row>
    <row r="170" customFormat="false" ht="54.75" hidden="false" customHeight="true" outlineLevel="0" collapsed="false">
      <c r="A170" s="14" t="s">
        <v>94</v>
      </c>
      <c r="B170" s="14" t="s">
        <v>1097</v>
      </c>
      <c r="C170" s="14" t="s">
        <v>37</v>
      </c>
      <c r="D170" s="14" t="s">
        <v>39</v>
      </c>
      <c r="E170" s="85" t="s">
        <v>1098</v>
      </c>
      <c r="F170" s="85" t="s">
        <v>1099</v>
      </c>
      <c r="G170" s="14" t="s">
        <v>1100</v>
      </c>
      <c r="H170" s="85" t="s">
        <v>1101</v>
      </c>
      <c r="I170" s="14" t="s">
        <v>1102</v>
      </c>
      <c r="J170" s="14" t="s">
        <v>1103</v>
      </c>
    </row>
    <row r="171" customFormat="false" ht="30" hidden="false" customHeight="true" outlineLevel="0" collapsed="false">
      <c r="A171" s="17" t="s">
        <v>115</v>
      </c>
      <c r="B171" s="81" t="str">
        <f aca="false">'Build-Up'!B15</f>
        <v>Rest and welfare porta cabin, air-conditioned, rental with electricity connection and maintenance</v>
      </c>
      <c r="C171" s="82" t="str">
        <f aca="false">'Build-Up'!C15</f>
        <v>month</v>
      </c>
      <c r="D171" s="22" t="n">
        <f aca="false">'Build-Up'!E15</f>
        <v>2200</v>
      </c>
      <c r="E171" s="83" t="n">
        <v>3</v>
      </c>
      <c r="F171" s="84" t="n">
        <f aca="false">ROUND(E49/$C$15,1)</f>
        <v>4.1</v>
      </c>
      <c r="G171" s="54" t="n">
        <f aca="false">ROUND(H49/$C$15,1)</f>
        <v>4.2</v>
      </c>
      <c r="H171" s="83" t="n">
        <f aca="false">ROUND(F171*D171,2)</f>
        <v>9020</v>
      </c>
      <c r="I171" s="20" t="n">
        <f aca="false">ROUND(G171*D171,2)</f>
        <v>9240</v>
      </c>
      <c r="J171" s="21" t="s">
        <v>1109</v>
      </c>
    </row>
    <row r="172" customFormat="false" ht="30" hidden="false" customHeight="true" outlineLevel="0" collapsed="false">
      <c r="A172" s="17" t="s">
        <v>117</v>
      </c>
      <c r="B172" s="81" t="str">
        <f aca="false">'Build-Up'!B16</f>
        <v>WC unit, rental with servicing</v>
      </c>
      <c r="C172" s="82" t="str">
        <f aca="false">'Build-Up'!C16</f>
        <v>month</v>
      </c>
      <c r="D172" s="22" t="n">
        <f aca="false">'Build-Up'!E16</f>
        <v>1300</v>
      </c>
      <c r="E172" s="83" t="n">
        <v>3</v>
      </c>
      <c r="F172" s="84" t="n">
        <f aca="false">ROUND(E49/$C$15,1)</f>
        <v>4.1</v>
      </c>
      <c r="G172" s="54" t="n">
        <f aca="false">ROUND(H49/$C$15,1)</f>
        <v>4.2</v>
      </c>
      <c r="H172" s="83" t="n">
        <f aca="false">ROUND(F172*D172,2)</f>
        <v>5330</v>
      </c>
      <c r="I172" s="20" t="n">
        <f aca="false">ROUND(G172*D172,2)</f>
        <v>5460</v>
      </c>
      <c r="J172" s="21" t="s">
        <v>1109</v>
      </c>
    </row>
    <row r="173" customFormat="false" ht="30" hidden="false" customHeight="true" outlineLevel="0" collapsed="false">
      <c r="A173" s="17" t="s">
        <v>119</v>
      </c>
      <c r="B173" s="81" t="str">
        <f aca="false">'Build-Up'!B17</f>
        <v>Site water supply - tankered deliveries for welfare and general site use, whole period</v>
      </c>
      <c r="C173" s="82" t="str">
        <f aca="false">'Build-Up'!C17</f>
        <v>delivery</v>
      </c>
      <c r="D173" s="22" t="n">
        <f aca="false">'Build-Up'!E17</f>
        <v>350</v>
      </c>
      <c r="E173" s="83" t="n">
        <v>26</v>
      </c>
      <c r="F173" s="84" t="n">
        <f aca="false">2*ROUNDUP(E49/7,0)</f>
        <v>36</v>
      </c>
      <c r="G173" s="54" t="n">
        <f aca="false">2*ROUNDUP(H49/7,0)</f>
        <v>38</v>
      </c>
      <c r="H173" s="83" t="n">
        <f aca="false">ROUND(F173*D173,2)</f>
        <v>12600</v>
      </c>
      <c r="I173" s="20" t="n">
        <f aca="false">ROUND(G173*D173,2)</f>
        <v>13300</v>
      </c>
      <c r="J173" s="21" t="s">
        <v>1110</v>
      </c>
    </row>
    <row r="174" customFormat="false" ht="30" hidden="false" customHeight="true" outlineLevel="0" collapsed="false">
      <c r="A174" s="17" t="s">
        <v>123</v>
      </c>
      <c r="B174" s="81" t="str">
        <f aca="false">'Build-Up'!B18</f>
        <v>Site water storage tank, hire</v>
      </c>
      <c r="C174" s="82" t="str">
        <f aca="false">'Build-Up'!C18</f>
        <v>month</v>
      </c>
      <c r="D174" s="22" t="n">
        <f aca="false">'Build-Up'!E18</f>
        <v>350</v>
      </c>
      <c r="E174" s="83" t="n">
        <v>3</v>
      </c>
      <c r="F174" s="84" t="n">
        <f aca="false">ROUND(E49/$C$15,1)</f>
        <v>4.1</v>
      </c>
      <c r="G174" s="54" t="n">
        <f aca="false">ROUND(H49/$C$15,1)</f>
        <v>4.2</v>
      </c>
      <c r="H174" s="83" t="n">
        <f aca="false">ROUND(F174*D174,2)</f>
        <v>1435</v>
      </c>
      <c r="I174" s="20" t="n">
        <f aca="false">ROUND(G174*D174,2)</f>
        <v>1470</v>
      </c>
      <c r="J174" s="21" t="s">
        <v>1109</v>
      </c>
    </row>
    <row r="175" customFormat="false" ht="42" hidden="false" customHeight="true" outlineLevel="0" collapsed="false">
      <c r="A175" s="17" t="s">
        <v>125</v>
      </c>
      <c r="B175" s="81" t="str">
        <f aca="false">'Build-Up'!B19</f>
        <v>Storage containers, 2 No. for the panel storage window (RFP Scope of Works, work package 1 - pre-construction and setup: safe storage of panels)</v>
      </c>
      <c r="C175" s="82" t="str">
        <f aca="false">'Build-Up'!C19</f>
        <v>container-month</v>
      </c>
      <c r="D175" s="22" t="n">
        <f aca="false">'Build-Up'!E19</f>
        <v>1200</v>
      </c>
      <c r="E175" s="83" t="n">
        <v>6</v>
      </c>
      <c r="F175" s="84" t="n">
        <f aca="false">2*ROUND(E53/$C$15,1)</f>
        <v>5.6</v>
      </c>
      <c r="G175" s="54" t="n">
        <f aca="false">2*ROUND(H53/$C$15,1)</f>
        <v>5.6</v>
      </c>
      <c r="H175" s="83" t="n">
        <f aca="false">ROUND(F175*D175,2)</f>
        <v>6720</v>
      </c>
      <c r="I175" s="20" t="n">
        <f aca="false">ROUND(G175*D175,2)</f>
        <v>6720</v>
      </c>
      <c r="J175" s="21" t="s">
        <v>1111</v>
      </c>
    </row>
    <row r="176" customFormat="false" ht="54.75" hidden="false" customHeight="true" outlineLevel="0" collapsed="false">
      <c r="A176" s="17" t="s">
        <v>129</v>
      </c>
      <c r="B176" s="81" t="str">
        <f aca="false">'Build-Up'!B20</f>
        <v>Workforce transport to the tank site, daily bus</v>
      </c>
      <c r="C176" s="82" t="str">
        <f aca="false">'Build-Up'!C20</f>
        <v>month</v>
      </c>
      <c r="D176" s="22" t="n">
        <f aca="false">'Build-Up'!E20</f>
        <v>4000</v>
      </c>
      <c r="E176" s="83" t="n">
        <v>3</v>
      </c>
      <c r="F176" s="84" t="n">
        <f aca="false">ROUND(E49/$C$15,1)</f>
        <v>4.1</v>
      </c>
      <c r="G176" s="54" t="n">
        <f aca="false">ROUND(H49/$C$15,1)</f>
        <v>4.2</v>
      </c>
      <c r="H176" s="83" t="n">
        <f aca="false">ROUND(F176*D176,2)</f>
        <v>16400</v>
      </c>
      <c r="I176" s="20" t="n">
        <f aca="false">ROUND(G176*D176,2)</f>
        <v>16800</v>
      </c>
      <c r="J176" s="21" t="s">
        <v>1112</v>
      </c>
    </row>
    <row r="177" customFormat="false" ht="30" hidden="false" customHeight="true" outlineLevel="0" collapsed="false">
      <c r="A177" s="17" t="s">
        <v>132</v>
      </c>
      <c r="B177" s="81" t="str">
        <f aca="false">'Build-Up'!B21</f>
        <v>Watchmen for the tank site - 2 No., nights and rest-day cover</v>
      </c>
      <c r="C177" s="82" t="str">
        <f aca="false">'Build-Up'!C21</f>
        <v>month</v>
      </c>
      <c r="D177" s="22" t="n">
        <f aca="false">'Build-Up'!E21</f>
        <v>9000</v>
      </c>
      <c r="E177" s="83" t="n">
        <v>3</v>
      </c>
      <c r="F177" s="84" t="n">
        <f aca="false">ROUND(E49/$C$15,1)</f>
        <v>4.1</v>
      </c>
      <c r="G177" s="54" t="n">
        <f aca="false">ROUND(H49/$C$15,1)</f>
        <v>4.2</v>
      </c>
      <c r="H177" s="83" t="n">
        <f aca="false">ROUND(F177*D177,2)</f>
        <v>36900</v>
      </c>
      <c r="I177" s="20" t="n">
        <f aca="false">ROUND(G177*D177,2)</f>
        <v>37800</v>
      </c>
      <c r="J177" s="21" t="s">
        <v>1113</v>
      </c>
    </row>
    <row r="178" customFormat="false" ht="30" hidden="false" customHeight="true" outlineLevel="0" collapsed="false">
      <c r="A178" s="17" t="s">
        <v>241</v>
      </c>
      <c r="B178" s="81" t="str">
        <f aca="false">'Build-Up'!B75</f>
        <v>Boom truck (hiab) - offloading and erection support</v>
      </c>
      <c r="C178" s="82" t="str">
        <f aca="false">'Build-Up'!C75</f>
        <v>day</v>
      </c>
      <c r="D178" s="22" t="n">
        <f aca="false">'Build-Up'!E75</f>
        <v>1200</v>
      </c>
      <c r="E178" s="83" t="n">
        <v>50</v>
      </c>
      <c r="F178" s="84" t="n">
        <f aca="false">F153</f>
        <v>48</v>
      </c>
      <c r="G178" s="54" t="n">
        <f aca="false">F153</f>
        <v>48</v>
      </c>
      <c r="H178" s="83" t="n">
        <f aca="false">ROUND(F178*D178,2)</f>
        <v>57600</v>
      </c>
      <c r="I178" s="20" t="n">
        <f aca="false">ROUND(G178*D178,2)</f>
        <v>57600</v>
      </c>
      <c r="J178" s="21" t="s">
        <v>1114</v>
      </c>
    </row>
    <row r="179" customFormat="false" ht="30" hidden="false" customHeight="true" outlineLevel="0" collapsed="false">
      <c r="A179" s="17" t="s">
        <v>244</v>
      </c>
      <c r="B179" s="81" t="str">
        <f aca="false">'Build-Up'!B76</f>
        <v>Telehandler / forklift</v>
      </c>
      <c r="C179" s="82" t="str">
        <f aca="false">'Build-Up'!C76</f>
        <v>day</v>
      </c>
      <c r="D179" s="22" t="n">
        <f aca="false">'Build-Up'!E76</f>
        <v>900</v>
      </c>
      <c r="E179" s="83" t="n">
        <v>50</v>
      </c>
      <c r="F179" s="84" t="n">
        <f aca="false">F147</f>
        <v>64</v>
      </c>
      <c r="G179" s="54" t="n">
        <f aca="false">F147</f>
        <v>64</v>
      </c>
      <c r="H179" s="83" t="n">
        <f aca="false">ROUND(F179*D179,2)</f>
        <v>57600</v>
      </c>
      <c r="I179" s="20" t="n">
        <f aca="false">ROUND(G179*D179,2)</f>
        <v>57600</v>
      </c>
      <c r="J179" s="21" t="s">
        <v>1115</v>
      </c>
    </row>
    <row r="180" customFormat="false" ht="30" hidden="false" customHeight="true" outlineLevel="0" collapsed="false">
      <c r="A180" s="17" t="s">
        <v>251</v>
      </c>
      <c r="B180" s="81" t="str">
        <f aca="false">'Build-Up'!B78</f>
        <v>Mobile aluminium access towers, 2 No. for the access window, whole hire months</v>
      </c>
      <c r="C180" s="82" t="str">
        <f aca="false">'Build-Up'!C78</f>
        <v>tower-month</v>
      </c>
      <c r="D180" s="22" t="n">
        <f aca="false">'Build-Up'!E78</f>
        <v>1800</v>
      </c>
      <c r="E180" s="83" t="n">
        <v>6</v>
      </c>
      <c r="F180" s="84" t="n">
        <f aca="false">2*ROUNDUP(E52/$C$15,0)</f>
        <v>4</v>
      </c>
      <c r="G180" s="54" t="n">
        <f aca="false">2*ROUNDUP(H52/$C$15,0)</f>
        <v>4</v>
      </c>
      <c r="H180" s="83" t="n">
        <f aca="false">ROUND(F180*D180,2)</f>
        <v>7200</v>
      </c>
      <c r="I180" s="20" t="n">
        <f aca="false">ROUND(G180*D180,2)</f>
        <v>7200</v>
      </c>
      <c r="J180" s="21" t="s">
        <v>1116</v>
      </c>
    </row>
    <row r="181" customFormat="false" ht="31.5" hidden="false" customHeight="true" outlineLevel="0" collapsed="false">
      <c r="A181" s="17" t="s">
        <v>257</v>
      </c>
      <c r="B181" s="81" t="str">
        <f aca="false">'Build-Up'!B80</f>
        <v>Podium steps, 2 No. for the access window, whole hire months</v>
      </c>
      <c r="C181" s="82" t="str">
        <f aca="false">'Build-Up'!C80</f>
        <v>unit-month</v>
      </c>
      <c r="D181" s="22" t="n">
        <f aca="false">'Build-Up'!E80</f>
        <v>350</v>
      </c>
      <c r="E181" s="83" t="n">
        <v>6</v>
      </c>
      <c r="F181" s="84" t="n">
        <f aca="false">2*ROUNDUP(E52/$C$15,0)</f>
        <v>4</v>
      </c>
      <c r="G181" s="54" t="n">
        <f aca="false">2*ROUNDUP(H52/$C$15,0)</f>
        <v>4</v>
      </c>
      <c r="H181" s="83" t="n">
        <f aca="false">ROUND(F181*D181,2)</f>
        <v>1400</v>
      </c>
      <c r="I181" s="20" t="n">
        <f aca="false">ROUND(G181*D181,2)</f>
        <v>1400</v>
      </c>
      <c r="J181" s="21" t="s">
        <v>1117</v>
      </c>
    </row>
    <row r="182" customFormat="false" ht="30" hidden="false" customHeight="true" outlineLevel="0" collapsed="false">
      <c r="A182" s="17" t="s">
        <v>260</v>
      </c>
      <c r="B182" s="81" t="str">
        <f aca="false">'Build-Up'!B81</f>
        <v>Generator 100 kVA for the works, daytime running with fuel</v>
      </c>
      <c r="C182" s="82" t="str">
        <f aca="false">'Build-Up'!C81</f>
        <v>month</v>
      </c>
      <c r="D182" s="22" t="n">
        <f aca="false">'Build-Up'!E81</f>
        <v>11000</v>
      </c>
      <c r="E182" s="83" t="n">
        <v>3</v>
      </c>
      <c r="F182" s="84" t="n">
        <f aca="false">ROUND(E50/$C$15,1)</f>
        <v>3.8</v>
      </c>
      <c r="G182" s="54" t="n">
        <f aca="false">ROUND(H50/$C$15,1)</f>
        <v>3.9</v>
      </c>
      <c r="H182" s="83" t="n">
        <f aca="false">ROUND(F182*D182,2)</f>
        <v>41800</v>
      </c>
      <c r="I182" s="20" t="n">
        <f aca="false">ROUND(G182*D182,2)</f>
        <v>42900</v>
      </c>
      <c r="J182" s="21" t="s">
        <v>1118</v>
      </c>
    </row>
    <row r="183" customFormat="false" ht="30" hidden="false" customHeight="true" outlineLevel="0" collapsed="false">
      <c r="A183" s="17" t="s">
        <v>263</v>
      </c>
      <c r="B183" s="81" t="str">
        <f aca="false">'Build-Up'!B82</f>
        <v>Generator 30 kVA for the site office and welfare cabins, continuous running with fuel, whole period</v>
      </c>
      <c r="C183" s="82" t="str">
        <f aca="false">'Build-Up'!C82</f>
        <v>month</v>
      </c>
      <c r="D183" s="22" t="n">
        <f aca="false">'Build-Up'!E82</f>
        <v>8571</v>
      </c>
      <c r="E183" s="83" t="n">
        <v>3</v>
      </c>
      <c r="F183" s="84" t="n">
        <f aca="false">ROUND(E49/$C$15,1)</f>
        <v>4.1</v>
      </c>
      <c r="G183" s="54" t="n">
        <f aca="false">ROUND(H49/$C$15,1)</f>
        <v>4.2</v>
      </c>
      <c r="H183" s="83" t="n">
        <f aca="false">ROUND(F183*D183,2)</f>
        <v>35141.1</v>
      </c>
      <c r="I183" s="20" t="n">
        <f aca="false">ROUND(G183*D183,2)</f>
        <v>35998.2</v>
      </c>
      <c r="J183" s="21" t="s">
        <v>1119</v>
      </c>
    </row>
    <row r="184" customFormat="false" ht="30" hidden="false" customHeight="true" outlineLevel="0" collapsed="false">
      <c r="A184" s="17" t="s">
        <v>266</v>
      </c>
      <c r="B184" s="81" t="str">
        <f aca="false">'Build-Up'!B83</f>
        <v>Site transport, pick-up / flatbed</v>
      </c>
      <c r="C184" s="82" t="str">
        <f aca="false">'Build-Up'!C83</f>
        <v>month</v>
      </c>
      <c r="D184" s="22" t="n">
        <f aca="false">'Build-Up'!E83</f>
        <v>3000</v>
      </c>
      <c r="E184" s="83" t="n">
        <v>3</v>
      </c>
      <c r="F184" s="84" t="n">
        <f aca="false">ROUND(E49/$C$15,1)</f>
        <v>4.1</v>
      </c>
      <c r="G184" s="54" t="n">
        <f aca="false">ROUND(H49/$C$15,1)</f>
        <v>4.2</v>
      </c>
      <c r="H184" s="83" t="n">
        <f aca="false">ROUND(F184*D184,2)</f>
        <v>12300</v>
      </c>
      <c r="I184" s="20" t="n">
        <f aca="false">ROUND(G184*D184,2)</f>
        <v>12600</v>
      </c>
      <c r="J184" s="21" t="s">
        <v>1120</v>
      </c>
    </row>
    <row r="185" customFormat="false" ht="30" hidden="false" customHeight="true" outlineLevel="0" collapsed="false">
      <c r="A185" s="17" t="s">
        <v>269</v>
      </c>
      <c r="B185" s="81" t="str">
        <f aca="false">'Build-Up'!B84</f>
        <v>Contractor's helpers - the approved manpower histogram helper row (85 person-weeks), person-months</v>
      </c>
      <c r="C185" s="82" t="str">
        <f aca="false">'Build-Up'!C84</f>
        <v>person-month</v>
      </c>
      <c r="D185" s="22" t="n">
        <f aca="false">'Build-Up'!E84</f>
        <v>3900</v>
      </c>
      <c r="E185" s="83" t="n">
        <v>15</v>
      </c>
      <c r="F185" s="84" t="n">
        <f aca="false">I85</f>
        <v>19.8</v>
      </c>
      <c r="G185" s="54" t="n">
        <f aca="false">I85</f>
        <v>19.8</v>
      </c>
      <c r="H185" s="83" t="n">
        <f aca="false">ROUND(F185*D185,2)</f>
        <v>77220</v>
      </c>
      <c r="I185" s="20" t="n">
        <f aca="false">ROUND(G185*D185,2)</f>
        <v>77220</v>
      </c>
      <c r="J185" s="21" t="s">
        <v>1121</v>
      </c>
    </row>
    <row r="186" customFormat="false" ht="30" hidden="false" customHeight="true" outlineLevel="0" collapsed="false">
      <c r="A186" s="17" t="s">
        <v>273</v>
      </c>
      <c r="B186" s="81" t="str">
        <f aca="false">'Build-Up'!B85</f>
        <v>Power and hand tools, slings and lifting tackle for the Contractor's helpers - unloading, shifting and attendance</v>
      </c>
      <c r="C186" s="82" t="str">
        <f aca="false">'Build-Up'!C85</f>
        <v>month</v>
      </c>
      <c r="D186" s="22" t="n">
        <f aca="false">'Build-Up'!E85</f>
        <v>2500</v>
      </c>
      <c r="E186" s="83" t="n">
        <v>3</v>
      </c>
      <c r="F186" s="84" t="n">
        <f aca="false">ROUND(E51/$C$15,1)</f>
        <v>2.7</v>
      </c>
      <c r="G186" s="54" t="n">
        <f aca="false">ROUND(H51/$C$15,1)</f>
        <v>2.7</v>
      </c>
      <c r="H186" s="83" t="n">
        <f aca="false">ROUND(F186*D186,2)</f>
        <v>6750</v>
      </c>
      <c r="I186" s="20" t="n">
        <f aca="false">ROUND(G186*D186,2)</f>
        <v>6750</v>
      </c>
      <c r="J186" s="21" t="s">
        <v>1122</v>
      </c>
    </row>
    <row r="187" customFormat="false" ht="30" hidden="false" customHeight="true" outlineLevel="0" collapsed="false">
      <c r="A187" s="17" t="s">
        <v>282</v>
      </c>
      <c r="B187" s="81" t="str">
        <f aca="false">'Build-Up'!B88</f>
        <v>Mobile lighting towers, 2 No. for the erection window</v>
      </c>
      <c r="C187" s="82" t="str">
        <f aca="false">'Build-Up'!C88</f>
        <v>unit-month</v>
      </c>
      <c r="D187" s="22" t="n">
        <f aca="false">'Build-Up'!E88</f>
        <v>1200</v>
      </c>
      <c r="E187" s="83" t="n">
        <v>6</v>
      </c>
      <c r="F187" s="84" t="n">
        <f aca="false">2*ROUND(E51/$C$15,1)</f>
        <v>5.4</v>
      </c>
      <c r="G187" s="54" t="n">
        <f aca="false">2*ROUND(H51/$C$15,1)</f>
        <v>5.4</v>
      </c>
      <c r="H187" s="83" t="n">
        <f aca="false">ROUND(F187*D187,2)</f>
        <v>6480</v>
      </c>
      <c r="I187" s="20" t="n">
        <f aca="false">ROUND(G187*D187,2)</f>
        <v>6480</v>
      </c>
      <c r="J187" s="21" t="s">
        <v>1123</v>
      </c>
    </row>
    <row r="188" customFormat="false" ht="54.75" hidden="false" customHeight="true" outlineLevel="0" collapsed="false">
      <c r="A188" s="17" t="s">
        <v>301</v>
      </c>
      <c r="B188" s="81" t="str">
        <f aca="false">'Build-Up'!B102</f>
        <v>Test water - first tank fill to test level</v>
      </c>
      <c r="C188" s="82" t="str">
        <f aca="false">'Build-Up'!C102</f>
        <v>m3</v>
      </c>
      <c r="D188" s="22" t="n">
        <f aca="false">'Build-Up'!E102</f>
        <v>15</v>
      </c>
      <c r="E188" s="83" t="n">
        <v>3774</v>
      </c>
      <c r="F188" s="83" t="n">
        <f aca="false">2*3774</f>
        <v>7548</v>
      </c>
      <c r="G188" s="23" t="n">
        <f aca="false">3774</f>
        <v>3774</v>
      </c>
      <c r="H188" s="83" t="n">
        <f aca="false">ROUND(F188*D188,2)</f>
        <v>113220</v>
      </c>
      <c r="I188" s="20" t="n">
        <f aca="false">ROUND(G188*D188,2)</f>
        <v>56610</v>
      </c>
      <c r="J188" s="21" t="s">
        <v>1124</v>
      </c>
    </row>
    <row r="189" customFormat="false" ht="30" hidden="false" customHeight="true" outlineLevel="0" collapsed="false">
      <c r="A189" s="17" t="s">
        <v>304</v>
      </c>
      <c r="B189" s="81" t="str">
        <f aca="false">'Build-Up'!B103</f>
        <v>Transfer pump hire - Tank 1 to Tank 2</v>
      </c>
      <c r="C189" s="82" t="str">
        <f aca="false">'Build-Up'!C103</f>
        <v>day</v>
      </c>
      <c r="D189" s="22" t="n">
        <f aca="false">'Build-Up'!E103</f>
        <v>500</v>
      </c>
      <c r="E189" s="83" t="n">
        <v>7</v>
      </c>
      <c r="F189" s="83" t="n">
        <f aca="false">0</f>
        <v>0</v>
      </c>
      <c r="G189" s="54" t="n">
        <f aca="false">H40+H41</f>
        <v>7</v>
      </c>
      <c r="H189" s="83" t="n">
        <f aca="false">ROUND(F189*D189,2)</f>
        <v>0</v>
      </c>
      <c r="I189" s="20" t="n">
        <f aca="false">ROUND(G189*D189,2)</f>
        <v>3500</v>
      </c>
      <c r="J189" s="21" t="s">
        <v>1125</v>
      </c>
    </row>
    <row r="190" customFormat="false" ht="30" hidden="false" customHeight="true" outlineLevel="0" collapsed="false">
      <c r="A190" s="17" t="s">
        <v>307</v>
      </c>
      <c r="B190" s="81" t="str">
        <f aca="false">'Build-Up'!B104</f>
        <v>Transfer hoses and fittings hire</v>
      </c>
      <c r="C190" s="82" t="str">
        <f aca="false">'Build-Up'!C104</f>
        <v>week</v>
      </c>
      <c r="D190" s="22" t="n">
        <f aca="false">'Build-Up'!E104</f>
        <v>1000</v>
      </c>
      <c r="E190" s="83" t="n">
        <v>1</v>
      </c>
      <c r="F190" s="83" t="n">
        <f aca="false">0</f>
        <v>0</v>
      </c>
      <c r="G190" s="23" t="n">
        <f aca="false">1</f>
        <v>1</v>
      </c>
      <c r="H190" s="83" t="n">
        <f aca="false">ROUND(F190*D190,2)</f>
        <v>0</v>
      </c>
      <c r="I190" s="20" t="n">
        <f aca="false">ROUND(G190*D190,2)</f>
        <v>1000</v>
      </c>
      <c r="J190" s="21" t="s">
        <v>1126</v>
      </c>
    </row>
    <row r="191" customFormat="false" ht="42" hidden="false" customHeight="true" outlineLevel="0" collapsed="false">
      <c r="A191" s="17" t="s">
        <v>310</v>
      </c>
      <c r="B191" s="81" t="str">
        <f aca="false">'Build-Up'!B105</f>
        <v>Transfer labour, 2 No. x 3 days</v>
      </c>
      <c r="C191" s="82" t="str">
        <f aca="false">'Build-Up'!C105</f>
        <v>person-day</v>
      </c>
      <c r="D191" s="22" t="n">
        <f aca="false">'Build-Up'!E105</f>
        <v>150</v>
      </c>
      <c r="E191" s="83" t="n">
        <v>6</v>
      </c>
      <c r="F191" s="83" t="n">
        <f aca="false">0</f>
        <v>0</v>
      </c>
      <c r="G191" s="23" t="n">
        <f aca="false">0</f>
        <v>0</v>
      </c>
      <c r="H191" s="83" t="n">
        <f aca="false">ROUND(F191*D191,2)</f>
        <v>0</v>
      </c>
      <c r="I191" s="20" t="n">
        <f aca="false">ROUND(G191*D191,2)</f>
        <v>0</v>
      </c>
      <c r="J191" s="21" t="s">
        <v>1127</v>
      </c>
    </row>
    <row r="192" customFormat="false" ht="54.75" hidden="false" customHeight="true" outlineLevel="0" collapsed="false">
      <c r="A192" s="14" t="s">
        <v>94</v>
      </c>
      <c r="B192" s="14" t="s">
        <v>1097</v>
      </c>
      <c r="C192" s="14" t="s">
        <v>37</v>
      </c>
      <c r="D192" s="14" t="s">
        <v>39</v>
      </c>
      <c r="E192" s="85" t="s">
        <v>1098</v>
      </c>
      <c r="F192" s="85" t="s">
        <v>1099</v>
      </c>
      <c r="G192" s="14" t="s">
        <v>1100</v>
      </c>
      <c r="H192" s="85" t="s">
        <v>1101</v>
      </c>
      <c r="I192" s="14" t="s">
        <v>1102</v>
      </c>
      <c r="J192" s="14" t="s">
        <v>1103</v>
      </c>
    </row>
    <row r="193" customFormat="false" ht="42" hidden="false" customHeight="true" outlineLevel="0" collapsed="false">
      <c r="A193" s="17" t="s">
        <v>313</v>
      </c>
      <c r="B193" s="81" t="str">
        <f aca="false">'Build-Up'!B106</f>
        <v>Top-up water for losses and test level</v>
      </c>
      <c r="C193" s="82" t="str">
        <f aca="false">'Build-Up'!C106</f>
        <v>m3</v>
      </c>
      <c r="D193" s="22" t="n">
        <f aca="false">'Build-Up'!E106</f>
        <v>15</v>
      </c>
      <c r="E193" s="83" t="n">
        <v>377</v>
      </c>
      <c r="F193" s="83" t="n">
        <f aca="false">ROUND(2*3774*0.1,0)</f>
        <v>755</v>
      </c>
      <c r="G193" s="23" t="n">
        <f aca="false">ROUND(3774*0.1,0)</f>
        <v>377</v>
      </c>
      <c r="H193" s="83" t="n">
        <f aca="false">ROUND(F193*D193,2)</f>
        <v>11325</v>
      </c>
      <c r="I193" s="20" t="n">
        <f aca="false">ROUND(G193*D193,2)</f>
        <v>5655</v>
      </c>
      <c r="J193" s="21" t="s">
        <v>1128</v>
      </c>
    </row>
    <row r="194" customFormat="false" ht="118.5" hidden="false" customHeight="true" outlineLevel="0" collapsed="false">
      <c r="A194" s="17" t="s">
        <v>336</v>
      </c>
      <c r="B194" s="81" t="str">
        <f aca="false">'Build-Up'!B114</f>
        <v>Commissioning engineer</v>
      </c>
      <c r="C194" s="82" t="str">
        <f aca="false">'Build-Up'!C114</f>
        <v>day</v>
      </c>
      <c r="D194" s="22" t="n">
        <f aca="false">'Build-Up'!E114</f>
        <v>2000</v>
      </c>
      <c r="E194" s="83" t="n">
        <v>15</v>
      </c>
      <c r="F194" s="84" t="n">
        <f aca="false">E37+1</f>
        <v>8</v>
      </c>
      <c r="G194" s="54" t="n">
        <f aca="false">H43+H45+2</f>
        <v>8</v>
      </c>
      <c r="H194" s="83" t="n">
        <f aca="false">ROUND(F194*D194,2)</f>
        <v>16000</v>
      </c>
      <c r="I194" s="20" t="n">
        <f aca="false">ROUND(G194*D194,2)</f>
        <v>16000</v>
      </c>
      <c r="J194" s="21" t="s">
        <v>1129</v>
      </c>
    </row>
    <row r="195" customFormat="false" ht="42" hidden="false" customHeight="true" outlineLevel="0" collapsed="false">
      <c r="A195" s="17" t="s">
        <v>339</v>
      </c>
      <c r="B195" s="81" t="str">
        <f aca="false">'Build-Up'!B115</f>
        <v>MEP technicians - pump and network interfaces, 2 No. x 6 days (RFP Scope of Works, work package 9 - system integration)</v>
      </c>
      <c r="C195" s="82" t="str">
        <f aca="false">'Build-Up'!C115</f>
        <v>person-day</v>
      </c>
      <c r="D195" s="22" t="n">
        <f aca="false">'Build-Up'!E115</f>
        <v>400</v>
      </c>
      <c r="E195" s="83" t="n">
        <v>20</v>
      </c>
      <c r="F195" s="84" t="n">
        <f aca="false">2*E37</f>
        <v>14</v>
      </c>
      <c r="G195" s="54" t="n">
        <f aca="false">2*(H43+H45)</f>
        <v>12</v>
      </c>
      <c r="H195" s="83" t="n">
        <f aca="false">ROUND(F195*D195,2)</f>
        <v>5600</v>
      </c>
      <c r="I195" s="20" t="n">
        <f aca="false">ROUND(G195*D195,2)</f>
        <v>4800</v>
      </c>
      <c r="J195" s="21" t="s">
        <v>1130</v>
      </c>
    </row>
    <row r="196" customFormat="false" ht="30" hidden="false" customHeight="true" outlineLevel="0" collapsed="false">
      <c r="A196" s="17" t="s">
        <v>344</v>
      </c>
      <c r="B196" s="81" t="str">
        <f aca="false">'Build-Up'!B117</f>
        <v>Integration coordination engineer - tie-ins with the Employer and Engineer</v>
      </c>
      <c r="C196" s="82" t="str">
        <f aca="false">'Build-Up'!C117</f>
        <v>day</v>
      </c>
      <c r="D196" s="22" t="n">
        <f aca="false">'Build-Up'!E117</f>
        <v>1000</v>
      </c>
      <c r="E196" s="83" t="n">
        <v>5</v>
      </c>
      <c r="F196" s="84" t="n">
        <f aca="false">E36+1</f>
        <v>5</v>
      </c>
      <c r="G196" s="54" t="n">
        <f aca="false">H36+1</f>
        <v>5</v>
      </c>
      <c r="H196" s="83" t="n">
        <f aca="false">ROUND(F196*D196,2)</f>
        <v>5000</v>
      </c>
      <c r="I196" s="20" t="n">
        <f aca="false">ROUND(G196*D196,2)</f>
        <v>5000</v>
      </c>
      <c r="J196" s="21" t="s">
        <v>1131</v>
      </c>
    </row>
    <row r="197" customFormat="false" ht="67.5" hidden="false" customHeight="true" outlineLevel="0" collapsed="false">
      <c r="A197" s="17" t="s">
        <v>364</v>
      </c>
      <c r="B197" s="81" t="str">
        <f aca="false">'Build-Up'!B125</f>
        <v>Tank 1 operating volume for the integrated commissioning - tankered fill to about 1 m depth after the test water has gone to Tank 2</v>
      </c>
      <c r="C197" s="82" t="str">
        <f aca="false">'Build-Up'!C125</f>
        <v>m3</v>
      </c>
      <c r="D197" s="22" t="n">
        <f aca="false">'Build-Up'!E125</f>
        <v>15</v>
      </c>
      <c r="E197" s="83" t="n">
        <v>1020</v>
      </c>
      <c r="F197" s="83" t="n">
        <f aca="false">0</f>
        <v>0</v>
      </c>
      <c r="G197" s="23" t="n">
        <f aca="false">34*30*1</f>
        <v>1020</v>
      </c>
      <c r="H197" s="83" t="n">
        <f aca="false">ROUND(F197*D197,2)</f>
        <v>0</v>
      </c>
      <c r="I197" s="20" t="n">
        <f aca="false">ROUND(G197*D197,2)</f>
        <v>15300</v>
      </c>
      <c r="J197" s="21" t="s">
        <v>1132</v>
      </c>
    </row>
    <row r="198" customFormat="false" ht="80.25" hidden="false" customHeight="true" outlineLevel="0" collapsed="false">
      <c r="A198" s="17" t="s">
        <v>358</v>
      </c>
      <c r="B198" s="81" t="str">
        <f aca="false">'Build-Up'!B123</f>
        <v>Tanker and pump standby during filling and test holds</v>
      </c>
      <c r="C198" s="82" t="str">
        <f aca="false">'Build-Up'!C123</f>
        <v>day</v>
      </c>
      <c r="D198" s="22" t="n">
        <f aca="false">'Build-Up'!E123</f>
        <v>500</v>
      </c>
      <c r="E198" s="83" t="n">
        <v>8</v>
      </c>
      <c r="F198" s="83" t="n">
        <f aca="false">4</f>
        <v>4</v>
      </c>
      <c r="G198" s="23" t="n">
        <f aca="false">4</f>
        <v>4</v>
      </c>
      <c r="H198" s="83" t="n">
        <f aca="false">ROUND(F198*D198,2)</f>
        <v>2000</v>
      </c>
      <c r="I198" s="20" t="n">
        <f aca="false">ROUND(G198*D198,2)</f>
        <v>2000</v>
      </c>
      <c r="J198" s="21" t="s">
        <v>1133</v>
      </c>
    </row>
    <row r="199" customFormat="false" ht="29.25" hidden="false" customHeight="true" outlineLevel="0" collapsed="false">
      <c r="A199" s="26"/>
      <c r="B199" s="26" t="s">
        <v>1134</v>
      </c>
      <c r="C199" s="26"/>
      <c r="D199" s="26"/>
      <c r="E199" s="26"/>
      <c r="F199" s="26"/>
      <c r="G199" s="26"/>
      <c r="H199" s="86" t="n">
        <f aca="false">H164+H165+H166+H167+H168+H169+H171+H172+H173+H174+H175+H176+H177</f>
        <v>277825</v>
      </c>
      <c r="I199" s="86" t="n">
        <f aca="false">I164+I165+I166+I167+I168+I169+I171+I172+I173+I174+I175+I176+I177</f>
        <v>276230</v>
      </c>
      <c r="J199" s="21" t="s">
        <v>1135</v>
      </c>
    </row>
    <row r="200" customFormat="false" ht="29.25" hidden="false" customHeight="true" outlineLevel="0" collapsed="false">
      <c r="A200" s="26"/>
      <c r="B200" s="26" t="s">
        <v>1136</v>
      </c>
      <c r="C200" s="26"/>
      <c r="D200" s="26"/>
      <c r="E200" s="26"/>
      <c r="F200" s="26"/>
      <c r="G200" s="26"/>
      <c r="H200" s="86" t="n">
        <f aca="false">H178+H179+H180+H181+H182+H183+H184+H185+H186+H187</f>
        <v>303491.1</v>
      </c>
      <c r="I200" s="86" t="n">
        <f aca="false">I178+I179+I180+I181+I182+I183+I184+I185+I186+I187</f>
        <v>305748.2</v>
      </c>
      <c r="J200" s="21" t="s">
        <v>1137</v>
      </c>
    </row>
    <row r="201" customFormat="false" ht="29.25" hidden="false" customHeight="true" outlineLevel="0" collapsed="false">
      <c r="A201" s="26"/>
      <c r="B201" s="26" t="s">
        <v>1138</v>
      </c>
      <c r="C201" s="26"/>
      <c r="D201" s="26"/>
      <c r="E201" s="26"/>
      <c r="F201" s="26"/>
      <c r="G201" s="26"/>
      <c r="H201" s="86" t="n">
        <f aca="false">H188+H189+H190+H191+H193+H194+H195+H196+H197+H198</f>
        <v>153145</v>
      </c>
      <c r="I201" s="86" t="n">
        <f aca="false">I188+I189+I190+I191+I193+I194+I195+I196+I197+I198</f>
        <v>109865</v>
      </c>
      <c r="J201" s="21" t="s">
        <v>1139</v>
      </c>
    </row>
    <row r="202" customFormat="false" ht="19.5" hidden="false" customHeight="true" outlineLevel="0" collapsed="false">
      <c r="A202" s="26"/>
      <c r="B202" s="26" t="s">
        <v>1140</v>
      </c>
      <c r="C202" s="26"/>
      <c r="D202" s="26"/>
      <c r="E202" s="26"/>
      <c r="F202" s="26"/>
      <c r="G202" s="26"/>
      <c r="H202" s="41" t="n">
        <f aca="false">SUM(H164:H198)</f>
        <v>734461.1</v>
      </c>
      <c r="I202" s="41" t="n">
        <f aca="false">SUM(I164:I198)</f>
        <v>691843.2</v>
      </c>
      <c r="J202" s="21" t="s">
        <v>1141</v>
      </c>
    </row>
    <row r="203" customFormat="false" ht="42" hidden="false" customHeight="true" outlineLevel="0" collapsed="false">
      <c r="A203" s="26"/>
      <c r="B203" s="26" t="s">
        <v>1142</v>
      </c>
      <c r="C203" s="26"/>
      <c r="D203" s="26"/>
      <c r="E203" s="26"/>
      <c r="F203" s="26"/>
      <c r="G203" s="26"/>
      <c r="H203" s="86" t="n">
        <f aca="false">ROUND((Assessment!$K$19-I202+H202)*1.05,2)</f>
        <v>7209516.48</v>
      </c>
      <c r="I203" s="86" t="n">
        <f aca="false">Assessment!$K$21</f>
        <v>7164767.68</v>
      </c>
      <c r="J203" s="21" t="s">
        <v>1143</v>
      </c>
    </row>
    <row r="204" customFormat="false" ht="54.75" hidden="false" customHeight="true" outlineLevel="0" collapsed="false">
      <c r="A204" s="14" t="s">
        <v>94</v>
      </c>
      <c r="B204" s="14" t="s">
        <v>1097</v>
      </c>
      <c r="C204" s="14" t="s">
        <v>37</v>
      </c>
      <c r="D204" s="14" t="s">
        <v>39</v>
      </c>
      <c r="E204" s="14" t="s">
        <v>1098</v>
      </c>
      <c r="F204" s="14" t="s">
        <v>1099</v>
      </c>
      <c r="G204" s="14" t="s">
        <v>1100</v>
      </c>
      <c r="H204" s="14" t="s">
        <v>1101</v>
      </c>
      <c r="I204" s="14" t="s">
        <v>1102</v>
      </c>
      <c r="J204" s="14" t="s">
        <v>1103</v>
      </c>
    </row>
    <row r="205" customFormat="false" ht="19.5" hidden="false" customHeight="true" outlineLevel="0" collapsed="false">
      <c r="A205" s="26"/>
      <c r="B205" s="26" t="s">
        <v>1144</v>
      </c>
      <c r="C205" s="26"/>
      <c r="D205" s="26"/>
      <c r="E205" s="26"/>
      <c r="F205" s="26"/>
      <c r="G205" s="26"/>
      <c r="H205" s="26"/>
      <c r="I205" s="26"/>
      <c r="J205" s="26"/>
    </row>
    <row r="206" customFormat="false" ht="80.25" hidden="false" customHeight="true" outlineLevel="0" collapsed="false">
      <c r="A206" s="19" t="s">
        <v>1145</v>
      </c>
      <c r="B206" s="18" t="s">
        <v>1146</v>
      </c>
      <c r="C206" s="19" t="s">
        <v>144</v>
      </c>
      <c r="D206" s="22" t="n">
        <f aca="false">'Build-Up'!E51</f>
        <v>250</v>
      </c>
      <c r="E206" s="20" t="s">
        <v>774</v>
      </c>
      <c r="F206" s="20" t="s">
        <v>774</v>
      </c>
      <c r="G206" s="22" t="n">
        <f aca="false">E142*6</f>
        <v>816</v>
      </c>
      <c r="H206" s="20" t="s">
        <v>774</v>
      </c>
      <c r="I206" s="20" t="n">
        <f aca="false">ROUND(G206*D206,2)</f>
        <v>204000</v>
      </c>
      <c r="J206" s="21" t="s">
        <v>1147</v>
      </c>
    </row>
    <row r="207" customFormat="false" ht="67.5" hidden="false" customHeight="true" outlineLevel="0" collapsed="false">
      <c r="A207" s="19" t="s">
        <v>1148</v>
      </c>
      <c r="B207" s="18" t="s">
        <v>1149</v>
      </c>
      <c r="C207" s="19" t="s">
        <v>271</v>
      </c>
      <c r="D207" s="22" t="n">
        <f aca="false">'Build-Up'!E84</f>
        <v>3900</v>
      </c>
      <c r="E207" s="20" t="s">
        <v>774</v>
      </c>
      <c r="F207" s="20" t="s">
        <v>774</v>
      </c>
      <c r="G207" s="87" t="n">
        <f aca="false">-ROUND((H65+H66+H67)/26,1)</f>
        <v>-3</v>
      </c>
      <c r="H207" s="20" t="s">
        <v>774</v>
      </c>
      <c r="I207" s="88" t="n">
        <f aca="false">ROUND(G207*D207,2)</f>
        <v>-11700</v>
      </c>
      <c r="J207" s="21" t="s">
        <v>1150</v>
      </c>
    </row>
    <row r="208" customFormat="false" ht="80.25" hidden="false" customHeight="true" outlineLevel="0" collapsed="false">
      <c r="A208" s="19" t="s">
        <v>1151</v>
      </c>
      <c r="B208" s="18" t="s">
        <v>1152</v>
      </c>
      <c r="C208" s="19" t="s">
        <v>217</v>
      </c>
      <c r="D208" s="22" t="n">
        <f aca="false">'Build-Up'!E102</f>
        <v>15</v>
      </c>
      <c r="E208" s="20" t="s">
        <v>774</v>
      </c>
      <c r="F208" s="20" t="s">
        <v>774</v>
      </c>
      <c r="G208" s="22" t="n">
        <f aca="false">'Build-Up'!D102-'Build-Up'!D125</f>
        <v>2754</v>
      </c>
      <c r="H208" s="20" t="s">
        <v>774</v>
      </c>
      <c r="I208" s="22" t="n">
        <f aca="false">ROUND(G208*D208,2)+4*'Build-Up'!E123+8*'Build-Up'!E24</f>
        <v>44510</v>
      </c>
      <c r="J208" s="21" t="s">
        <v>1153</v>
      </c>
    </row>
    <row r="209" customFormat="false" ht="42" hidden="false" customHeight="true" outlineLevel="0" collapsed="false">
      <c r="A209" s="19" t="s">
        <v>1154</v>
      </c>
      <c r="B209" s="18" t="s">
        <v>1155</v>
      </c>
      <c r="C209" s="19" t="s">
        <v>165</v>
      </c>
      <c r="D209" s="22" t="n">
        <f aca="false">'Build-Up'!E76</f>
        <v>900</v>
      </c>
      <c r="E209" s="20" t="s">
        <v>774</v>
      </c>
      <c r="F209" s="20" t="s">
        <v>774</v>
      </c>
      <c r="G209" s="20" t="n">
        <v>11</v>
      </c>
      <c r="H209" s="20" t="s">
        <v>774</v>
      </c>
      <c r="I209" s="20" t="n">
        <f aca="false">ROUND(G209*D209,2)</f>
        <v>9900</v>
      </c>
      <c r="J209" s="21" t="s">
        <v>1156</v>
      </c>
    </row>
    <row r="211" customFormat="false" ht="21" hidden="false" customHeight="true" outlineLevel="0" collapsed="false">
      <c r="A211" s="16" t="s">
        <v>1157</v>
      </c>
      <c r="B211" s="16"/>
      <c r="C211" s="16"/>
      <c r="D211" s="16"/>
      <c r="E211" s="16"/>
      <c r="F211" s="16"/>
      <c r="G211" s="16"/>
      <c r="H211" s="16"/>
      <c r="I211" s="16"/>
      <c r="J211" s="16"/>
    </row>
    <row r="212" customFormat="false" ht="40.5" hidden="false" customHeight="true" outlineLevel="0" collapsed="false">
      <c r="A212" s="12" t="s">
        <v>1158</v>
      </c>
      <c r="B212" s="12"/>
      <c r="C212" s="12"/>
      <c r="D212" s="12"/>
      <c r="E212" s="12"/>
      <c r="F212" s="12"/>
      <c r="G212" s="12"/>
      <c r="H212" s="12"/>
      <c r="I212" s="12"/>
      <c r="J212" s="12"/>
    </row>
    <row r="213" customFormat="false" ht="67.5" hidden="false" customHeight="true" outlineLevel="0" collapsed="false">
      <c r="A213" s="14" t="s">
        <v>94</v>
      </c>
      <c r="B213" s="14" t="s">
        <v>1159</v>
      </c>
      <c r="C213" s="14" t="s">
        <v>1160</v>
      </c>
      <c r="D213" s="14"/>
      <c r="E213" s="14" t="s">
        <v>1161</v>
      </c>
      <c r="F213" s="14"/>
      <c r="G213" s="14" t="s">
        <v>1162</v>
      </c>
      <c r="H213" s="14"/>
      <c r="I213" s="14" t="s">
        <v>1163</v>
      </c>
      <c r="J213" s="14" t="s">
        <v>465</v>
      </c>
    </row>
    <row r="214" customFormat="false" ht="54.75" hidden="false" customHeight="true" outlineLevel="0" collapsed="false">
      <c r="A214" s="17" t="s">
        <v>96</v>
      </c>
      <c r="B214" s="81" t="str">
        <f aca="false">'Build-Up'!B9</f>
        <v>Site engineer - dedicated to the tank site</v>
      </c>
      <c r="C214" s="21" t="s">
        <v>1164</v>
      </c>
      <c r="D214" s="21"/>
      <c r="E214" s="21" t="s">
        <v>1165</v>
      </c>
      <c r="F214" s="21"/>
      <c r="G214" s="21" t="s">
        <v>1166</v>
      </c>
      <c r="H214" s="21"/>
      <c r="I214" s="21" t="s">
        <v>1167</v>
      </c>
      <c r="J214" s="22" t="n">
        <f aca="false">'Build-Up'!F9</f>
        <v>50400</v>
      </c>
    </row>
    <row r="215" customFormat="false" ht="42" hidden="false" customHeight="true" outlineLevel="0" collapsed="false">
      <c r="A215" s="17" t="s">
        <v>100</v>
      </c>
      <c r="B215" s="81" t="str">
        <f aca="false">'Build-Up'!B10</f>
        <v>HSE officer - dedicated</v>
      </c>
      <c r="C215" s="21" t="s">
        <v>1168</v>
      </c>
      <c r="D215" s="21"/>
      <c r="E215" s="21" t="s">
        <v>1169</v>
      </c>
      <c r="F215" s="21"/>
      <c r="G215" s="21" t="s">
        <v>1166</v>
      </c>
      <c r="H215" s="21"/>
      <c r="I215" s="21" t="s">
        <v>72</v>
      </c>
      <c r="J215" s="22" t="n">
        <f aca="false">'Build-Up'!F10</f>
        <v>42000</v>
      </c>
    </row>
    <row r="216" customFormat="false" ht="42" hidden="false" customHeight="true" outlineLevel="0" collapsed="false">
      <c r="A216" s="17" t="s">
        <v>103</v>
      </c>
      <c r="B216" s="81" t="str">
        <f aca="false">'Build-Up'!B11</f>
        <v>QA/QC inspector - dedicated (daily inspections, ITPs and WIRs during erection)</v>
      </c>
      <c r="C216" s="89" t="s">
        <v>1170</v>
      </c>
      <c r="D216" s="89"/>
      <c r="E216" s="21" t="s">
        <v>1171</v>
      </c>
      <c r="F216" s="21"/>
      <c r="G216" s="21" t="s">
        <v>1172</v>
      </c>
      <c r="H216" s="21"/>
      <c r="I216" s="21" t="s">
        <v>72</v>
      </c>
      <c r="J216" s="22" t="n">
        <f aca="false">'Build-Up'!F11</f>
        <v>37000</v>
      </c>
    </row>
    <row r="217" customFormat="false" ht="42" hidden="false" customHeight="true" outlineLevel="0" collapsed="false">
      <c r="A217" s="17" t="s">
        <v>106</v>
      </c>
      <c r="B217" s="81" t="str">
        <f aca="false">'Build-Up'!B12</f>
        <v>Works foreman - dedicated</v>
      </c>
      <c r="C217" s="21" t="s">
        <v>1173</v>
      </c>
      <c r="D217" s="21"/>
      <c r="E217" s="21" t="s">
        <v>1174</v>
      </c>
      <c r="F217" s="21"/>
      <c r="G217" s="21" t="s">
        <v>1166</v>
      </c>
      <c r="H217" s="21"/>
      <c r="I217" s="21" t="s">
        <v>1175</v>
      </c>
      <c r="J217" s="22" t="n">
        <f aca="false">'Build-Up'!F12</f>
        <v>33600</v>
      </c>
    </row>
    <row r="218" customFormat="false" ht="30" hidden="false" customHeight="true" outlineLevel="0" collapsed="false">
      <c r="A218" s="17" t="s">
        <v>109</v>
      </c>
      <c r="B218" s="81" t="str">
        <f aca="false">'Build-Up'!B13</f>
        <v>Storekeeper / timekeeper</v>
      </c>
      <c r="C218" s="89" t="s">
        <v>1176</v>
      </c>
      <c r="D218" s="89"/>
      <c r="E218" s="21" t="s">
        <v>1177</v>
      </c>
      <c r="F218" s="21"/>
      <c r="G218" s="21" t="s">
        <v>1178</v>
      </c>
      <c r="H218" s="21"/>
      <c r="I218" s="21" t="s">
        <v>72</v>
      </c>
      <c r="J218" s="22" t="n">
        <f aca="false">'Build-Up'!F13</f>
        <v>13200</v>
      </c>
    </row>
    <row r="219" customFormat="false" ht="42" hidden="false" customHeight="true" outlineLevel="0" collapsed="false">
      <c r="A219" s="17" t="s">
        <v>112</v>
      </c>
      <c r="B219" s="81" t="str">
        <f aca="false">'Build-Up'!B14</f>
        <v>Site office porta cabin, air-conditioned, rental with electricity connection and maintenance</v>
      </c>
      <c r="C219" s="89" t="s">
        <v>1179</v>
      </c>
      <c r="D219" s="89"/>
      <c r="E219" s="21" t="s">
        <v>1180</v>
      </c>
      <c r="F219" s="21"/>
      <c r="G219" s="21" t="s">
        <v>1181</v>
      </c>
      <c r="H219" s="21"/>
      <c r="I219" s="21" t="s">
        <v>72</v>
      </c>
      <c r="J219" s="22" t="n">
        <f aca="false">'Build-Up'!F14</f>
        <v>9240</v>
      </c>
    </row>
    <row r="220" customFormat="false" ht="42" hidden="false" customHeight="true" outlineLevel="0" collapsed="false">
      <c r="A220" s="17" t="s">
        <v>115</v>
      </c>
      <c r="B220" s="81" t="str">
        <f aca="false">'Build-Up'!B15</f>
        <v>Rest and welfare porta cabin, air-conditioned, rental with electricity connection and maintenance</v>
      </c>
      <c r="C220" s="89" t="s">
        <v>1179</v>
      </c>
      <c r="D220" s="89"/>
      <c r="E220" s="21" t="s">
        <v>1182</v>
      </c>
      <c r="F220" s="21"/>
      <c r="G220" s="21" t="s">
        <v>1181</v>
      </c>
      <c r="H220" s="21"/>
      <c r="I220" s="21" t="s">
        <v>72</v>
      </c>
      <c r="J220" s="22" t="n">
        <f aca="false">'Build-Up'!F15</f>
        <v>9240</v>
      </c>
    </row>
    <row r="221" customFormat="false" ht="42" hidden="false" customHeight="true" outlineLevel="0" collapsed="false">
      <c r="A221" s="17" t="s">
        <v>117</v>
      </c>
      <c r="B221" s="81" t="str">
        <f aca="false">'Build-Up'!B16</f>
        <v>WC unit, rental with servicing</v>
      </c>
      <c r="C221" s="89" t="s">
        <v>1179</v>
      </c>
      <c r="D221" s="89"/>
      <c r="E221" s="21" t="s">
        <v>1183</v>
      </c>
      <c r="F221" s="21"/>
      <c r="G221" s="21" t="s">
        <v>1184</v>
      </c>
      <c r="H221" s="21"/>
      <c r="I221" s="21" t="s">
        <v>72</v>
      </c>
      <c r="J221" s="22" t="n">
        <f aca="false">'Build-Up'!F16</f>
        <v>5460</v>
      </c>
    </row>
    <row r="222" customFormat="false" ht="42" hidden="false" customHeight="true" outlineLevel="0" collapsed="false">
      <c r="A222" s="17" t="s">
        <v>119</v>
      </c>
      <c r="B222" s="81" t="str">
        <f aca="false">'Build-Up'!B17</f>
        <v>Site water supply - tankered deliveries for welfare and general site use, whole period</v>
      </c>
      <c r="C222" s="89" t="s">
        <v>1179</v>
      </c>
      <c r="D222" s="89"/>
      <c r="E222" s="21" t="s">
        <v>1185</v>
      </c>
      <c r="F222" s="21"/>
      <c r="G222" s="21" t="s">
        <v>1186</v>
      </c>
      <c r="H222" s="21"/>
      <c r="I222" s="21" t="s">
        <v>1187</v>
      </c>
      <c r="J222" s="22" t="n">
        <f aca="false">'Build-Up'!F17</f>
        <v>13300</v>
      </c>
    </row>
    <row r="223" customFormat="false" ht="42" hidden="false" customHeight="true" outlineLevel="0" collapsed="false">
      <c r="A223" s="17" t="s">
        <v>123</v>
      </c>
      <c r="B223" s="81" t="str">
        <f aca="false">'Build-Up'!B18</f>
        <v>Site water storage tank, hire</v>
      </c>
      <c r="C223" s="89" t="s">
        <v>1179</v>
      </c>
      <c r="D223" s="89"/>
      <c r="E223" s="21" t="s">
        <v>1188</v>
      </c>
      <c r="F223" s="21"/>
      <c r="G223" s="21" t="s">
        <v>1181</v>
      </c>
      <c r="H223" s="21"/>
      <c r="I223" s="21" t="s">
        <v>72</v>
      </c>
      <c r="J223" s="22" t="n">
        <f aca="false">'Build-Up'!F18</f>
        <v>1470</v>
      </c>
    </row>
    <row r="224" customFormat="false" ht="67.5" hidden="false" customHeight="true" outlineLevel="0" collapsed="false">
      <c r="A224" s="17" t="s">
        <v>125</v>
      </c>
      <c r="B224" s="81" t="str">
        <f aca="false">'Build-Up'!B19</f>
        <v>Storage containers, 2 No. for the panel storage window (RFP Scope of Works, work package 1 - pre-construction and setup: safe storage of panels)</v>
      </c>
      <c r="C224" s="89" t="s">
        <v>1189</v>
      </c>
      <c r="D224" s="89"/>
      <c r="E224" s="21" t="s">
        <v>1190</v>
      </c>
      <c r="F224" s="21"/>
      <c r="G224" s="21" t="s">
        <v>1191</v>
      </c>
      <c r="H224" s="21"/>
      <c r="I224" s="21" t="s">
        <v>1192</v>
      </c>
      <c r="J224" s="22" t="n">
        <f aca="false">'Build-Up'!F19</f>
        <v>6720</v>
      </c>
    </row>
    <row r="225" customFormat="false" ht="42" hidden="false" customHeight="true" outlineLevel="0" collapsed="false">
      <c r="A225" s="17" t="s">
        <v>129</v>
      </c>
      <c r="B225" s="81" t="str">
        <f aca="false">'Build-Up'!B20</f>
        <v>Workforce transport to the tank site, daily bus</v>
      </c>
      <c r="C225" s="89" t="s">
        <v>1179</v>
      </c>
      <c r="D225" s="89"/>
      <c r="E225" s="21" t="s">
        <v>1193</v>
      </c>
      <c r="F225" s="21"/>
      <c r="G225" s="21" t="s">
        <v>1194</v>
      </c>
      <c r="H225" s="21"/>
      <c r="I225" s="21" t="s">
        <v>72</v>
      </c>
      <c r="J225" s="22" t="n">
        <f aca="false">'Build-Up'!F20</f>
        <v>16800</v>
      </c>
    </row>
    <row r="226" customFormat="false" ht="54.75" hidden="false" customHeight="true" outlineLevel="0" collapsed="false">
      <c r="A226" s="17" t="s">
        <v>132</v>
      </c>
      <c r="B226" s="81" t="str">
        <f aca="false">'Build-Up'!B21</f>
        <v>Watchmen for the tank site - 2 No., nights and rest-day cover</v>
      </c>
      <c r="C226" s="89" t="s">
        <v>1179</v>
      </c>
      <c r="D226" s="89"/>
      <c r="E226" s="21" t="s">
        <v>1195</v>
      </c>
      <c r="F226" s="21"/>
      <c r="G226" s="21" t="s">
        <v>1196</v>
      </c>
      <c r="H226" s="21"/>
      <c r="I226" s="21" t="s">
        <v>72</v>
      </c>
      <c r="J226" s="22" t="n">
        <f aca="false">'Build-Up'!F21</f>
        <v>37800</v>
      </c>
    </row>
    <row r="227" customFormat="false" ht="67.5" hidden="false" customHeight="true" outlineLevel="0" collapsed="false">
      <c r="A227" s="14" t="s">
        <v>94</v>
      </c>
      <c r="B227" s="14" t="s">
        <v>1159</v>
      </c>
      <c r="C227" s="14" t="s">
        <v>1160</v>
      </c>
      <c r="D227" s="14"/>
      <c r="E227" s="14" t="s">
        <v>1161</v>
      </c>
      <c r="F227" s="14"/>
      <c r="G227" s="14" t="s">
        <v>1162</v>
      </c>
      <c r="H227" s="14"/>
      <c r="I227" s="14" t="s">
        <v>1163</v>
      </c>
      <c r="J227" s="14" t="s">
        <v>465</v>
      </c>
    </row>
    <row r="228" customFormat="false" ht="93" hidden="false" customHeight="true" outlineLevel="0" collapsed="false">
      <c r="A228" s="17" t="s">
        <v>135</v>
      </c>
      <c r="B228" s="81" t="str">
        <f aca="false">'Build-Up'!B22</f>
        <v>Mobilisation - flatbed trips delivering cabins, containers and small plant</v>
      </c>
      <c r="C228" s="89" t="s">
        <v>1197</v>
      </c>
      <c r="D228" s="89"/>
      <c r="E228" s="21" t="s">
        <v>1198</v>
      </c>
      <c r="F228" s="21"/>
      <c r="G228" s="21" t="s">
        <v>1199</v>
      </c>
      <c r="H228" s="21"/>
      <c r="I228" s="21" t="s">
        <v>1200</v>
      </c>
      <c r="J228" s="22" t="n">
        <f aca="false">'Build-Up'!F22</f>
        <v>6250</v>
      </c>
    </row>
    <row r="229" customFormat="false" ht="30" hidden="false" customHeight="true" outlineLevel="0" collapsed="false">
      <c r="A229" s="17" t="s">
        <v>139</v>
      </c>
      <c r="B229" s="81" t="str">
        <f aca="false">'Build-Up'!B23</f>
        <v>Demobilisation - flatbed trips removing cabins, containers and small plant</v>
      </c>
      <c r="C229" s="89" t="s">
        <v>1201</v>
      </c>
      <c r="D229" s="89"/>
      <c r="E229" s="21" t="s">
        <v>1202</v>
      </c>
      <c r="F229" s="21"/>
      <c r="G229" s="21" t="s">
        <v>1199</v>
      </c>
      <c r="H229" s="21"/>
      <c r="I229" s="21" t="s">
        <v>72</v>
      </c>
      <c r="J229" s="22" t="n">
        <f aca="false">'Build-Up'!F23</f>
        <v>6250</v>
      </c>
    </row>
    <row r="230" customFormat="false" ht="54.75" hidden="false" customHeight="true" outlineLevel="0" collapsed="false">
      <c r="A230" s="17" t="s">
        <v>142</v>
      </c>
      <c r="B230" s="81" t="str">
        <f aca="false">'Build-Up'!B24</f>
        <v>Site clean-up on demobilisation, 4 No. x 3 days</v>
      </c>
      <c r="C230" s="89" t="s">
        <v>1203</v>
      </c>
      <c r="D230" s="89"/>
      <c r="E230" s="21" t="s">
        <v>1204</v>
      </c>
      <c r="F230" s="21"/>
      <c r="G230" s="21" t="s">
        <v>1205</v>
      </c>
      <c r="H230" s="21"/>
      <c r="I230" s="21" t="s">
        <v>1206</v>
      </c>
      <c r="J230" s="22" t="n">
        <f aca="false">'Build-Up'!F24</f>
        <v>1800</v>
      </c>
    </row>
    <row r="231" customFormat="false" ht="54.75" hidden="false" customHeight="true" outlineLevel="0" collapsed="false">
      <c r="A231" s="17" t="s">
        <v>146</v>
      </c>
      <c r="B231" s="81" t="str">
        <f aca="false">'Build-Up'!B25</f>
        <v>Insurance endorsement - extension of the Contractor's All Risks and third-party liability cover to the tank site</v>
      </c>
      <c r="C231" s="21" t="s">
        <v>1207</v>
      </c>
      <c r="D231" s="21"/>
      <c r="E231" s="21" t="s">
        <v>1208</v>
      </c>
      <c r="F231" s="21"/>
      <c r="G231" s="21" t="s">
        <v>1209</v>
      </c>
      <c r="H231" s="21"/>
      <c r="I231" s="21" t="s">
        <v>72</v>
      </c>
      <c r="J231" s="22" t="n">
        <f aca="false">'Build-Up'!F25</f>
        <v>14299.51</v>
      </c>
    </row>
    <row r="232" customFormat="false" ht="87.75" hidden="false" customHeight="true" outlineLevel="0" collapsed="false">
      <c r="A232" s="17" t="s">
        <v>150</v>
      </c>
      <c r="B232" s="81" t="str">
        <f aca="false">'Build-Up'!B26</f>
        <v>Personal protective equipment, full sets</v>
      </c>
      <c r="C232" s="21" t="s">
        <v>1210</v>
      </c>
      <c r="D232" s="21"/>
      <c r="E232" s="21" t="s">
        <v>1211</v>
      </c>
      <c r="F232" s="21"/>
      <c r="G232" s="21" t="s">
        <v>1212</v>
      </c>
      <c r="H232" s="21"/>
      <c r="I232" s="21" t="s">
        <v>1213</v>
      </c>
      <c r="J232" s="22" t="n">
        <f aca="false">'Build-Up'!F26</f>
        <v>7000</v>
      </c>
    </row>
    <row r="233" customFormat="false" ht="42" hidden="false" customHeight="true" outlineLevel="0" collapsed="false">
      <c r="A233" s="17" t="s">
        <v>153</v>
      </c>
      <c r="B233" s="81" t="str">
        <f aca="false">'Build-Up'!B27</f>
        <v>Site safety signage and notice boards</v>
      </c>
      <c r="C233" s="21" t="s">
        <v>1214</v>
      </c>
      <c r="D233" s="21"/>
      <c r="E233" s="21" t="s">
        <v>1215</v>
      </c>
      <c r="F233" s="21"/>
      <c r="G233" s="21" t="s">
        <v>1216</v>
      </c>
      <c r="H233" s="21"/>
      <c r="I233" s="21" t="s">
        <v>72</v>
      </c>
      <c r="J233" s="22" t="n">
        <f aca="false">'Build-Up'!F27</f>
        <v>1800</v>
      </c>
    </row>
    <row r="234" customFormat="false" ht="30" hidden="false" customHeight="true" outlineLevel="0" collapsed="false">
      <c r="A234" s="17" t="s">
        <v>156</v>
      </c>
      <c r="B234" s="81" t="str">
        <f aca="false">'Build-Up'!B28</f>
        <v>Work-zone traffic signs up to 0.5 m2, supplied, installed, maintained and removed</v>
      </c>
      <c r="C234" s="21" t="s">
        <v>1217</v>
      </c>
      <c r="D234" s="21"/>
      <c r="E234" s="21" t="s">
        <v>1218</v>
      </c>
      <c r="F234" s="21"/>
      <c r="G234" s="21" t="s">
        <v>1219</v>
      </c>
      <c r="H234" s="21"/>
      <c r="I234" s="21" t="s">
        <v>72</v>
      </c>
      <c r="J234" s="22" t="n">
        <f aca="false">'Build-Up'!F28</f>
        <v>17755.56</v>
      </c>
    </row>
    <row r="235" customFormat="false" ht="30" hidden="false" customHeight="true" outlineLevel="0" collapsed="false">
      <c r="A235" s="17" t="s">
        <v>159</v>
      </c>
      <c r="B235" s="81" t="str">
        <f aca="false">'Build-Up'!B29</f>
        <v>Concrete Jersey barriers - temporary hire for the works period, delivered, placed and removed</v>
      </c>
      <c r="C235" s="21" t="s">
        <v>1220</v>
      </c>
      <c r="D235" s="21"/>
      <c r="E235" s="21" t="s">
        <v>1221</v>
      </c>
      <c r="F235" s="21"/>
      <c r="G235" s="21" t="s">
        <v>1222</v>
      </c>
      <c r="H235" s="21"/>
      <c r="I235" s="21" t="s">
        <v>72</v>
      </c>
      <c r="J235" s="22" t="n">
        <f aca="false">'Build-Up'!F29</f>
        <v>10000</v>
      </c>
    </row>
    <row r="236" customFormat="false" ht="67.5" hidden="false" customHeight="true" outlineLevel="0" collapsed="false">
      <c r="A236" s="17" t="s">
        <v>163</v>
      </c>
      <c r="B236" s="81" t="str">
        <f aca="false">'Build-Up'!B30</f>
        <v>Close-out at the tank site after demobilisation - completion inspection, correction list and warranties collation - site engineer</v>
      </c>
      <c r="C236" s="89" t="s">
        <v>1223</v>
      </c>
      <c r="D236" s="89"/>
      <c r="E236" s="21" t="s">
        <v>1224</v>
      </c>
      <c r="F236" s="21"/>
      <c r="G236" s="21" t="s">
        <v>1225</v>
      </c>
      <c r="H236" s="21"/>
      <c r="I236" s="21" t="s">
        <v>1226</v>
      </c>
      <c r="J236" s="22" t="n">
        <f aca="false">'Build-Up'!F30</f>
        <v>1650</v>
      </c>
    </row>
    <row r="237" customFormat="false" ht="54.75" hidden="false" customHeight="true" outlineLevel="0" collapsed="false">
      <c r="A237" s="17" t="s">
        <v>167</v>
      </c>
      <c r="B237" s="81" t="str">
        <f aca="false">'Build-Up'!B31</f>
        <v>Close-out at the tank site - document controller</v>
      </c>
      <c r="C237" s="89" t="s">
        <v>1227</v>
      </c>
      <c r="D237" s="89"/>
      <c r="E237" s="21" t="s">
        <v>1228</v>
      </c>
      <c r="F237" s="21"/>
      <c r="G237" s="21" t="s">
        <v>1229</v>
      </c>
      <c r="H237" s="21"/>
      <c r="I237" s="21" t="s">
        <v>1230</v>
      </c>
      <c r="J237" s="22" t="n">
        <f aca="false">'Build-Up'!F31</f>
        <v>2000</v>
      </c>
    </row>
    <row r="238" customFormat="false" ht="54.75" hidden="false" customHeight="true" outlineLevel="0" collapsed="false">
      <c r="A238" s="17" t="s">
        <v>173</v>
      </c>
      <c r="B238" s="81" t="str">
        <f aca="false">'Build-Up'!B37</f>
        <v>Design engineer - design coordination and review of the supplier's calculations, method statements and ITPs</v>
      </c>
      <c r="C238" s="89" t="s">
        <v>1231</v>
      </c>
      <c r="D238" s="89"/>
      <c r="E238" s="21" t="s">
        <v>1232</v>
      </c>
      <c r="F238" s="21"/>
      <c r="G238" s="21" t="s">
        <v>1233</v>
      </c>
      <c r="H238" s="21"/>
      <c r="I238" s="21" t="s">
        <v>1234</v>
      </c>
      <c r="J238" s="22" t="n">
        <f aca="false">'Build-Up'!F37</f>
        <v>30000</v>
      </c>
    </row>
    <row r="239" customFormat="false" ht="54.75" hidden="false" customHeight="true" outlineLevel="0" collapsed="false">
      <c r="A239" s="17" t="s">
        <v>176</v>
      </c>
      <c r="B239" s="81" t="str">
        <f aca="false">'Build-Up'!B38</f>
        <v>CAD draughtsman - shop drawings and design-stage submittals</v>
      </c>
      <c r="C239" s="89" t="s">
        <v>1235</v>
      </c>
      <c r="D239" s="89"/>
      <c r="E239" s="21" t="s">
        <v>1236</v>
      </c>
      <c r="F239" s="21"/>
      <c r="G239" s="21" t="s">
        <v>1237</v>
      </c>
      <c r="H239" s="21"/>
      <c r="I239" s="21" t="s">
        <v>1238</v>
      </c>
      <c r="J239" s="22" t="n">
        <f aca="false">'Build-Up'!F38</f>
        <v>12000</v>
      </c>
    </row>
    <row r="240" customFormat="false" ht="67.5" hidden="false" customHeight="true" outlineLevel="0" collapsed="false">
      <c r="A240" s="17" t="s">
        <v>179</v>
      </c>
      <c r="B240" s="81" t="str">
        <f aca="false">'Build-Up'!B39</f>
        <v>Dimensional and verticality survey of the erected tanks and as-built pick-up - 2-man crew with instrument</v>
      </c>
      <c r="C240" s="89" t="s">
        <v>1239</v>
      </c>
      <c r="D240" s="89"/>
      <c r="E240" s="21" t="s">
        <v>1240</v>
      </c>
      <c r="F240" s="21"/>
      <c r="G240" s="21" t="s">
        <v>1241</v>
      </c>
      <c r="H240" s="21"/>
      <c r="I240" s="21" t="s">
        <v>72</v>
      </c>
      <c r="J240" s="22" t="n">
        <f aca="false">'Build-Up'!F39</f>
        <v>9000</v>
      </c>
    </row>
    <row r="241" customFormat="false" ht="67.5" hidden="false" customHeight="true" outlineLevel="0" collapsed="false">
      <c r="A241" s="14" t="s">
        <v>94</v>
      </c>
      <c r="B241" s="14" t="s">
        <v>1159</v>
      </c>
      <c r="C241" s="14" t="s">
        <v>1160</v>
      </c>
      <c r="D241" s="14"/>
      <c r="E241" s="14" t="s">
        <v>1161</v>
      </c>
      <c r="F241" s="14"/>
      <c r="G241" s="14" t="s">
        <v>1162</v>
      </c>
      <c r="H241" s="14"/>
      <c r="I241" s="14" t="s">
        <v>1163</v>
      </c>
      <c r="J241" s="14" t="s">
        <v>465</v>
      </c>
    </row>
    <row r="242" customFormat="false" ht="54.75" hidden="false" customHeight="true" outlineLevel="0" collapsed="false">
      <c r="A242" s="17" t="s">
        <v>183</v>
      </c>
      <c r="B242" s="81" t="str">
        <f aca="false">'Build-Up'!B40</f>
        <v>Submittal administration - document controller</v>
      </c>
      <c r="C242" s="89" t="s">
        <v>1242</v>
      </c>
      <c r="D242" s="89"/>
      <c r="E242" s="21" t="s">
        <v>1243</v>
      </c>
      <c r="F242" s="21"/>
      <c r="G242" s="21" t="s">
        <v>1244</v>
      </c>
      <c r="H242" s="21"/>
      <c r="I242" s="21" t="s">
        <v>72</v>
      </c>
      <c r="J242" s="22" t="n">
        <f aca="false">'Build-Up'!F40</f>
        <v>4000</v>
      </c>
    </row>
    <row r="243" customFormat="false" ht="112.5" hidden="false" customHeight="true" outlineLevel="0" collapsed="false">
      <c r="A243" s="17" t="s">
        <v>186</v>
      </c>
      <c r="B243" s="81" t="str">
        <f aca="false">'Build-Up'!B41</f>
        <v>Method statements, risk assessments and project plans - preparation by the Contractor's engineer (tank installation, pipe installation and tie-in method statements; HSE, CEMP, quality, execution and mobilisation plans; ITP)</v>
      </c>
      <c r="C243" s="89" t="s">
        <v>1245</v>
      </c>
      <c r="D243" s="89"/>
      <c r="E243" s="21" t="s">
        <v>1246</v>
      </c>
      <c r="F243" s="21"/>
      <c r="G243" s="21" t="s">
        <v>1247</v>
      </c>
      <c r="H243" s="21"/>
      <c r="I243" s="21" t="s">
        <v>1248</v>
      </c>
      <c r="J243" s="22" t="n">
        <f aca="false">'Build-Up'!F41</f>
        <v>12500</v>
      </c>
    </row>
    <row r="244" customFormat="false" ht="189.75" hidden="false" customHeight="true" outlineLevel="0" collapsed="false">
      <c r="A244" s="17" t="s">
        <v>193</v>
      </c>
      <c r="B244" s="81" t="str">
        <f aca="false">'Build-Up'!B47</f>
        <v>Adopted: Al Mousa Trading Co. quotation S04647 dated 10-Aug-2026 - existing tank dismantling, 1 No.</v>
      </c>
      <c r="C244" s="89" t="s">
        <v>1249</v>
      </c>
      <c r="D244" s="89"/>
      <c r="E244" s="21" t="s">
        <v>1250</v>
      </c>
      <c r="F244" s="21"/>
      <c r="G244" s="21" t="s">
        <v>1251</v>
      </c>
      <c r="H244" s="21"/>
      <c r="I244" s="21" t="s">
        <v>1252</v>
      </c>
      <c r="J244" s="22" t="n">
        <f aca="false">'Build-Up'!F47</f>
        <v>71000</v>
      </c>
    </row>
    <row r="245" customFormat="false" ht="30" hidden="false" customHeight="true" outlineLevel="0" collapsed="false">
      <c r="A245" s="19" t="s">
        <v>1253</v>
      </c>
      <c r="B245" s="18" t="s">
        <v>200</v>
      </c>
      <c r="C245" s="21" t="s">
        <v>1254</v>
      </c>
      <c r="D245" s="21"/>
      <c r="E245" s="21" t="s">
        <v>1255</v>
      </c>
      <c r="F245" s="21"/>
      <c r="G245" s="21" t="s">
        <v>1255</v>
      </c>
      <c r="H245" s="21"/>
      <c r="I245" s="21" t="s">
        <v>1255</v>
      </c>
      <c r="J245" s="20" t="s">
        <v>774</v>
      </c>
    </row>
    <row r="246" customFormat="false" ht="54.75" hidden="false" customHeight="true" outlineLevel="0" collapsed="false">
      <c r="A246" s="17" t="s">
        <v>233</v>
      </c>
      <c r="B246" s="81" t="str">
        <f aca="false">'Build-Up'!B69</f>
        <v>Haulage of dismantled materials to the Employer's local handover location</v>
      </c>
      <c r="C246" s="89" t="s">
        <v>1256</v>
      </c>
      <c r="D246" s="89"/>
      <c r="E246" s="21" t="s">
        <v>1257</v>
      </c>
      <c r="F246" s="21"/>
      <c r="G246" s="21" t="s">
        <v>1258</v>
      </c>
      <c r="H246" s="21"/>
      <c r="I246" s="21" t="s">
        <v>1259</v>
      </c>
      <c r="J246" s="22" t="n">
        <f aca="false">'Build-Up'!F69</f>
        <v>6300</v>
      </c>
    </row>
    <row r="247" customFormat="false" ht="67.5" hidden="false" customHeight="true" outlineLevel="0" collapsed="false">
      <c r="A247" s="17" t="s">
        <v>241</v>
      </c>
      <c r="B247" s="81" t="str">
        <f aca="false">'Build-Up'!B75</f>
        <v>Boom truck (hiab) - offloading and erection support</v>
      </c>
      <c r="C247" s="89" t="s">
        <v>1260</v>
      </c>
      <c r="D247" s="89"/>
      <c r="E247" s="21" t="s">
        <v>1261</v>
      </c>
      <c r="F247" s="21"/>
      <c r="G247" s="21" t="s">
        <v>1262</v>
      </c>
      <c r="H247" s="21"/>
      <c r="I247" s="21" t="s">
        <v>1263</v>
      </c>
      <c r="J247" s="22" t="n">
        <f aca="false">'Build-Up'!F75</f>
        <v>57600</v>
      </c>
    </row>
    <row r="248" customFormat="false" ht="67.5" hidden="false" customHeight="true" outlineLevel="0" collapsed="false">
      <c r="A248" s="17" t="s">
        <v>244</v>
      </c>
      <c r="B248" s="81" t="str">
        <f aca="false">'Build-Up'!B76</f>
        <v>Telehandler / forklift</v>
      </c>
      <c r="C248" s="89" t="s">
        <v>1264</v>
      </c>
      <c r="D248" s="89"/>
      <c r="E248" s="21" t="s">
        <v>1265</v>
      </c>
      <c r="F248" s="21"/>
      <c r="G248" s="21" t="s">
        <v>1266</v>
      </c>
      <c r="H248" s="21"/>
      <c r="I248" s="21" t="s">
        <v>72</v>
      </c>
      <c r="J248" s="22" t="n">
        <f aca="false">'Build-Up'!F76</f>
        <v>57600</v>
      </c>
    </row>
    <row r="249" customFormat="false" ht="54.75" hidden="false" customHeight="true" outlineLevel="0" collapsed="false">
      <c r="A249" s="17" t="s">
        <v>247</v>
      </c>
      <c r="B249" s="81" t="str">
        <f aca="false">'Build-Up'!B77</f>
        <v>Perimeter scaffolding and edge protection - supply, erect, 3-month hire, dismantle</v>
      </c>
      <c r="C249" s="89" t="s">
        <v>1267</v>
      </c>
      <c r="D249" s="89"/>
      <c r="E249" s="21" t="s">
        <v>1268</v>
      </c>
      <c r="F249" s="21"/>
      <c r="G249" s="21" t="s">
        <v>1269</v>
      </c>
      <c r="H249" s="21"/>
      <c r="I249" s="21" t="s">
        <v>72</v>
      </c>
      <c r="J249" s="22" t="n">
        <f aca="false">'Build-Up'!F77</f>
        <v>77000</v>
      </c>
    </row>
    <row r="250" customFormat="false" ht="30" hidden="false" customHeight="true" outlineLevel="0" collapsed="false">
      <c r="A250" s="17" t="s">
        <v>251</v>
      </c>
      <c r="B250" s="81" t="str">
        <f aca="false">'Build-Up'!B78</f>
        <v>Mobile aluminium access towers, 2 No. for the access window, whole hire months</v>
      </c>
      <c r="C250" s="21" t="s">
        <v>1270</v>
      </c>
      <c r="D250" s="21"/>
      <c r="E250" s="21" t="s">
        <v>1271</v>
      </c>
      <c r="F250" s="21"/>
      <c r="G250" s="21" t="s">
        <v>1272</v>
      </c>
      <c r="H250" s="21"/>
      <c r="I250" s="21" t="s">
        <v>72</v>
      </c>
      <c r="J250" s="22" t="n">
        <f aca="false">'Build-Up'!F78</f>
        <v>7200</v>
      </c>
    </row>
    <row r="251" customFormat="false" ht="42" hidden="false" customHeight="true" outlineLevel="0" collapsed="false">
      <c r="A251" s="17" t="s">
        <v>255</v>
      </c>
      <c r="B251" s="81" t="str">
        <f aca="false">'Build-Up'!B79</f>
        <v>Access-tower relocations and re-inspections</v>
      </c>
      <c r="C251" s="21" t="s">
        <v>1270</v>
      </c>
      <c r="D251" s="21"/>
      <c r="E251" s="21" t="s">
        <v>1273</v>
      </c>
      <c r="F251" s="21"/>
      <c r="G251" s="21" t="s">
        <v>1274</v>
      </c>
      <c r="H251" s="21"/>
      <c r="I251" s="21" t="s">
        <v>72</v>
      </c>
      <c r="J251" s="22" t="n">
        <f aca="false">'Build-Up'!F79</f>
        <v>1600</v>
      </c>
    </row>
    <row r="252" customFormat="false" ht="30" hidden="false" customHeight="true" outlineLevel="0" collapsed="false">
      <c r="A252" s="17" t="s">
        <v>257</v>
      </c>
      <c r="B252" s="81" t="str">
        <f aca="false">'Build-Up'!B80</f>
        <v>Podium steps, 2 No. for the access window, whole hire months</v>
      </c>
      <c r="C252" s="21" t="s">
        <v>1270</v>
      </c>
      <c r="D252" s="21"/>
      <c r="E252" s="21" t="s">
        <v>1275</v>
      </c>
      <c r="F252" s="21"/>
      <c r="G252" s="21" t="s">
        <v>1272</v>
      </c>
      <c r="H252" s="21"/>
      <c r="I252" s="21" t="s">
        <v>72</v>
      </c>
      <c r="J252" s="22" t="n">
        <f aca="false">'Build-Up'!F80</f>
        <v>1400</v>
      </c>
    </row>
    <row r="253" customFormat="false" ht="54.75" hidden="false" customHeight="true" outlineLevel="0" collapsed="false">
      <c r="A253" s="17" t="s">
        <v>260</v>
      </c>
      <c r="B253" s="81" t="str">
        <f aca="false">'Build-Up'!B81</f>
        <v>Generator 100 kVA for the works, daytime running with fuel</v>
      </c>
      <c r="C253" s="89" t="s">
        <v>1276</v>
      </c>
      <c r="D253" s="89"/>
      <c r="E253" s="21" t="s">
        <v>1277</v>
      </c>
      <c r="F253" s="21"/>
      <c r="G253" s="21" t="s">
        <v>1278</v>
      </c>
      <c r="H253" s="21"/>
      <c r="I253" s="21" t="s">
        <v>1279</v>
      </c>
      <c r="J253" s="22" t="n">
        <f aca="false">'Build-Up'!F81</f>
        <v>42900</v>
      </c>
    </row>
    <row r="254" customFormat="false" ht="42" hidden="false" customHeight="true" outlineLevel="0" collapsed="false">
      <c r="A254" s="17" t="s">
        <v>263</v>
      </c>
      <c r="B254" s="81" t="str">
        <f aca="false">'Build-Up'!B82</f>
        <v>Generator 30 kVA for the site office and welfare cabins, continuous running with fuel, whole period</v>
      </c>
      <c r="C254" s="89" t="s">
        <v>1179</v>
      </c>
      <c r="D254" s="89"/>
      <c r="E254" s="21" t="s">
        <v>1280</v>
      </c>
      <c r="F254" s="21"/>
      <c r="G254" s="21" t="s">
        <v>1281</v>
      </c>
      <c r="H254" s="21"/>
      <c r="I254" s="21" t="s">
        <v>72</v>
      </c>
      <c r="J254" s="22" t="n">
        <f aca="false">'Build-Up'!F82</f>
        <v>35998.2</v>
      </c>
    </row>
    <row r="255" customFormat="false" ht="67.5" hidden="false" customHeight="true" outlineLevel="0" collapsed="false">
      <c r="A255" s="14" t="s">
        <v>94</v>
      </c>
      <c r="B255" s="14" t="s">
        <v>1159</v>
      </c>
      <c r="C255" s="14" t="s">
        <v>1160</v>
      </c>
      <c r="D255" s="14"/>
      <c r="E255" s="14" t="s">
        <v>1161</v>
      </c>
      <c r="F255" s="14"/>
      <c r="G255" s="14" t="s">
        <v>1162</v>
      </c>
      <c r="H255" s="14"/>
      <c r="I255" s="14" t="s">
        <v>1163</v>
      </c>
      <c r="J255" s="14" t="s">
        <v>465</v>
      </c>
    </row>
    <row r="256" customFormat="false" ht="42" hidden="false" customHeight="true" outlineLevel="0" collapsed="false">
      <c r="A256" s="17" t="s">
        <v>266</v>
      </c>
      <c r="B256" s="81" t="str">
        <f aca="false">'Build-Up'!B83</f>
        <v>Site transport, pick-up / flatbed</v>
      </c>
      <c r="C256" s="89" t="s">
        <v>1179</v>
      </c>
      <c r="D256" s="89"/>
      <c r="E256" s="21" t="s">
        <v>1282</v>
      </c>
      <c r="F256" s="21"/>
      <c r="G256" s="21" t="s">
        <v>1283</v>
      </c>
      <c r="H256" s="21"/>
      <c r="I256" s="21" t="s">
        <v>1284</v>
      </c>
      <c r="J256" s="22" t="n">
        <f aca="false">'Build-Up'!F83</f>
        <v>12600</v>
      </c>
    </row>
    <row r="257" customFormat="false" ht="80.25" hidden="false" customHeight="true" outlineLevel="0" collapsed="false">
      <c r="A257" s="17" t="s">
        <v>269</v>
      </c>
      <c r="B257" s="81" t="str">
        <f aca="false">'Build-Up'!B84</f>
        <v>Contractor's helpers - the approved manpower histogram helper row (85 person-weeks), person-months</v>
      </c>
      <c r="C257" s="21" t="s">
        <v>1285</v>
      </c>
      <c r="D257" s="21"/>
      <c r="E257" s="21" t="s">
        <v>1286</v>
      </c>
      <c r="F257" s="21"/>
      <c r="G257" s="21" t="s">
        <v>1287</v>
      </c>
      <c r="H257" s="21"/>
      <c r="I257" s="21" t="s">
        <v>1288</v>
      </c>
      <c r="J257" s="22" t="n">
        <f aca="false">'Build-Up'!F84</f>
        <v>77220</v>
      </c>
    </row>
    <row r="258" customFormat="false" ht="54.75" hidden="false" customHeight="true" outlineLevel="0" collapsed="false">
      <c r="A258" s="17" t="s">
        <v>273</v>
      </c>
      <c r="B258" s="81" t="str">
        <f aca="false">'Build-Up'!B85</f>
        <v>Power and hand tools, slings and lifting tackle for the Contractor's helpers - unloading, shifting and attendance</v>
      </c>
      <c r="C258" s="89" t="s">
        <v>1289</v>
      </c>
      <c r="D258" s="89"/>
      <c r="E258" s="21" t="s">
        <v>1290</v>
      </c>
      <c r="F258" s="21"/>
      <c r="G258" s="21" t="s">
        <v>1291</v>
      </c>
      <c r="H258" s="21"/>
      <c r="I258" s="21" t="s">
        <v>1292</v>
      </c>
      <c r="J258" s="22" t="n">
        <f aca="false">'Build-Up'!F85</f>
        <v>6750</v>
      </c>
    </row>
    <row r="259" customFormat="false" ht="42" hidden="false" customHeight="true" outlineLevel="0" collapsed="false">
      <c r="A259" s="17" t="s">
        <v>276</v>
      </c>
      <c r="B259" s="81" t="str">
        <f aca="false">'Build-Up'!B86</f>
        <v>Sealant-application tools and jointing consumables</v>
      </c>
      <c r="C259" s="21" t="s">
        <v>1293</v>
      </c>
      <c r="D259" s="21"/>
      <c r="E259" s="21" t="s">
        <v>1294</v>
      </c>
      <c r="F259" s="21"/>
      <c r="G259" s="21" t="s">
        <v>1295</v>
      </c>
      <c r="H259" s="21"/>
      <c r="I259" s="21" t="s">
        <v>1296</v>
      </c>
      <c r="J259" s="22" t="n">
        <f aca="false">'Build-Up'!F86</f>
        <v>0</v>
      </c>
    </row>
    <row r="260" customFormat="false" ht="54.75" hidden="false" customHeight="true" outlineLevel="0" collapsed="false">
      <c r="A260" s="17" t="s">
        <v>279</v>
      </c>
      <c r="B260" s="81" t="str">
        <f aca="false">'Build-Up'!B87</f>
        <v>Panel storage and handling consumables - timber packers, covers, strapping and cleaning materials for the Contractor's storage and shifting of the tank materials</v>
      </c>
      <c r="C260" s="89" t="s">
        <v>1297</v>
      </c>
      <c r="D260" s="89"/>
      <c r="E260" s="21" t="s">
        <v>1298</v>
      </c>
      <c r="F260" s="21"/>
      <c r="G260" s="21" t="s">
        <v>1299</v>
      </c>
      <c r="H260" s="21"/>
      <c r="I260" s="21" t="s">
        <v>1300</v>
      </c>
      <c r="J260" s="22" t="n">
        <f aca="false">'Build-Up'!F87</f>
        <v>3000</v>
      </c>
    </row>
    <row r="261" customFormat="false" ht="42" hidden="false" customHeight="true" outlineLevel="0" collapsed="false">
      <c r="A261" s="17" t="s">
        <v>282</v>
      </c>
      <c r="B261" s="81" t="str">
        <f aca="false">'Build-Up'!B88</f>
        <v>Mobile lighting towers, 2 No. for the erection window</v>
      </c>
      <c r="C261" s="21" t="s">
        <v>1301</v>
      </c>
      <c r="D261" s="21"/>
      <c r="E261" s="21" t="s">
        <v>1302</v>
      </c>
      <c r="F261" s="21"/>
      <c r="G261" s="21" t="s">
        <v>1303</v>
      </c>
      <c r="H261" s="21"/>
      <c r="I261" s="21" t="s">
        <v>72</v>
      </c>
      <c r="J261" s="22" t="n">
        <f aca="false">'Build-Up'!F88</f>
        <v>6480</v>
      </c>
    </row>
    <row r="262" customFormat="false" ht="30" hidden="false" customHeight="true" outlineLevel="0" collapsed="false">
      <c r="A262" s="17" t="s">
        <v>285</v>
      </c>
      <c r="B262" s="81" t="str">
        <f aca="false">'Build-Up'!B89</f>
        <v>Temporary distribution boards and cabling</v>
      </c>
      <c r="C262" s="21" t="s">
        <v>1304</v>
      </c>
      <c r="D262" s="21"/>
      <c r="E262" s="21" t="s">
        <v>1305</v>
      </c>
      <c r="F262" s="21"/>
      <c r="G262" s="21" t="s">
        <v>1306</v>
      </c>
      <c r="H262" s="21"/>
      <c r="I262" s="21" t="s">
        <v>72</v>
      </c>
      <c r="J262" s="22" t="n">
        <f aca="false">'Build-Up'!F89</f>
        <v>2800</v>
      </c>
    </row>
    <row r="263" customFormat="false" ht="42" hidden="false" customHeight="true" outlineLevel="0" collapsed="false">
      <c r="A263" s="17" t="s">
        <v>287</v>
      </c>
      <c r="B263" s="81" t="str">
        <f aca="false">'Build-Up'!B90</f>
        <v>Packaging and site waste removal - pallets, crates, strapping and general site waste, one truck load a week</v>
      </c>
      <c r="C263" s="21" t="s">
        <v>1307</v>
      </c>
      <c r="D263" s="21"/>
      <c r="E263" s="21" t="s">
        <v>1308</v>
      </c>
      <c r="F263" s="21"/>
      <c r="G263" s="21" t="s">
        <v>1309</v>
      </c>
      <c r="H263" s="21"/>
      <c r="I263" s="21" t="s">
        <v>1310</v>
      </c>
      <c r="J263" s="22" t="n">
        <f aca="false">'Build-Up'!F90</f>
        <v>8550</v>
      </c>
    </row>
    <row r="264" customFormat="false" ht="93" hidden="false" customHeight="true" outlineLevel="0" collapsed="false">
      <c r="A264" s="17" t="s">
        <v>294</v>
      </c>
      <c r="B264" s="81" t="str">
        <f aca="false">'Build-Up'!B96</f>
        <v>Adopted: Al Mousa Trading Co. quotation S04488 dated 09-Jul-2026 with Stalwart technical offer SS-07-26-1516 dated 03-Aug-2026 - sectional GRP tank 34 m x 30 m x 4.0 m, supplied and installed, rate per tank</v>
      </c>
      <c r="C264" s="89" t="s">
        <v>1311</v>
      </c>
      <c r="D264" s="89"/>
      <c r="E264" s="21" t="s">
        <v>1312</v>
      </c>
      <c r="F264" s="21"/>
      <c r="G264" s="21" t="s">
        <v>1313</v>
      </c>
      <c r="H264" s="21"/>
      <c r="I264" s="21" t="s">
        <v>1314</v>
      </c>
      <c r="J264" s="22" t="n">
        <f aca="false">'Build-Up'!F96</f>
        <v>2763500</v>
      </c>
    </row>
    <row r="265" customFormat="false" ht="30" hidden="false" customHeight="true" outlineLevel="0" collapsed="false">
      <c r="A265" s="17" t="s">
        <v>301</v>
      </c>
      <c r="B265" s="81" t="str">
        <f aca="false">'Build-Up'!B102</f>
        <v>Test water - first tank fill to test level</v>
      </c>
      <c r="C265" s="21" t="s">
        <v>1315</v>
      </c>
      <c r="D265" s="21"/>
      <c r="E265" s="21" t="s">
        <v>1316</v>
      </c>
      <c r="F265" s="21"/>
      <c r="G265" s="21" t="s">
        <v>1317</v>
      </c>
      <c r="H265" s="21"/>
      <c r="I265" s="21" t="s">
        <v>72</v>
      </c>
      <c r="J265" s="22" t="n">
        <f aca="false">'Build-Up'!F102</f>
        <v>56610</v>
      </c>
    </row>
    <row r="266" customFormat="false" ht="30" hidden="false" customHeight="true" outlineLevel="0" collapsed="false">
      <c r="A266" s="17" t="s">
        <v>304</v>
      </c>
      <c r="B266" s="81" t="str">
        <f aca="false">'Build-Up'!B103</f>
        <v>Transfer pump hire - Tank 1 to Tank 2</v>
      </c>
      <c r="C266" s="21" t="s">
        <v>1318</v>
      </c>
      <c r="D266" s="21"/>
      <c r="E266" s="21" t="s">
        <v>1319</v>
      </c>
      <c r="F266" s="21"/>
      <c r="G266" s="21" t="s">
        <v>1320</v>
      </c>
      <c r="H266" s="21"/>
      <c r="I266" s="21" t="s">
        <v>72</v>
      </c>
      <c r="J266" s="22" t="n">
        <f aca="false">'Build-Up'!F103</f>
        <v>3500</v>
      </c>
    </row>
    <row r="267" customFormat="false" ht="30" hidden="false" customHeight="true" outlineLevel="0" collapsed="false">
      <c r="A267" s="17" t="s">
        <v>307</v>
      </c>
      <c r="B267" s="81" t="str">
        <f aca="false">'Build-Up'!B104</f>
        <v>Transfer hoses and fittings hire</v>
      </c>
      <c r="C267" s="21" t="s">
        <v>785</v>
      </c>
      <c r="D267" s="21"/>
      <c r="E267" s="21" t="s">
        <v>1321</v>
      </c>
      <c r="F267" s="21"/>
      <c r="G267" s="21" t="s">
        <v>1322</v>
      </c>
      <c r="H267" s="21"/>
      <c r="I267" s="21" t="s">
        <v>72</v>
      </c>
      <c r="J267" s="22" t="n">
        <f aca="false">'Build-Up'!F104</f>
        <v>1000</v>
      </c>
    </row>
    <row r="268" customFormat="false" ht="42" hidden="false" customHeight="true" outlineLevel="0" collapsed="false">
      <c r="A268" s="17" t="s">
        <v>310</v>
      </c>
      <c r="B268" s="81" t="str">
        <f aca="false">'Build-Up'!B105</f>
        <v>Transfer labour, 2 No. x 3 days</v>
      </c>
      <c r="C268" s="21" t="s">
        <v>1323</v>
      </c>
      <c r="D268" s="21"/>
      <c r="E268" s="21" t="s">
        <v>1324</v>
      </c>
      <c r="F268" s="21"/>
      <c r="G268" s="21" t="s">
        <v>1325</v>
      </c>
      <c r="H268" s="21"/>
      <c r="I268" s="21" t="s">
        <v>1326</v>
      </c>
      <c r="J268" s="22" t="n">
        <f aca="false">'Build-Up'!F105</f>
        <v>0</v>
      </c>
    </row>
    <row r="269" customFormat="false" ht="30" hidden="false" customHeight="true" outlineLevel="0" collapsed="false">
      <c r="A269" s="17" t="s">
        <v>313</v>
      </c>
      <c r="B269" s="81" t="str">
        <f aca="false">'Build-Up'!B106</f>
        <v>Top-up water for losses and test level</v>
      </c>
      <c r="C269" s="21" t="s">
        <v>1327</v>
      </c>
      <c r="D269" s="21"/>
      <c r="E269" s="21" t="s">
        <v>1328</v>
      </c>
      <c r="F269" s="21"/>
      <c r="G269" s="21" t="s">
        <v>1329</v>
      </c>
      <c r="H269" s="21"/>
      <c r="I269" s="21" t="s">
        <v>72</v>
      </c>
      <c r="J269" s="22" t="n">
        <f aca="false">'Build-Up'!F106</f>
        <v>5655</v>
      </c>
    </row>
    <row r="270" customFormat="false" ht="30" hidden="false" customHeight="true" outlineLevel="0" collapsed="false">
      <c r="A270" s="17" t="s">
        <v>316</v>
      </c>
      <c r="B270" s="81" t="str">
        <f aca="false">'Build-Up'!B107</f>
        <v>Disinfection chemicals, hypochlorite (AWWA C652)</v>
      </c>
      <c r="C270" s="21" t="s">
        <v>1330</v>
      </c>
      <c r="D270" s="21"/>
      <c r="E270" s="21" t="s">
        <v>1331</v>
      </c>
      <c r="F270" s="21"/>
      <c r="G270" s="21" t="s">
        <v>1332</v>
      </c>
      <c r="H270" s="21"/>
      <c r="I270" s="21" t="s">
        <v>72</v>
      </c>
      <c r="J270" s="22" t="n">
        <f aca="false">'Build-Up'!F107</f>
        <v>4800</v>
      </c>
    </row>
    <row r="271" customFormat="false" ht="67.5" hidden="false" customHeight="true" outlineLevel="0" collapsed="false">
      <c r="A271" s="14" t="s">
        <v>94</v>
      </c>
      <c r="B271" s="14" t="s">
        <v>1159</v>
      </c>
      <c r="C271" s="14" t="s">
        <v>1160</v>
      </c>
      <c r="D271" s="14"/>
      <c r="E271" s="14" t="s">
        <v>1161</v>
      </c>
      <c r="F271" s="14"/>
      <c r="G271" s="14" t="s">
        <v>1162</v>
      </c>
      <c r="H271" s="14"/>
      <c r="I271" s="14" t="s">
        <v>1163</v>
      </c>
      <c r="J271" s="14" t="s">
        <v>465</v>
      </c>
    </row>
    <row r="272" customFormat="false" ht="30" hidden="false" customHeight="true" outlineLevel="0" collapsed="false">
      <c r="A272" s="17" t="s">
        <v>319</v>
      </c>
      <c r="B272" s="81" t="str">
        <f aca="false">'Build-Up'!B108</f>
        <v>Chlorine dosing equipment hire</v>
      </c>
      <c r="C272" s="21" t="s">
        <v>1333</v>
      </c>
      <c r="D272" s="21"/>
      <c r="E272" s="21" t="s">
        <v>1334</v>
      </c>
      <c r="F272" s="21"/>
      <c r="G272" s="21" t="s">
        <v>1335</v>
      </c>
      <c r="H272" s="21"/>
      <c r="I272" s="21" t="s">
        <v>72</v>
      </c>
      <c r="J272" s="22" t="n">
        <f aca="false">'Build-Up'!F108</f>
        <v>1500</v>
      </c>
    </row>
    <row r="273" customFormat="false" ht="42" hidden="false" customHeight="true" outlineLevel="0" collapsed="false">
      <c r="A273" s="17" t="s">
        <v>321</v>
      </c>
      <c r="B273" s="81" t="str">
        <f aca="false">'Build-Up'!B109</f>
        <v>Sampling and dechlorination labour after the approved histogram weeks</v>
      </c>
      <c r="C273" s="21" t="s">
        <v>1336</v>
      </c>
      <c r="D273" s="21"/>
      <c r="E273" s="21" t="s">
        <v>1337</v>
      </c>
      <c r="F273" s="21"/>
      <c r="G273" s="21" t="s">
        <v>1338</v>
      </c>
      <c r="H273" s="21"/>
      <c r="I273" s="21" t="s">
        <v>1339</v>
      </c>
      <c r="J273" s="22" t="n">
        <f aca="false">'Build-Up'!F109</f>
        <v>450</v>
      </c>
    </row>
    <row r="274" customFormat="false" ht="42" hidden="false" customHeight="true" outlineLevel="0" collapsed="false">
      <c r="A274" s="17" t="s">
        <v>324</v>
      </c>
      <c r="B274" s="81" t="str">
        <f aca="false">'Build-Up'!B110</f>
        <v>Dechlorination chemicals - in the tank, before the water is kept or discharged</v>
      </c>
      <c r="C274" s="21" t="s">
        <v>1340</v>
      </c>
      <c r="D274" s="21"/>
      <c r="E274" s="21" t="s">
        <v>1341</v>
      </c>
      <c r="F274" s="21"/>
      <c r="G274" s="21" t="s">
        <v>1342</v>
      </c>
      <c r="H274" s="21"/>
      <c r="I274" s="21" t="s">
        <v>72</v>
      </c>
      <c r="J274" s="22" t="n">
        <f aca="false">'Build-Up'!F110</f>
        <v>2000</v>
      </c>
    </row>
    <row r="275" customFormat="false" ht="30" hidden="false" customHeight="true" outlineLevel="0" collapsed="false">
      <c r="A275" s="17" t="s">
        <v>326</v>
      </c>
      <c r="B275" s="81" t="str">
        <f aca="false">'Build-Up'!B111</f>
        <v>Sampling, transport and handling</v>
      </c>
      <c r="C275" s="21" t="s">
        <v>1333</v>
      </c>
      <c r="D275" s="21"/>
      <c r="E275" s="21" t="s">
        <v>1343</v>
      </c>
      <c r="F275" s="21"/>
      <c r="G275" s="21" t="s">
        <v>1299</v>
      </c>
      <c r="H275" s="21"/>
      <c r="I275" s="21" t="s">
        <v>72</v>
      </c>
      <c r="J275" s="22" t="n">
        <f aca="false">'Build-Up'!F111</f>
        <v>3700</v>
      </c>
    </row>
    <row r="276" customFormat="false" ht="67.5" hidden="false" customHeight="true" outlineLevel="0" collapsed="false">
      <c r="A276" s="17" t="s">
        <v>328</v>
      </c>
      <c r="B276" s="81" t="str">
        <f aca="false">'Build-Up'!B112</f>
        <v>Third-party laboratory water-quality tests</v>
      </c>
      <c r="C276" s="21" t="s">
        <v>1333</v>
      </c>
      <c r="D276" s="21"/>
      <c r="E276" s="21" t="s">
        <v>1344</v>
      </c>
      <c r="F276" s="21"/>
      <c r="G276" s="21" t="s">
        <v>1345</v>
      </c>
      <c r="H276" s="21"/>
      <c r="I276" s="21" t="s">
        <v>1346</v>
      </c>
      <c r="J276" s="22" t="n">
        <f aca="false">'Build-Up'!F112</f>
        <v>7200</v>
      </c>
    </row>
    <row r="277" customFormat="false" ht="42" hidden="false" customHeight="true" outlineLevel="0" collapsed="false">
      <c r="A277" s="17" t="s">
        <v>332</v>
      </c>
      <c r="B277" s="81" t="str">
        <f aca="false">'Build-Up'!B113</f>
        <v>Third-party inspection visits</v>
      </c>
      <c r="C277" s="21" t="s">
        <v>1347</v>
      </c>
      <c r="D277" s="21"/>
      <c r="E277" s="21" t="s">
        <v>1348</v>
      </c>
      <c r="F277" s="21"/>
      <c r="G277" s="21" t="s">
        <v>1348</v>
      </c>
      <c r="H277" s="21"/>
      <c r="I277" s="21" t="s">
        <v>1349</v>
      </c>
      <c r="J277" s="22" t="n">
        <f aca="false">'Build-Up'!F113</f>
        <v>0</v>
      </c>
    </row>
    <row r="278" customFormat="false" ht="67.5" hidden="false" customHeight="true" outlineLevel="0" collapsed="false">
      <c r="A278" s="17" t="s">
        <v>336</v>
      </c>
      <c r="B278" s="81" t="str">
        <f aca="false">'Build-Up'!B114</f>
        <v>Commissioning engineer</v>
      </c>
      <c r="C278" s="21" t="s">
        <v>1350</v>
      </c>
      <c r="D278" s="21"/>
      <c r="E278" s="21" t="s">
        <v>1351</v>
      </c>
      <c r="F278" s="21"/>
      <c r="G278" s="21" t="s">
        <v>1244</v>
      </c>
      <c r="H278" s="21"/>
      <c r="I278" s="21" t="s">
        <v>1352</v>
      </c>
      <c r="J278" s="22" t="n">
        <f aca="false">'Build-Up'!F114</f>
        <v>16000</v>
      </c>
    </row>
    <row r="279" customFormat="false" ht="42" hidden="false" customHeight="true" outlineLevel="0" collapsed="false">
      <c r="A279" s="17" t="s">
        <v>339</v>
      </c>
      <c r="B279" s="81" t="str">
        <f aca="false">'Build-Up'!B115</f>
        <v>MEP technicians - pump and network interfaces, 2 No. x 6 days (RFP Scope of Works, work package 9 - system integration)</v>
      </c>
      <c r="C279" s="21" t="s">
        <v>1353</v>
      </c>
      <c r="D279" s="21"/>
      <c r="E279" s="21" t="s">
        <v>1354</v>
      </c>
      <c r="F279" s="21"/>
      <c r="G279" s="21" t="s">
        <v>1355</v>
      </c>
      <c r="H279" s="21"/>
      <c r="I279" s="21" t="s">
        <v>72</v>
      </c>
      <c r="J279" s="22" t="n">
        <f aca="false">'Build-Up'!F115</f>
        <v>4800</v>
      </c>
    </row>
    <row r="280" customFormat="false" ht="54.75" hidden="false" customHeight="true" outlineLevel="0" collapsed="false">
      <c r="A280" s="17" t="s">
        <v>342</v>
      </c>
      <c r="B280" s="81" t="str">
        <f aca="false">'Build-Up'!B116</f>
        <v>Electrician - instrument and readout connections</v>
      </c>
      <c r="C280" s="89" t="s">
        <v>1356</v>
      </c>
      <c r="D280" s="89"/>
      <c r="E280" s="21" t="s">
        <v>1357</v>
      </c>
      <c r="F280" s="21"/>
      <c r="G280" s="21" t="s">
        <v>1358</v>
      </c>
      <c r="H280" s="21"/>
      <c r="I280" s="21" t="s">
        <v>1359</v>
      </c>
      <c r="J280" s="22" t="n">
        <f aca="false">'Build-Up'!F116</f>
        <v>2000</v>
      </c>
    </row>
    <row r="281" customFormat="false" ht="54.75" hidden="false" customHeight="true" outlineLevel="0" collapsed="false">
      <c r="A281" s="17" t="s">
        <v>344</v>
      </c>
      <c r="B281" s="81" t="str">
        <f aca="false">'Build-Up'!B117</f>
        <v>Integration coordination engineer - tie-ins with the Employer and Engineer</v>
      </c>
      <c r="C281" s="21" t="s">
        <v>1360</v>
      </c>
      <c r="D281" s="21"/>
      <c r="E281" s="21" t="s">
        <v>1361</v>
      </c>
      <c r="F281" s="21"/>
      <c r="G281" s="21" t="s">
        <v>1362</v>
      </c>
      <c r="H281" s="21"/>
      <c r="I281" s="21" t="s">
        <v>72</v>
      </c>
      <c r="J281" s="22" t="n">
        <f aca="false">'Build-Up'!F117</f>
        <v>5000</v>
      </c>
    </row>
    <row r="282" customFormat="false" ht="30" hidden="false" customHeight="true" outlineLevel="0" collapsed="false">
      <c r="A282" s="17" t="s">
        <v>347</v>
      </c>
      <c r="B282" s="81" t="str">
        <f aca="false">'Build-Up'!B118</f>
        <v>Calibration technician</v>
      </c>
      <c r="C282" s="21" t="s">
        <v>794</v>
      </c>
      <c r="D282" s="21"/>
      <c r="E282" s="21" t="s">
        <v>1363</v>
      </c>
      <c r="F282" s="21"/>
      <c r="G282" s="21" t="s">
        <v>1229</v>
      </c>
      <c r="H282" s="21"/>
      <c r="I282" s="21" t="s">
        <v>72</v>
      </c>
      <c r="J282" s="22" t="n">
        <f aca="false">'Build-Up'!F118</f>
        <v>4000</v>
      </c>
    </row>
    <row r="283" customFormat="false" ht="30" hidden="false" customHeight="true" outlineLevel="0" collapsed="false">
      <c r="A283" s="17" t="s">
        <v>349</v>
      </c>
      <c r="B283" s="81" t="str">
        <f aca="false">'Build-Up'!B119</f>
        <v>Certified instrument calibrations</v>
      </c>
      <c r="C283" s="21" t="s">
        <v>794</v>
      </c>
      <c r="D283" s="21"/>
      <c r="E283" s="21" t="s">
        <v>1364</v>
      </c>
      <c r="F283" s="21"/>
      <c r="G283" s="21" t="s">
        <v>1365</v>
      </c>
      <c r="H283" s="21"/>
      <c r="I283" s="21" t="s">
        <v>72</v>
      </c>
      <c r="J283" s="22" t="n">
        <f aca="false">'Build-Up'!F119</f>
        <v>4500</v>
      </c>
    </row>
    <row r="284" customFormat="false" ht="30" hidden="false" customHeight="true" outlineLevel="0" collapsed="false">
      <c r="A284" s="17" t="s">
        <v>351</v>
      </c>
      <c r="B284" s="81" t="str">
        <f aca="false">'Build-Up'!B120</f>
        <v>Test-equipment hire - calibrated gauges, data logger</v>
      </c>
      <c r="C284" s="21" t="s">
        <v>1366</v>
      </c>
      <c r="D284" s="21"/>
      <c r="E284" s="21" t="s">
        <v>1367</v>
      </c>
      <c r="F284" s="21"/>
      <c r="G284" s="21" t="s">
        <v>1335</v>
      </c>
      <c r="H284" s="21"/>
      <c r="I284" s="21" t="s">
        <v>72</v>
      </c>
      <c r="J284" s="22" t="n">
        <f aca="false">'Build-Up'!F120</f>
        <v>1500</v>
      </c>
    </row>
    <row r="285" customFormat="false" ht="54.75" hidden="false" customHeight="true" outlineLevel="0" collapsed="false">
      <c r="A285" s="17" t="s">
        <v>353</v>
      </c>
      <c r="B285" s="81" t="str">
        <f aca="false">'Build-Up'!B121</f>
        <v>Technical clerk - test records, ITP/WIR close-out</v>
      </c>
      <c r="C285" s="21" t="s">
        <v>1368</v>
      </c>
      <c r="D285" s="21"/>
      <c r="E285" s="21" t="s">
        <v>1369</v>
      </c>
      <c r="F285" s="21"/>
      <c r="G285" s="21" t="s">
        <v>1370</v>
      </c>
      <c r="H285" s="21"/>
      <c r="I285" s="21" t="s">
        <v>1371</v>
      </c>
      <c r="J285" s="22" t="n">
        <f aca="false">'Build-Up'!F121</f>
        <v>6000</v>
      </c>
    </row>
    <row r="286" customFormat="false" ht="30" hidden="false" customHeight="true" outlineLevel="0" collapsed="false">
      <c r="A286" s="17" t="s">
        <v>356</v>
      </c>
      <c r="B286" s="81" t="str">
        <f aca="false">'Build-Up'!B122</f>
        <v>As-built mark-ups at close-out - draughtsman, issued via Aconex</v>
      </c>
      <c r="C286" s="89" t="s">
        <v>1372</v>
      </c>
      <c r="D286" s="89"/>
      <c r="E286" s="21" t="s">
        <v>1373</v>
      </c>
      <c r="F286" s="21"/>
      <c r="G286" s="21" t="s">
        <v>1374</v>
      </c>
      <c r="H286" s="21"/>
      <c r="I286" s="21" t="s">
        <v>1375</v>
      </c>
      <c r="J286" s="22" t="n">
        <f aca="false">'Build-Up'!F122</f>
        <v>4000</v>
      </c>
    </row>
    <row r="287" customFormat="false" ht="42" hidden="false" customHeight="true" outlineLevel="0" collapsed="false">
      <c r="A287" s="17" t="s">
        <v>358</v>
      </c>
      <c r="B287" s="81" t="str">
        <f aca="false">'Build-Up'!B123</f>
        <v>Tanker and pump standby during filling and test holds</v>
      </c>
      <c r="C287" s="21" t="s">
        <v>1376</v>
      </c>
      <c r="D287" s="21"/>
      <c r="E287" s="21" t="s">
        <v>1377</v>
      </c>
      <c r="F287" s="21"/>
      <c r="G287" s="21" t="s">
        <v>1378</v>
      </c>
      <c r="H287" s="21"/>
      <c r="I287" s="21" t="s">
        <v>1379</v>
      </c>
      <c r="J287" s="22" t="n">
        <f aca="false">'Build-Up'!F123</f>
        <v>2000</v>
      </c>
    </row>
    <row r="288" customFormat="false" ht="67.5" hidden="false" customHeight="true" outlineLevel="0" collapsed="false">
      <c r="A288" s="14" t="s">
        <v>94</v>
      </c>
      <c r="B288" s="14" t="s">
        <v>1159</v>
      </c>
      <c r="C288" s="14" t="s">
        <v>1160</v>
      </c>
      <c r="D288" s="14"/>
      <c r="E288" s="14" t="s">
        <v>1161</v>
      </c>
      <c r="F288" s="14"/>
      <c r="G288" s="14" t="s">
        <v>1162</v>
      </c>
      <c r="H288" s="14"/>
      <c r="I288" s="14" t="s">
        <v>1163</v>
      </c>
      <c r="J288" s="14" t="s">
        <v>465</v>
      </c>
    </row>
    <row r="289" customFormat="false" ht="42" hidden="false" customHeight="true" outlineLevel="0" collapsed="false">
      <c r="A289" s="17" t="s">
        <v>361</v>
      </c>
      <c r="B289" s="81" t="str">
        <f aca="false">'Build-Up'!B124</f>
        <v>Third-party factory acceptance test of the GRP panels - inspector days and travel to the factory</v>
      </c>
      <c r="C289" s="21" t="s">
        <v>1380</v>
      </c>
      <c r="D289" s="21"/>
      <c r="E289" s="21" t="s">
        <v>1381</v>
      </c>
      <c r="F289" s="21"/>
      <c r="G289" s="21" t="s">
        <v>1382</v>
      </c>
      <c r="H289" s="21"/>
      <c r="I289" s="21" t="s">
        <v>1383</v>
      </c>
      <c r="J289" s="22" t="n">
        <f aca="false">'Build-Up'!F124</f>
        <v>0</v>
      </c>
    </row>
    <row r="290" customFormat="false" ht="54.75" hidden="false" customHeight="true" outlineLevel="0" collapsed="false">
      <c r="A290" s="17" t="s">
        <v>364</v>
      </c>
      <c r="B290" s="81" t="str">
        <f aca="false">'Build-Up'!B125</f>
        <v>Tank 1 operating volume for the integrated commissioning - tankered fill to about 1 m depth after the test water has gone to Tank 2</v>
      </c>
      <c r="C290" s="21" t="s">
        <v>1384</v>
      </c>
      <c r="D290" s="21"/>
      <c r="E290" s="21" t="s">
        <v>1385</v>
      </c>
      <c r="F290" s="21"/>
      <c r="G290" s="21" t="s">
        <v>1386</v>
      </c>
      <c r="H290" s="21"/>
      <c r="I290" s="21" t="s">
        <v>1387</v>
      </c>
      <c r="J290" s="22" t="n">
        <f aca="false">'Build-Up'!F125</f>
        <v>15300</v>
      </c>
    </row>
    <row r="291" customFormat="false" ht="67.5" hidden="false" customHeight="true" outlineLevel="0" collapsed="false">
      <c r="A291" s="17" t="s">
        <v>367</v>
      </c>
      <c r="B291" s="81" t="str">
        <f aca="false">'Build-Up'!B126</f>
        <v>Disinfection of the tank surfaces above the test water line (walls above 3.7 m, roof underside, hatches) - spray or swab application, both tanks</v>
      </c>
      <c r="C291" s="21" t="s">
        <v>1388</v>
      </c>
      <c r="D291" s="21"/>
      <c r="E291" s="21" t="s">
        <v>1389</v>
      </c>
      <c r="F291" s="21"/>
      <c r="G291" s="21" t="s">
        <v>1299</v>
      </c>
      <c r="H291" s="21"/>
      <c r="I291" s="21" t="s">
        <v>1390</v>
      </c>
      <c r="J291" s="22" t="n">
        <f aca="false">'Build-Up'!F126</f>
        <v>4000</v>
      </c>
    </row>
    <row r="292" customFormat="false" ht="42" hidden="false" customHeight="true" outlineLevel="0" collapsed="false">
      <c r="A292" s="17" t="s">
        <v>370</v>
      </c>
      <c r="B292" s="81" t="str">
        <f aca="false">'Build-Up'!B127</f>
        <v>Interior cleaning of each tank before disinfection - debris removal and pressure washing, 2 people x 2 days with washer and water</v>
      </c>
      <c r="C292" s="89" t="s">
        <v>1391</v>
      </c>
      <c r="D292" s="89"/>
      <c r="E292" s="21" t="s">
        <v>1392</v>
      </c>
      <c r="F292" s="21"/>
      <c r="G292" s="21" t="s">
        <v>1299</v>
      </c>
      <c r="H292" s="21"/>
      <c r="I292" s="21" t="s">
        <v>1393</v>
      </c>
      <c r="J292" s="22" t="n">
        <f aca="false">'Build-Up'!F127</f>
        <v>3560</v>
      </c>
    </row>
    <row r="293" customFormat="false" ht="54.75" hidden="false" customHeight="true" outlineLevel="0" collapsed="false">
      <c r="A293" s="17" t="s">
        <v>378</v>
      </c>
      <c r="B293" s="81" t="str">
        <f aca="false">'Build-Up'!B134</f>
        <v>Main pipework above DN150 - GRP or ductile iron with internal lining, with fittings, supplied and installed (RFP General Piping Requirements)</v>
      </c>
      <c r="C293" s="89" t="s">
        <v>1394</v>
      </c>
      <c r="D293" s="89"/>
      <c r="E293" s="21" t="s">
        <v>1395</v>
      </c>
      <c r="F293" s="21"/>
      <c r="G293" s="21" t="s">
        <v>1396</v>
      </c>
      <c r="H293" s="21"/>
      <c r="I293" s="21" t="s">
        <v>72</v>
      </c>
      <c r="J293" s="22" t="n">
        <f aca="false">'Build-Up'!F134</f>
        <v>80000</v>
      </c>
    </row>
    <row r="294" customFormat="false" ht="73.5" hidden="false" customHeight="true" outlineLevel="0" collapsed="false">
      <c r="A294" s="17" t="s">
        <v>382</v>
      </c>
      <c r="B294" s="81" t="str">
        <f aca="false">'Build-Up'!B135</f>
        <v>Small-bore pipework below DN150 - uPVC Schedule 40, supplied and installed</v>
      </c>
      <c r="C294" s="21" t="s">
        <v>1394</v>
      </c>
      <c r="D294" s="21"/>
      <c r="E294" s="21" t="s">
        <v>1397</v>
      </c>
      <c r="F294" s="21"/>
      <c r="G294" s="21" t="s">
        <v>1398</v>
      </c>
      <c r="H294" s="21"/>
      <c r="I294" s="21" t="s">
        <v>72</v>
      </c>
      <c r="J294" s="22" t="n">
        <f aca="false">'Build-Up'!F135</f>
        <v>7200</v>
      </c>
    </row>
    <row r="295" customFormat="false" ht="73.5" hidden="false" customHeight="true" outlineLevel="0" collapsed="false">
      <c r="A295" s="17" t="s">
        <v>385</v>
      </c>
      <c r="B295" s="81" t="str">
        <f aca="false">'Build-Up'!B136</f>
        <v>Resilient-seated butterfly isolation valves DN150-DN300, lever-operated up to DN200 and gearbox-operated above, installed</v>
      </c>
      <c r="C295" s="21" t="s">
        <v>1394</v>
      </c>
      <c r="D295" s="21"/>
      <c r="E295" s="21" t="s">
        <v>1399</v>
      </c>
      <c r="F295" s="21"/>
      <c r="G295" s="21" t="s">
        <v>1400</v>
      </c>
      <c r="H295" s="21"/>
      <c r="I295" s="21" t="s">
        <v>72</v>
      </c>
      <c r="J295" s="22" t="n">
        <f aca="false">'Build-Up'!F136</f>
        <v>55000</v>
      </c>
    </row>
    <row r="296" customFormat="false" ht="73.5" hidden="false" customHeight="true" outlineLevel="0" collapsed="false">
      <c r="A296" s="17" t="s">
        <v>388</v>
      </c>
      <c r="B296" s="81" t="str">
        <f aca="false">'Build-Up'!B137</f>
        <v>Dismantling joints DN250</v>
      </c>
      <c r="C296" s="21" t="s">
        <v>1394</v>
      </c>
      <c r="D296" s="21"/>
      <c r="E296" s="21" t="s">
        <v>1401</v>
      </c>
      <c r="F296" s="21"/>
      <c r="G296" s="21" t="s">
        <v>1274</v>
      </c>
      <c r="H296" s="21"/>
      <c r="I296" s="21" t="s">
        <v>72</v>
      </c>
      <c r="J296" s="22" t="n">
        <f aca="false">'Build-Up'!F137</f>
        <v>10000</v>
      </c>
    </row>
    <row r="297" customFormat="false" ht="42" hidden="false" customHeight="true" outlineLevel="0" collapsed="false">
      <c r="A297" s="17" t="s">
        <v>390</v>
      </c>
      <c r="B297" s="81" t="str">
        <f aca="false">'Build-Up'!B138</f>
        <v>Blind flanges on spare nozzles</v>
      </c>
      <c r="C297" s="89" t="s">
        <v>1402</v>
      </c>
      <c r="D297" s="89"/>
      <c r="E297" s="21" t="s">
        <v>1403</v>
      </c>
      <c r="F297" s="21"/>
      <c r="G297" s="21" t="s">
        <v>1404</v>
      </c>
      <c r="H297" s="21"/>
      <c r="I297" s="21" t="s">
        <v>1405</v>
      </c>
      <c r="J297" s="22" t="n">
        <f aca="false">'Build-Up'!F138</f>
        <v>3000</v>
      </c>
    </row>
    <row r="298" customFormat="false" ht="73.5" hidden="false" customHeight="true" outlineLevel="0" collapsed="false">
      <c r="A298" s="17" t="s">
        <v>392</v>
      </c>
      <c r="B298" s="81" t="str">
        <f aca="false">'Build-Up'!B139</f>
        <v>Flange sets, gaskets and bolting</v>
      </c>
      <c r="C298" s="21" t="s">
        <v>1394</v>
      </c>
      <c r="D298" s="21"/>
      <c r="E298" s="21" t="s">
        <v>1406</v>
      </c>
      <c r="F298" s="21"/>
      <c r="G298" s="21" t="s">
        <v>1407</v>
      </c>
      <c r="H298" s="21"/>
      <c r="I298" s="21" t="s">
        <v>72</v>
      </c>
      <c r="J298" s="22" t="n">
        <f aca="false">'Build-Up'!F139</f>
        <v>7000</v>
      </c>
    </row>
    <row r="299" customFormat="false" ht="73.5" hidden="false" customHeight="true" outlineLevel="0" collapsed="false">
      <c r="A299" s="17" t="s">
        <v>395</v>
      </c>
      <c r="B299" s="81" t="str">
        <f aca="false">'Build-Up'!B140</f>
        <v>Fabricated pipe supports, galvanised / 316 SS</v>
      </c>
      <c r="C299" s="21" t="s">
        <v>1394</v>
      </c>
      <c r="D299" s="21"/>
      <c r="E299" s="21" t="s">
        <v>1408</v>
      </c>
      <c r="F299" s="21"/>
      <c r="G299" s="21" t="s">
        <v>1409</v>
      </c>
      <c r="H299" s="21"/>
      <c r="I299" s="21" t="s">
        <v>72</v>
      </c>
      <c r="J299" s="22" t="n">
        <f aca="false">'Build-Up'!F140</f>
        <v>10000</v>
      </c>
    </row>
    <row r="300" customFormat="false" ht="73.5" hidden="false" customHeight="true" outlineLevel="0" collapsed="false">
      <c r="A300" s="17" t="s">
        <v>397</v>
      </c>
      <c r="B300" s="81" t="str">
        <f aca="false">'Build-Up'!B141</f>
        <v>Anchor and thrust blocks at bends and valves</v>
      </c>
      <c r="C300" s="21" t="s">
        <v>1394</v>
      </c>
      <c r="D300" s="21"/>
      <c r="E300" s="21" t="s">
        <v>1410</v>
      </c>
      <c r="F300" s="21"/>
      <c r="G300" s="21" t="s">
        <v>1404</v>
      </c>
      <c r="H300" s="21"/>
      <c r="I300" s="21" t="s">
        <v>72</v>
      </c>
      <c r="J300" s="22" t="n">
        <f aca="false">'Build-Up'!F141</f>
        <v>5000</v>
      </c>
    </row>
    <row r="301" customFormat="false" ht="118.5" hidden="false" customHeight="true" outlineLevel="0" collapsed="false">
      <c r="A301" s="17" t="s">
        <v>399</v>
      </c>
      <c r="B301" s="81" t="str">
        <f aca="false">'Build-Up'!B142</f>
        <v>Float-and-tape level indicators with local readout (RFP Scope of Works, work package 7 - level instrumentation)</v>
      </c>
      <c r="C301" s="89" t="s">
        <v>1411</v>
      </c>
      <c r="D301" s="89"/>
      <c r="E301" s="21" t="s">
        <v>1412</v>
      </c>
      <c r="F301" s="21"/>
      <c r="G301" s="21" t="s">
        <v>1413</v>
      </c>
      <c r="H301" s="21"/>
      <c r="I301" s="21" t="s">
        <v>1414</v>
      </c>
      <c r="J301" s="22" t="n">
        <f aca="false">'Build-Up'!F142</f>
        <v>7000</v>
      </c>
    </row>
    <row r="302" customFormat="false" ht="45.75" hidden="false" customHeight="true" outlineLevel="0" collapsed="false">
      <c r="A302" s="17" t="s">
        <v>401</v>
      </c>
      <c r="B302" s="81" t="str">
        <f aca="false">'Build-Up'!B143</f>
        <v>Level transmitters with remote indication</v>
      </c>
      <c r="C302" s="21" t="s">
        <v>1411</v>
      </c>
      <c r="D302" s="21"/>
      <c r="E302" s="21" t="s">
        <v>1415</v>
      </c>
      <c r="F302" s="21"/>
      <c r="G302" s="21" t="s">
        <v>1413</v>
      </c>
      <c r="H302" s="21"/>
      <c r="I302" s="21" t="s">
        <v>72</v>
      </c>
      <c r="J302" s="22" t="n">
        <f aca="false">'Build-Up'!F143</f>
        <v>9000</v>
      </c>
    </row>
    <row r="303" customFormat="false" ht="45.75" hidden="false" customHeight="true" outlineLevel="0" collapsed="false">
      <c r="A303" s="17" t="s">
        <v>404</v>
      </c>
      <c r="B303" s="81" t="str">
        <f aca="false">'Build-Up'!B144</f>
        <v>Instrument cabling and conduit to readout points</v>
      </c>
      <c r="C303" s="21" t="s">
        <v>1411</v>
      </c>
      <c r="D303" s="21"/>
      <c r="E303" s="21" t="s">
        <v>1416</v>
      </c>
      <c r="F303" s="21"/>
      <c r="G303" s="21" t="s">
        <v>1417</v>
      </c>
      <c r="H303" s="21"/>
      <c r="I303" s="21" t="s">
        <v>1418</v>
      </c>
      <c r="J303" s="22" t="n">
        <f aca="false">'Build-Up'!F144</f>
        <v>4000</v>
      </c>
    </row>
    <row r="304" customFormat="false" ht="67.5" hidden="false" customHeight="true" outlineLevel="0" collapsed="false">
      <c r="A304" s="14" t="s">
        <v>94</v>
      </c>
      <c r="B304" s="14" t="s">
        <v>1159</v>
      </c>
      <c r="C304" s="14" t="s">
        <v>1160</v>
      </c>
      <c r="D304" s="14"/>
      <c r="E304" s="14" t="s">
        <v>1161</v>
      </c>
      <c r="F304" s="14"/>
      <c r="G304" s="14" t="s">
        <v>1162</v>
      </c>
      <c r="H304" s="14"/>
      <c r="I304" s="14" t="s">
        <v>1163</v>
      </c>
      <c r="J304" s="14" t="s">
        <v>465</v>
      </c>
    </row>
    <row r="305" customFormat="false" ht="30" hidden="false" customHeight="true" outlineLevel="0" collapsed="false">
      <c r="A305" s="17" t="s">
        <v>407</v>
      </c>
      <c r="B305" s="81" t="str">
        <f aca="false">'Build-Up'!B145</f>
        <v>Pressure gauge assemblies on the outlet header (RFP Scope of Works 3.1)</v>
      </c>
      <c r="C305" s="89" t="s">
        <v>1419</v>
      </c>
      <c r="D305" s="89"/>
      <c r="E305" s="21" t="s">
        <v>1420</v>
      </c>
      <c r="F305" s="21"/>
      <c r="G305" s="21" t="s">
        <v>1306</v>
      </c>
      <c r="H305" s="21"/>
      <c r="I305" s="21" t="s">
        <v>72</v>
      </c>
      <c r="J305" s="22" t="n">
        <f aca="false">'Build-Up'!F145</f>
        <v>5000</v>
      </c>
    </row>
    <row r="306" customFormat="false" ht="30" hidden="false" customHeight="true" outlineLevel="0" collapsed="false">
      <c r="A306" s="17" t="s">
        <v>409</v>
      </c>
      <c r="B306" s="81" t="str">
        <f aca="false">'Build-Up'!B146</f>
        <v>Stainless steel sample taps on the outlet lines (RFP Scope of Works 3.1)</v>
      </c>
      <c r="C306" s="89" t="s">
        <v>1419</v>
      </c>
      <c r="D306" s="89"/>
      <c r="E306" s="21" t="s">
        <v>1421</v>
      </c>
      <c r="F306" s="21"/>
      <c r="G306" s="21" t="s">
        <v>1413</v>
      </c>
      <c r="H306" s="21"/>
      <c r="I306" s="21" t="s">
        <v>72</v>
      </c>
      <c r="J306" s="22" t="n">
        <f aca="false">'Build-Up'!F146</f>
        <v>3000</v>
      </c>
    </row>
    <row r="307" customFormat="false" ht="42" hidden="false" customHeight="true" outlineLevel="0" collapsed="false">
      <c r="A307" s="17" t="s">
        <v>411</v>
      </c>
      <c r="B307" s="81" t="str">
        <f aca="false">'Build-Up'!B147</f>
        <v>Tie-ins to the irrigation and firefighting networks</v>
      </c>
      <c r="C307" s="89" t="s">
        <v>1422</v>
      </c>
      <c r="D307" s="89"/>
      <c r="E307" s="21" t="s">
        <v>1423</v>
      </c>
      <c r="F307" s="21"/>
      <c r="G307" s="21" t="s">
        <v>1413</v>
      </c>
      <c r="H307" s="21"/>
      <c r="I307" s="21" t="s">
        <v>72</v>
      </c>
      <c r="J307" s="22" t="n">
        <f aca="false">'Build-Up'!F147</f>
        <v>12000</v>
      </c>
    </row>
    <row r="308" customFormat="false" ht="80.25" hidden="false" customHeight="true" outlineLevel="0" collapsed="false">
      <c r="A308" s="17" t="s">
        <v>414</v>
      </c>
      <c r="B308" s="81" t="str">
        <f aca="false">'Build-Up'!B148</f>
        <v>Tie-in coordination and out-of-hours working</v>
      </c>
      <c r="C308" s="89" t="s">
        <v>1419</v>
      </c>
      <c r="D308" s="89"/>
      <c r="E308" s="21" t="s">
        <v>1424</v>
      </c>
      <c r="F308" s="21"/>
      <c r="G308" s="21" t="s">
        <v>1413</v>
      </c>
      <c r="H308" s="21"/>
      <c r="I308" s="21" t="s">
        <v>1425</v>
      </c>
      <c r="J308" s="22" t="n">
        <f aca="false">'Build-Up'!F148</f>
        <v>8000</v>
      </c>
    </row>
    <row r="309" customFormat="false" ht="30" hidden="false" customHeight="true" outlineLevel="0" collapsed="false">
      <c r="A309" s="17" t="s">
        <v>416</v>
      </c>
      <c r="B309" s="81" t="str">
        <f aca="false">'Build-Up'!B149</f>
        <v>Test pump and manifold hire</v>
      </c>
      <c r="C309" s="89" t="s">
        <v>1426</v>
      </c>
      <c r="D309" s="89"/>
      <c r="E309" s="21" t="s">
        <v>1427</v>
      </c>
      <c r="F309" s="21"/>
      <c r="G309" s="21" t="s">
        <v>1335</v>
      </c>
      <c r="H309" s="21"/>
      <c r="I309" s="21" t="s">
        <v>1428</v>
      </c>
      <c r="J309" s="22" t="n">
        <f aca="false">'Build-Up'!F149</f>
        <v>3000</v>
      </c>
    </row>
    <row r="310" customFormat="false" ht="45.75" hidden="false" customHeight="true" outlineLevel="0" collapsed="false">
      <c r="A310" s="17" t="s">
        <v>418</v>
      </c>
      <c r="B310" s="81" t="str">
        <f aca="false">'Build-Up'!B150</f>
        <v>Test and flushing water for pipework, tankered</v>
      </c>
      <c r="C310" s="21" t="s">
        <v>1426</v>
      </c>
      <c r="D310" s="21"/>
      <c r="E310" s="21" t="s">
        <v>1429</v>
      </c>
      <c r="F310" s="21"/>
      <c r="G310" s="21" t="s">
        <v>1430</v>
      </c>
      <c r="H310" s="21"/>
      <c r="I310" s="21" t="s">
        <v>72</v>
      </c>
      <c r="J310" s="22" t="n">
        <f aca="false">'Build-Up'!F150</f>
        <v>4500</v>
      </c>
    </row>
    <row r="311" customFormat="false" ht="45.75" hidden="false" customHeight="true" outlineLevel="0" collapsed="false">
      <c r="A311" s="17" t="s">
        <v>420</v>
      </c>
      <c r="B311" s="81" t="str">
        <f aca="false">'Build-Up'!B151</f>
        <v>Pipework testing crew, 2 No. x 12 days</v>
      </c>
      <c r="C311" s="21" t="s">
        <v>1426</v>
      </c>
      <c r="D311" s="21"/>
      <c r="E311" s="21" t="s">
        <v>1431</v>
      </c>
      <c r="F311" s="21"/>
      <c r="G311" s="21" t="s">
        <v>1432</v>
      </c>
      <c r="H311" s="21"/>
      <c r="I311" s="21" t="s">
        <v>1433</v>
      </c>
      <c r="J311" s="22" t="n">
        <f aca="false">'Build-Up'!F151</f>
        <v>3600</v>
      </c>
    </row>
    <row r="312" customFormat="false" ht="45.75" hidden="false" customHeight="true" outlineLevel="0" collapsed="false">
      <c r="A312" s="17" t="s">
        <v>422</v>
      </c>
      <c r="B312" s="81" t="str">
        <f aca="false">'Build-Up'!B152</f>
        <v>Test records, calibrated gauges and certificates</v>
      </c>
      <c r="C312" s="21" t="s">
        <v>1426</v>
      </c>
      <c r="D312" s="21"/>
      <c r="E312" s="21" t="s">
        <v>1434</v>
      </c>
      <c r="F312" s="21"/>
      <c r="G312" s="21" t="s">
        <v>1435</v>
      </c>
      <c r="H312" s="21"/>
      <c r="I312" s="21" t="s">
        <v>72</v>
      </c>
      <c r="J312" s="22" t="n">
        <f aca="false">'Build-Up'!F152</f>
        <v>3600</v>
      </c>
    </row>
    <row r="313" customFormat="false" ht="73.5" hidden="false" customHeight="true" outlineLevel="0" collapsed="false">
      <c r="A313" s="17" t="s">
        <v>425</v>
      </c>
      <c r="B313" s="81" t="str">
        <f aca="false">'Build-Up'!B153</f>
        <v>Purple/lilac colour-band painting on external piping</v>
      </c>
      <c r="C313" s="21" t="s">
        <v>1394</v>
      </c>
      <c r="D313" s="21"/>
      <c r="E313" s="21" t="s">
        <v>1436</v>
      </c>
      <c r="F313" s="21"/>
      <c r="G313" s="21" t="s">
        <v>1437</v>
      </c>
      <c r="H313" s="21"/>
      <c r="I313" s="21" t="s">
        <v>72</v>
      </c>
      <c r="J313" s="22" t="n">
        <f aca="false">'Build-Up'!F153</f>
        <v>5200</v>
      </c>
    </row>
    <row r="314" customFormat="false" ht="73.5" hidden="false" customHeight="true" outlineLevel="0" collapsed="false">
      <c r="A314" s="17" t="s">
        <v>427</v>
      </c>
      <c r="B314" s="81" t="str">
        <f aca="false">'Build-Up'!B154</f>
        <v>Identification tags, flow arrows and labels</v>
      </c>
      <c r="C314" s="21" t="s">
        <v>1394</v>
      </c>
      <c r="D314" s="21"/>
      <c r="E314" s="21" t="s">
        <v>1438</v>
      </c>
      <c r="F314" s="21"/>
      <c r="G314" s="21" t="s">
        <v>1439</v>
      </c>
      <c r="H314" s="21"/>
      <c r="I314" s="21" t="s">
        <v>72</v>
      </c>
      <c r="J314" s="22" t="n">
        <f aca="false">'Build-Up'!F154</f>
        <v>3880</v>
      </c>
    </row>
    <row r="315" customFormat="false" ht="30" hidden="false" customHeight="true" outlineLevel="0" collapsed="false">
      <c r="A315" s="19" t="s">
        <v>1440</v>
      </c>
      <c r="B315" s="18" t="s">
        <v>56</v>
      </c>
      <c r="C315" s="21" t="s">
        <v>1441</v>
      </c>
      <c r="D315" s="21"/>
      <c r="E315" s="21" t="s">
        <v>1255</v>
      </c>
      <c r="F315" s="21"/>
      <c r="G315" s="21" t="s">
        <v>1255</v>
      </c>
      <c r="H315" s="21"/>
      <c r="I315" s="21" t="s">
        <v>1255</v>
      </c>
      <c r="J315" s="20" t="s">
        <v>774</v>
      </c>
    </row>
    <row r="316" customFormat="false" ht="80.25" hidden="false" customHeight="true" outlineLevel="0" collapsed="false">
      <c r="A316" s="26"/>
      <c r="B316" s="26" t="s">
        <v>1442</v>
      </c>
      <c r="C316" s="26"/>
      <c r="D316" s="26"/>
      <c r="E316" s="26"/>
      <c r="F316" s="26"/>
      <c r="G316" s="26"/>
      <c r="H316" s="26"/>
      <c r="I316" s="21" t="s">
        <v>1443</v>
      </c>
      <c r="J316" s="86" t="n">
        <f aca="false">SUM(J214:J315)+'Build-Up'!F96</f>
        <v>6823588.27</v>
      </c>
    </row>
    <row r="317" customFormat="false" ht="19.5" hidden="false" customHeight="true" outlineLevel="0" collapsed="false">
      <c r="A317" s="26"/>
      <c r="B317" s="26" t="s">
        <v>1444</v>
      </c>
      <c r="C317" s="26"/>
      <c r="D317" s="26"/>
      <c r="E317" s="26"/>
      <c r="F317" s="26"/>
      <c r="G317" s="26"/>
      <c r="H317" s="26"/>
      <c r="I317" s="26"/>
      <c r="J317" s="86" t="n">
        <f aca="false">ROUND(J316-Assessment!$K$19,2)</f>
        <v>0</v>
      </c>
    </row>
  </sheetData>
  <mergeCells count="429">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 ref="C314:D314"/>
    <mergeCell ref="E314:F314"/>
    <mergeCell ref="G314:H314"/>
    <mergeCell ref="C315:D315"/>
    <mergeCell ref="E315:F315"/>
    <mergeCell ref="G315:H315"/>
  </mergeCells>
  <hyperlinks>
    <hyperlink ref="B5" location="'Build-Up'!A1" display="Back to 'Build-Up'"/>
    <hyperlink ref="J5" location="'XER WBS'!A1" display="Forward to 'XER WBS' (the Contractor's programme as received)   |   Back to 'Assessment'"/>
    <hyperlink ref="C20" location="'XER WBS'!A104" display="#'XER WBS'.A104"/>
    <hyperlink ref="D20" location="'XER WBS'!A105" display="#'XER WBS'.A105"/>
    <hyperlink ref="C21" location="'XER WBS'!A107" display="#'XER WBS'.A107"/>
    <hyperlink ref="D21" location="'XER WBS'!A110" display="#'XER WBS'.A110"/>
    <hyperlink ref="C23" location="'XER WBS'!A115" display="#'XER WBS'.A115"/>
    <hyperlink ref="D23" location="'XER WBS'!A115" display="#'XER WBS'.A115"/>
    <hyperlink ref="C24" location="'XER WBS'!A121" display="#'XER WBS'.A121"/>
    <hyperlink ref="D24" location="'XER WBS'!A121" display="#'XER WBS'.A121"/>
    <hyperlink ref="C25" location="'XER WBS'!A122" display="#'XER WBS'.A122"/>
    <hyperlink ref="D25" location="'XER WBS'!A122" display="#'XER WBS'.A122"/>
    <hyperlink ref="C26" location="'XER WBS'!A128" display="#'XER WBS'.A128"/>
    <hyperlink ref="D26" location="'XER WBS'!A128" display="#'XER WBS'.A128"/>
    <hyperlink ref="C27" location="'XER WBS'!A132" display="#'XER WBS'.A132"/>
    <hyperlink ref="D27" location="'XER WBS'!A132" display="#'XER WBS'.A132"/>
    <hyperlink ref="C28" location="'XER WBS'!A133" display="#'XER WBS'.A133"/>
    <hyperlink ref="D28" location="'XER WBS'!A135" display="#'XER WBS'.A135"/>
    <hyperlink ref="C29" location="'XER WBS'!A125" display="#'XER WBS'.A125"/>
    <hyperlink ref="D29" location="'XER WBS'!A125" display="#'XER WBS'.A125"/>
    <hyperlink ref="C30" location="'XER WBS'!A127" display="#'XER WBS'.A127"/>
    <hyperlink ref="D30" location="'XER WBS'!A127" display="#'XER WBS'.A127"/>
    <hyperlink ref="C31" location="'XER WBS'!A129" display="#'XER WBS'.A129"/>
    <hyperlink ref="D31" location="'XER WBS'!A129" display="#'XER WBS'.A129"/>
    <hyperlink ref="C32" location="'XER WBS'!A136" display="#'XER WBS'.A136"/>
    <hyperlink ref="D32" location="'XER WBS'!A136" display="#'XER WBS'.A136"/>
    <hyperlink ref="C33" location="'XER WBS'!A137" display="#'XER WBS'.A137"/>
    <hyperlink ref="D33" location="'XER WBS'!A137" display="#'XER WBS'.A137"/>
    <hyperlink ref="C34" location="'XER WBS'!A138" display="#'XER WBS'.A138"/>
    <hyperlink ref="D34" location="'XER WBS'!A140" display="#'XER WBS'.A140"/>
    <hyperlink ref="C35" location="'XER WBS'!A141" display="#'XER WBS'.A141"/>
    <hyperlink ref="D35" location="'XER WBS'!A141" display="#'XER WBS'.A141"/>
    <hyperlink ref="C36" location="'XER WBS'!A142" display="#'XER WBS'.A142"/>
    <hyperlink ref="D36" location="'XER WBS'!A142" display="#'XER WBS'.A142"/>
    <hyperlink ref="C37" location="'XER WBS'!A143" display="#'XER WBS'.A143"/>
    <hyperlink ref="D37" location="'XER WBS'!A144" display="#'XER WBS'.A144"/>
    <hyperlink ref="C39" location="'Programme'!A37" display="#'Programme'.A37"/>
    <hyperlink ref="D39" location="'Programme'!A37" display="#'Programme'.A37"/>
    <hyperlink ref="E39" location="'Programme'!A37" display="#'Programme'.A37"/>
    <hyperlink ref="F39" location="'Programme'!A28" display="#'Programme'.A28"/>
    <hyperlink ref="H39" location="'XER WBS'!A143" display="#'XER WBS'.A143"/>
    <hyperlink ref="C40" location="'Programme'!A37" display="#'Programme'.A37"/>
    <hyperlink ref="D40" location="'Programme'!A37" display="#'Programme'.A37"/>
    <hyperlink ref="E40" location="'Programme'!A37" display="#'Programme'.A37"/>
    <hyperlink ref="F40" location="'Programme'!A39" display="#'Programme'.A39"/>
    <hyperlink ref="C41" location="'Programme'!A37" display="#'Programme'.A37"/>
    <hyperlink ref="D41" location="'Programme'!A37" display="#'Programme'.A37"/>
    <hyperlink ref="E41" location="'Programme'!A37" display="#'Programme'.A37"/>
    <hyperlink ref="F41" location="'Programme'!A40" display="#'Programme'.A40"/>
    <hyperlink ref="C42" location="'Programme'!A37" display="#'Programme'.A37"/>
    <hyperlink ref="D42" location="'Programme'!A37" display="#'Programme'.A37"/>
    <hyperlink ref="E42" location="'Programme'!A37" display="#'Programme'.A37"/>
    <hyperlink ref="F42" location="'Programme'!A40" display="#'Programme'.A40"/>
    <hyperlink ref="C43" location="'Programme'!A37" display="#'Programme'.A37"/>
    <hyperlink ref="D43" location="'Programme'!A37" display="#'Programme'.A37"/>
    <hyperlink ref="E43" location="'Programme'!A37" display="#'Programme'.A37"/>
    <hyperlink ref="F43" location="'Programme'!A36" display="#'Programme'.A36"/>
    <hyperlink ref="C45" location="'Programme'!A37" display="#'Programme'.A37"/>
    <hyperlink ref="D45" location="'Programme'!A37" display="#'Programme'.A37"/>
    <hyperlink ref="E45" location="'Programme'!A37" display="#'Programme'.A37"/>
    <hyperlink ref="F45" location="'Programme'!A36" display="#'Programme'.A36"/>
    <hyperlink ref="C46" location="'XER WBS'!A145" display="#'XER WBS'.A145"/>
    <hyperlink ref="F46" location="'Programme'!A45" display="#'Programme'.A45"/>
    <hyperlink ref="C47" location="'XER WBS'!A147" display="#'XER WBS'.A147"/>
    <hyperlink ref="D47" location="'XER WBS'!A147" display="#'XER WBS'.A147"/>
    <hyperlink ref="F47" location="'Programme'!A46" display="#'Programme'.A46"/>
    <hyperlink ref="C49" location="'Programme'!A20" display="#'Programme'.A20"/>
    <hyperlink ref="D49" location="'Programme'!A47" display="#'Programme'.A47"/>
    <hyperlink ref="F49" location="'Programme'!A20" display="#'Programme'.A20"/>
    <hyperlink ref="G49" location="'Programme'!A47" display="#'Programme'.A47"/>
    <hyperlink ref="C50" location="'Programme'!A20" display="#'Programme'.A20"/>
    <hyperlink ref="D50" location="'Programme'!A46" display="#'Programme'.A46"/>
    <hyperlink ref="F50" location="'Programme'!A20" display="#'Programme'.A20"/>
    <hyperlink ref="G50" location="'Programme'!A46" display="#'Programme'.A46"/>
    <hyperlink ref="C51" location="'Programme'!A23" display="#'Programme'.A23"/>
    <hyperlink ref="D51" location="'Programme'!A34" display="#'Programme'.A34"/>
    <hyperlink ref="C52" location="'Programme'!A24" display="#'Programme'.A24"/>
    <hyperlink ref="D52" location="'Programme'!A33" display="#'Programme'.A33"/>
    <hyperlink ref="C53" location="'XER WBS'!A112" display="#'XER WBS'.A112"/>
    <hyperlink ref="D53" location="'Programme'!A33" display="#'Programme'.A33"/>
    <hyperlink ref="C57" location="'Programme'!A20" display="#'Programme'.A20"/>
    <hyperlink ref="D57" location="'Programme'!A36" display="#'Programme'.A36"/>
    <hyperlink ref="C58" location="'Programme'!A57" display="#'Programme'.A57"/>
    <hyperlink ref="E58" location="'XER WBS'!A112" display="#'XER WBS'.A112"/>
    <hyperlink ref="C59" location="'Programme'!A58" display="#'Programme'.A58"/>
    <hyperlink ref="E59" location="'Programme'!A58" display="#'Programme'.A58"/>
    <hyperlink ref="C68" location="'XER WBS'!A115" display="#'XER WBS'.A115"/>
    <hyperlink ref="C69" location="'XER WBS'!A115" display="#'XER WBS'.A115"/>
    <hyperlink ref="C70" location="'XER WBS'!A115" display="#'XER WBS'.A115"/>
    <hyperlink ref="C71" location="'XER WBS'!A115" display="#'XER WBS'.A115"/>
    <hyperlink ref="C72" location="'XER WBS'!A121" display="#'XER WBS'.A121"/>
    <hyperlink ref="C73" location="'XER WBS'!A121" display="#'XER WBS'.A121"/>
    <hyperlink ref="C74" location="'XER WBS'!A121" display="#'XER WBS'.A121"/>
    <hyperlink ref="C75" location="'XER WBS'!A127" display="#'XER WBS'.A127"/>
    <hyperlink ref="C76" location="'XER WBS'!A127" display="#'XER WBS'.A127"/>
    <hyperlink ref="C77" location="'XER WBS'!A129" display="#'XER WBS'.A129"/>
    <hyperlink ref="C78" location="'XER WBS'!A136" display="#'XER WBS'.A136"/>
    <hyperlink ref="C79" location="'XER WBS'!A137" display="#'XER WBS'.A137"/>
    <hyperlink ref="I85" location="'Programme'!B84" display="#'Programme'.B84"/>
    <hyperlink ref="C102" location="'Programme'!A77" display="#'Programme'.A77"/>
    <hyperlink ref="D102" location="'Programme'!A78" display="#'Programme'.A78"/>
    <hyperlink ref="E102" location="'Programme'!A79" display="#'Programme'.A79"/>
    <hyperlink ref="F102" location="'Programme'!A80" display="#'Programme'.A80"/>
    <hyperlink ref="C103" location="'Programme'!B102" display="#'Programme'.B102"/>
    <hyperlink ref="D103" location="'Programme'!B102" display="#'Programme'.B102"/>
    <hyperlink ref="E103" location="'Programme'!B102" display="#'Programme'.B102"/>
    <hyperlink ref="F103" location="'Programme'!B102" display="#'Programme'.B102"/>
    <hyperlink ref="G103" location="'Programme'!B102" display="#'Programme'.B102"/>
    <hyperlink ref="H103" location="'Programme'!B102" display="#'Programme'.B102"/>
    <hyperlink ref="H104" location="'Programme'!B133" display="#'Programme'.B133"/>
    <hyperlink ref="D108" location="'Programme'!A77" display="#'Programme'.A77"/>
    <hyperlink ref="D109" location="'Programme'!A77" display="#'Programme'.A77"/>
    <hyperlink ref="D110" location="'Programme'!A77" display="#'Programme'.A77"/>
    <hyperlink ref="D111" location="'Programme'!A77" display="#'Programme'.A77"/>
    <hyperlink ref="D112" location="'Programme'!A77" display="#'Programme'.A77"/>
    <hyperlink ref="D113" location="'Programme'!A77" display="#'Programme'.A77"/>
    <hyperlink ref="D114" location="'Programme'!A78" display="#'Programme'.A78"/>
    <hyperlink ref="D115" location="'Programme'!A78" display="#'Programme'.A78"/>
    <hyperlink ref="D116" location="'Programme'!A78" display="#'Programme'.A78"/>
    <hyperlink ref="D117" location="'Programme'!A78" display="#'Programme'.A78"/>
    <hyperlink ref="D118" location="'Programme'!A78" display="#'Programme'.A78"/>
    <hyperlink ref="D119" location="'Programme'!A78" display="#'Programme'.A78"/>
    <hyperlink ref="D120" location="'Programme'!A79" display="#'Programme'.A79"/>
    <hyperlink ref="D121" location="'Programme'!A79" display="#'Programme'.A79"/>
    <hyperlink ref="D122" location="'Programme'!A79" display="#'Programme'.A79"/>
    <hyperlink ref="D123" location="'Programme'!A79" display="#'Programme'.A79"/>
    <hyperlink ref="D124" location="'Programme'!A79" display="#'Programme'.A79"/>
    <hyperlink ref="D125" location="'Programme'!A79" display="#'Programme'.A79"/>
    <hyperlink ref="D126" location="'Programme'!A80" display="#'Programme'.A80"/>
    <hyperlink ref="D128" location="'Programme'!A80" display="#'Programme'.A80"/>
    <hyperlink ref="D129" location="'Programme'!A80" display="#'Programme'.A80"/>
    <hyperlink ref="D130" location="'Programme'!A80" display="#'Programme'.A80"/>
    <hyperlink ref="D131" location="'Programme'!A80" display="#'Programme'.A80"/>
    <hyperlink ref="D132" location="'Programme'!A80" display="#'Programme'.A80"/>
    <hyperlink ref="E136" location="'Programme'!A65" display="#'Programme'.A65"/>
    <hyperlink ref="E137" location="'Programme'!A66" display="#'Programme'.A66"/>
    <hyperlink ref="E139" location="'Programme'!A74" display="#'Programme'.A74"/>
    <hyperlink ref="E141" location="'Programme'!A80" display="#'Programme'.A80"/>
    <hyperlink ref="C145" location="'XER WBS'!A112" display="#'XER WBS'.A112"/>
    <hyperlink ref="D145" location="'XER WBS'!A127" display="#'XER WBS'.A127"/>
    <hyperlink ref="C146" location="'XER WBS'!A136" display="#'XER WBS'.A136"/>
    <hyperlink ref="D146" location="'XER WBS'!A137" display="#'XER WBS'.A137"/>
    <hyperlink ref="F146" location="'XER WBS'!A136" display="#'XER WBS'.A136"/>
    <hyperlink ref="F147" location="'Programme'!A145" display="#'Programme'.A145"/>
    <hyperlink ref="C148" location="'XER WBS'!A121" display="#'XER WBS'.A121"/>
    <hyperlink ref="D148" location="'XER WBS'!A129" display="#'XER WBS'.A129"/>
    <hyperlink ref="E148" location="'XER WBS'!A121" display="#'XER WBS'.A121"/>
    <hyperlink ref="F148" location="'XER WBS'!A121" display="#'XER WBS'.A121"/>
    <hyperlink ref="C149" location="'XER WBS'!A128" display="#'XER WBS'.A128"/>
    <hyperlink ref="D149" location="'XER WBS'!A137" display="#'XER WBS'.A137"/>
    <hyperlink ref="E149" location="'XER WBS'!A128" display="#'XER WBS'.A128"/>
    <hyperlink ref="C150" location="'XER WBS'!A128" display="#'XER WBS'.A128"/>
    <hyperlink ref="D150" location="'XER WBS'!A132" display="#'XER WBS'.A132"/>
    <hyperlink ref="F153" location="'Programme'!A148" display="#'Programme'.A148"/>
    <hyperlink ref="C155" location="'Programme'!A49" display="#'Programme'.A49"/>
    <hyperlink ref="D155" location="'Programme'!A49" display="#'Programme'.A49"/>
    <hyperlink ref="C156" location="'Programme'!A49" display="#'Programme'.A49"/>
    <hyperlink ref="D156" location="'Programme'!A49" display="#'Programme'.A49"/>
    <hyperlink ref="C157" location="'Programme'!A21" display="#'Programme'.A21"/>
    <hyperlink ref="D157" location="'Programme'!A46" display="#'Programme'.A46"/>
    <hyperlink ref="C158" location="'Programme'!A49" display="#'Programme'.A49"/>
    <hyperlink ref="D158" location="'Programme'!A49" display="#'Programme'.A49"/>
    <hyperlink ref="C159" location="'XER WBS'!A112" display="#'XER WBS'.A112"/>
    <hyperlink ref="D159" location="'Programme'!A46" display="#'Programme'.A46"/>
    <hyperlink ref="A164" location="'Build-Up'!A9" display="1.1"/>
    <hyperlink ref="B164" location="'Build-Up'!A9" display="#'Build-Up'.A9"/>
    <hyperlink ref="C164" location="'Build-Up'!A9" display="#'Build-Up'.A9"/>
    <hyperlink ref="D164" location="'Build-Up'!A9" display="#'Build-Up'.A9"/>
    <hyperlink ref="F164" location="'Programme'!A49" display="#'Programme'.A49"/>
    <hyperlink ref="G164" location="'Programme'!A155" display="#'Programme'.A155"/>
    <hyperlink ref="A165" location="'Build-Up'!A10" display="1.2"/>
    <hyperlink ref="B165" location="'Build-Up'!A10" display="#'Build-Up'.A10"/>
    <hyperlink ref="C165" location="'Build-Up'!A10" display="#'Build-Up'.A10"/>
    <hyperlink ref="D165" location="'Build-Up'!A10" display="#'Build-Up'.A10"/>
    <hyperlink ref="F165" location="'Programme'!A49" display="#'Programme'.A49"/>
    <hyperlink ref="G165" location="'Programme'!A156" display="#'Programme'.A156"/>
    <hyperlink ref="A166" location="'Build-Up'!A11" display="1.3"/>
    <hyperlink ref="B166" location="'Build-Up'!A11" display="#'Build-Up'.A11"/>
    <hyperlink ref="C166" location="'Build-Up'!A11" display="#'Build-Up'.A11"/>
    <hyperlink ref="D166" location="'Build-Up'!A11" display="#'Build-Up'.A11"/>
    <hyperlink ref="F166" location="'Programme'!A49" display="#'Programme'.A49"/>
    <hyperlink ref="G166" location="'Programme'!A157" display="#'Programme'.A157"/>
    <hyperlink ref="A167" location="'Build-Up'!A12" display="1.4"/>
    <hyperlink ref="B167" location="'Build-Up'!A12" display="#'Build-Up'.A12"/>
    <hyperlink ref="C167" location="'Build-Up'!A12" display="#'Build-Up'.A12"/>
    <hyperlink ref="D167" location="'Build-Up'!A12" display="#'Build-Up'.A12"/>
    <hyperlink ref="F167" location="'Programme'!A49" display="#'Programme'.A49"/>
    <hyperlink ref="G167" location="'Programme'!A158" display="#'Programme'.A158"/>
    <hyperlink ref="A168" location="'Build-Up'!A13" display="1.5"/>
    <hyperlink ref="B168" location="'Build-Up'!A13" display="#'Build-Up'.A13"/>
    <hyperlink ref="C168" location="'Build-Up'!A13" display="#'Build-Up'.A13"/>
    <hyperlink ref="D168" location="'Build-Up'!A13" display="#'Build-Up'.A13"/>
    <hyperlink ref="F168" location="'Programme'!A49" display="#'Programme'.A49"/>
    <hyperlink ref="G168" location="'Programme'!A159" display="#'Programme'.A159"/>
    <hyperlink ref="A169" location="'Build-Up'!A14" display="1.6"/>
    <hyperlink ref="B169" location="'Build-Up'!A14" display="#'Build-Up'.A14"/>
    <hyperlink ref="C169" location="'Build-Up'!A14" display="#'Build-Up'.A14"/>
    <hyperlink ref="D169" location="'Build-Up'!A14" display="#'Build-Up'.A14"/>
    <hyperlink ref="F169" location="'Programme'!A49" display="#'Programme'.A49"/>
    <hyperlink ref="G169" location="'Programme'!A49" display="#'Programme'.A49"/>
    <hyperlink ref="A171" location="'Build-Up'!A15" display="1.7"/>
    <hyperlink ref="B171" location="'Build-Up'!A15" display="#'Build-Up'.A15"/>
    <hyperlink ref="C171" location="'Build-Up'!A15" display="#'Build-Up'.A15"/>
    <hyperlink ref="D171" location="'Build-Up'!A15" display="#'Build-Up'.A15"/>
    <hyperlink ref="F171" location="'Programme'!A49" display="#'Programme'.A49"/>
    <hyperlink ref="G171" location="'Programme'!A49" display="#'Programme'.A49"/>
    <hyperlink ref="A172" location="'Build-Up'!A16" display="1.8"/>
    <hyperlink ref="B172" location="'Build-Up'!A16" display="#'Build-Up'.A16"/>
    <hyperlink ref="C172" location="'Build-Up'!A16" display="#'Build-Up'.A16"/>
    <hyperlink ref="D172" location="'Build-Up'!A16" display="#'Build-Up'.A16"/>
    <hyperlink ref="F172" location="'Programme'!A49" display="#'Programme'.A49"/>
    <hyperlink ref="G172" location="'Programme'!A49" display="#'Programme'.A49"/>
    <hyperlink ref="A173" location="'Build-Up'!A17" display="1.9"/>
    <hyperlink ref="B173" location="'Build-Up'!A17" display="#'Build-Up'.A17"/>
    <hyperlink ref="C173" location="'Build-Up'!A17" display="#'Build-Up'.A17"/>
    <hyperlink ref="D173" location="'Build-Up'!A17" display="#'Build-Up'.A17"/>
    <hyperlink ref="F173" location="'Programme'!A49" display="#'Programme'.A49"/>
    <hyperlink ref="G173" location="'Programme'!A49" display="#'Programme'.A49"/>
    <hyperlink ref="A174" location="'Build-Up'!A18" display="1.10"/>
    <hyperlink ref="B174" location="'Build-Up'!A18" display="#'Build-Up'.A18"/>
    <hyperlink ref="C174" location="'Build-Up'!A18" display="#'Build-Up'.A18"/>
    <hyperlink ref="D174" location="'Build-Up'!A18" display="#'Build-Up'.A18"/>
    <hyperlink ref="F174" location="'Programme'!A49" display="#'Programme'.A49"/>
    <hyperlink ref="G174" location="'Programme'!A49" display="#'Programme'.A49"/>
    <hyperlink ref="A175" location="'Build-Up'!A19" display="1.11"/>
    <hyperlink ref="B175" location="'Build-Up'!A19" display="#'Build-Up'.A19"/>
    <hyperlink ref="C175" location="'Build-Up'!A19" display="#'Build-Up'.A19"/>
    <hyperlink ref="D175" location="'Build-Up'!A19" display="#'Build-Up'.A19"/>
    <hyperlink ref="F175" location="'Programme'!A53" display="#'Programme'.A53"/>
    <hyperlink ref="G175" location="'Programme'!A53" display="#'Programme'.A53"/>
    <hyperlink ref="A176" location="'Build-Up'!A20" display="1.12"/>
    <hyperlink ref="B176" location="'Build-Up'!A20" display="#'Build-Up'.A20"/>
    <hyperlink ref="C176" location="'Build-Up'!A20" display="#'Build-Up'.A20"/>
    <hyperlink ref="D176" location="'Build-Up'!A20" display="#'Build-Up'.A20"/>
    <hyperlink ref="F176" location="'Programme'!A49" display="#'Programme'.A49"/>
    <hyperlink ref="G176" location="'Programme'!A49" display="#'Programme'.A49"/>
    <hyperlink ref="A177" location="'Build-Up'!A21" display="1.13"/>
    <hyperlink ref="B177" location="'Build-Up'!A21" display="#'Build-Up'.A21"/>
    <hyperlink ref="C177" location="'Build-Up'!A21" display="#'Build-Up'.A21"/>
    <hyperlink ref="D177" location="'Build-Up'!A21" display="#'Build-Up'.A21"/>
    <hyperlink ref="F177" location="'Programme'!A49" display="#'Programme'.A49"/>
    <hyperlink ref="G177" location="'Programme'!A49" display="#'Programme'.A49"/>
    <hyperlink ref="A178" location="'Build-Up'!A75" display="5.1"/>
    <hyperlink ref="B178" location="'Build-Up'!A75" display="#'Build-Up'.A75"/>
    <hyperlink ref="C178" location="'Build-Up'!A75" display="#'Build-Up'.A75"/>
    <hyperlink ref="D178" location="'Build-Up'!A75" display="#'Build-Up'.A75"/>
    <hyperlink ref="F178" location="'Programme'!A153" display="#'Programme'.A153"/>
    <hyperlink ref="G178" location="'Programme'!A153" display="#'Programme'.A153"/>
    <hyperlink ref="A179" location="'Build-Up'!A76" display="5.2"/>
    <hyperlink ref="B179" location="'Build-Up'!A76" display="#'Build-Up'.A76"/>
    <hyperlink ref="C179" location="'Build-Up'!A76" display="#'Build-Up'.A76"/>
    <hyperlink ref="D179" location="'Build-Up'!A76" display="#'Build-Up'.A76"/>
    <hyperlink ref="F179" location="'Programme'!A147" display="#'Programme'.A147"/>
    <hyperlink ref="G179" location="'Programme'!A147" display="#'Programme'.A147"/>
    <hyperlink ref="A180" location="'Build-Up'!A78" display="5.4"/>
    <hyperlink ref="B180" location="'Build-Up'!A78" display="#'Build-Up'.A78"/>
    <hyperlink ref="C180" location="'Build-Up'!A78" display="#'Build-Up'.A78"/>
    <hyperlink ref="D180" location="'Build-Up'!A78" display="#'Build-Up'.A78"/>
    <hyperlink ref="F180" location="'Programme'!A52" display="#'Programme'.A52"/>
    <hyperlink ref="G180" location="'Programme'!A52" display="#'Programme'.A52"/>
    <hyperlink ref="A181" location="'Build-Up'!A80" display="5.6"/>
    <hyperlink ref="B181" location="'Build-Up'!A80" display="#'Build-Up'.A80"/>
    <hyperlink ref="C181" location="'Build-Up'!A80" display="#'Build-Up'.A80"/>
    <hyperlink ref="D181" location="'Build-Up'!A80" display="#'Build-Up'.A80"/>
    <hyperlink ref="F181" location="'Programme'!A52" display="#'Programme'.A52"/>
    <hyperlink ref="G181" location="'Programme'!A52" display="#'Programme'.A52"/>
    <hyperlink ref="A182" location="'Build-Up'!A81" display="5.7"/>
    <hyperlink ref="B182" location="'Build-Up'!A81" display="#'Build-Up'.A81"/>
    <hyperlink ref="C182" location="'Build-Up'!A81" display="#'Build-Up'.A81"/>
    <hyperlink ref="D182" location="'Build-Up'!A81" display="#'Build-Up'.A81"/>
    <hyperlink ref="F182" location="'Programme'!A50" display="#'Programme'.A50"/>
    <hyperlink ref="G182" location="'Programme'!A50" display="#'Programme'.A50"/>
    <hyperlink ref="A183" location="'Build-Up'!A82" display="5.8"/>
    <hyperlink ref="B183" location="'Build-Up'!A82" display="#'Build-Up'.A82"/>
    <hyperlink ref="C183" location="'Build-Up'!A82" display="#'Build-Up'.A82"/>
    <hyperlink ref="D183" location="'Build-Up'!A82" display="#'Build-Up'.A82"/>
    <hyperlink ref="F183" location="'Programme'!A49" display="#'Programme'.A49"/>
    <hyperlink ref="G183" location="'Programme'!A49" display="#'Programme'.A49"/>
    <hyperlink ref="A184" location="'Build-Up'!A83" display="5.9"/>
    <hyperlink ref="B184" location="'Build-Up'!A83" display="#'Build-Up'.A83"/>
    <hyperlink ref="C184" location="'Build-Up'!A83" display="#'Build-Up'.A83"/>
    <hyperlink ref="D184" location="'Build-Up'!A83" display="#'Build-Up'.A83"/>
    <hyperlink ref="F184" location="'Programme'!A49" display="#'Programme'.A49"/>
    <hyperlink ref="G184" location="'Programme'!A49" display="#'Programme'.A49"/>
    <hyperlink ref="A185" location="'Build-Up'!A84" display="5.10"/>
    <hyperlink ref="B185" location="'Build-Up'!A84" display="#'Build-Up'.A84"/>
    <hyperlink ref="C185" location="'Build-Up'!A84" display="#'Build-Up'.A84"/>
    <hyperlink ref="D185" location="'Build-Up'!A84" display="#'Build-Up'.A84"/>
    <hyperlink ref="F185" location="'Programme'!B85" display="#'Programme'.B85"/>
    <hyperlink ref="G185" location="'Programme'!B85" display="#'Programme'.B85"/>
    <hyperlink ref="A186" location="'Build-Up'!A85" display="5.11"/>
    <hyperlink ref="B186" location="'Build-Up'!A85" display="#'Build-Up'.A85"/>
    <hyperlink ref="C186" location="'Build-Up'!A85" display="#'Build-Up'.A85"/>
    <hyperlink ref="D186" location="'Build-Up'!A85" display="#'Build-Up'.A85"/>
    <hyperlink ref="F186" location="'Programme'!A51" display="#'Programme'.A51"/>
    <hyperlink ref="G186" location="'Programme'!A51" display="#'Programme'.A51"/>
    <hyperlink ref="A187" location="'Build-Up'!A88" display="5.14"/>
    <hyperlink ref="B187" location="'Build-Up'!A88" display="#'Build-Up'.A88"/>
    <hyperlink ref="C187" location="'Build-Up'!A88" display="#'Build-Up'.A88"/>
    <hyperlink ref="D187" location="'Build-Up'!A88" display="#'Build-Up'.A88"/>
    <hyperlink ref="F187" location="'Programme'!A51" display="#'Programme'.A51"/>
    <hyperlink ref="G187" location="'Programme'!A51" display="#'Programme'.A51"/>
    <hyperlink ref="A188" location="'Build-Up'!A102" display="7.1"/>
    <hyperlink ref="B188" location="'Build-Up'!A102" display="#'Build-Up'.A102"/>
    <hyperlink ref="C188" location="'Build-Up'!A102" display="#'Build-Up'.A102"/>
    <hyperlink ref="D188" location="'Build-Up'!A102" display="#'Build-Up'.A102"/>
    <hyperlink ref="A189" location="'Build-Up'!A103" display="7.2"/>
    <hyperlink ref="B189" location="'Build-Up'!A103" display="#'Build-Up'.A103"/>
    <hyperlink ref="C189" location="'Build-Up'!A103" display="#'Build-Up'.A103"/>
    <hyperlink ref="D189" location="'Build-Up'!A103" display="#'Build-Up'.A103"/>
    <hyperlink ref="G189" location="'Programme'!A40" display="#'Programme'.A40"/>
    <hyperlink ref="A190" location="'Build-Up'!A104" display="7.3"/>
    <hyperlink ref="B190" location="'Build-Up'!A104" display="#'Build-Up'.A104"/>
    <hyperlink ref="C190" location="'Build-Up'!A104" display="#'Build-Up'.A104"/>
    <hyperlink ref="D190" location="'Build-Up'!A104" display="#'Build-Up'.A104"/>
    <hyperlink ref="A191" location="'Build-Up'!A105" display="7.4"/>
    <hyperlink ref="B191" location="'Build-Up'!A105" display="#'Build-Up'.A105"/>
    <hyperlink ref="C191" location="'Build-Up'!A105" display="#'Build-Up'.A105"/>
    <hyperlink ref="D191" location="'Build-Up'!A105" display="#'Build-Up'.A105"/>
    <hyperlink ref="A193" location="'Build-Up'!A106" display="7.5"/>
    <hyperlink ref="B193" location="'Build-Up'!A106" display="#'Build-Up'.A106"/>
    <hyperlink ref="C193" location="'Build-Up'!A106" display="#'Build-Up'.A106"/>
    <hyperlink ref="D193" location="'Build-Up'!A106" display="#'Build-Up'.A106"/>
    <hyperlink ref="A194" location="'Build-Up'!A114" display="7.13"/>
    <hyperlink ref="B194" location="'Build-Up'!A114" display="#'Build-Up'.A114"/>
    <hyperlink ref="C194" location="'Build-Up'!A114" display="#'Build-Up'.A114"/>
    <hyperlink ref="D194" location="'Build-Up'!A114" display="#'Build-Up'.A114"/>
    <hyperlink ref="F194" location="'Programme'!A37" display="#'Programme'.A37"/>
    <hyperlink ref="G194" location="'Programme'!A43" display="#'Programme'.A43"/>
    <hyperlink ref="A195" location="'Build-Up'!A115" display="7.14"/>
    <hyperlink ref="B195" location="'Build-Up'!A115" display="#'Build-Up'.A115"/>
    <hyperlink ref="C195" location="'Build-Up'!A115" display="#'Build-Up'.A115"/>
    <hyperlink ref="D195" location="'Build-Up'!A115" display="#'Build-Up'.A115"/>
    <hyperlink ref="F195" location="'Programme'!A37" display="#'Programme'.A37"/>
    <hyperlink ref="G195" location="'Programme'!A43" display="#'Programme'.A43"/>
    <hyperlink ref="A196" location="'Build-Up'!A117" display="7.16"/>
    <hyperlink ref="B196" location="'Build-Up'!A117" display="#'Build-Up'.A117"/>
    <hyperlink ref="C196" location="'Build-Up'!A117" display="#'Build-Up'.A117"/>
    <hyperlink ref="D196" location="'Build-Up'!A117" display="#'Build-Up'.A117"/>
    <hyperlink ref="F196" location="'Programme'!A36" display="#'Programme'.A36"/>
    <hyperlink ref="G196" location="'Programme'!A36" display="#'Programme'.A36"/>
    <hyperlink ref="A197" location="'Build-Up'!A125" display="7.24"/>
    <hyperlink ref="B197" location="'Build-Up'!A125" display="#'Build-Up'.A125"/>
    <hyperlink ref="C197" location="'Build-Up'!A125" display="#'Build-Up'.A125"/>
    <hyperlink ref="D197" location="'Build-Up'!A125" display="#'Build-Up'.A125"/>
    <hyperlink ref="A198" location="'Build-Up'!A123" display="7.22"/>
    <hyperlink ref="B198" location="'Build-Up'!A123" display="#'Build-Up'.A123"/>
    <hyperlink ref="C198" location="'Build-Up'!A123" display="#'Build-Up'.A123"/>
    <hyperlink ref="D198" location="'Build-Up'!A123" display="#'Build-Up'.A123"/>
    <hyperlink ref="H199" location="'Programme'!A164" display="#'Programme'.A164"/>
    <hyperlink ref="I199" location="'Programme'!A164" display="#'Programme'.A164"/>
    <hyperlink ref="H200" location="'Programme'!A178" display="#'Programme'.A178"/>
    <hyperlink ref="I200" location="'Programme'!A178" display="#'Programme'.A178"/>
    <hyperlink ref="H201" location="'Programme'!A188" display="#'Programme'.A188"/>
    <hyperlink ref="I201" location="'Programme'!A188" display="#'Programme'.A188"/>
    <hyperlink ref="H203" location="'Assessment'!B19" display="#'Assessment'.B19"/>
    <hyperlink ref="I203" location="'Assessment'!B21" display="#'Assessment'.B21"/>
    <hyperlink ref="D206" location="'Build-Up'!A51" display="#'Build-Up'.A51"/>
    <hyperlink ref="G206" location="'Programme'!B142" display="#'Programme'.B142"/>
    <hyperlink ref="D207" location="'Build-Up'!A84" display="#'Build-Up'.A84"/>
    <hyperlink ref="G207" location="'Programme'!A65" display="#'Programme'.A65"/>
    <hyperlink ref="D208" location="'Build-Up'!A102" display="#'Build-Up'.A102"/>
    <hyperlink ref="G208" location="'Build-Up'!A102" display="#'Build-Up'.A102"/>
    <hyperlink ref="I208" location="'Build-Up'!A123" display="#'Build-Up'.A123"/>
    <hyperlink ref="D209" location="'Build-Up'!A76" display="#'Build-Up'.A76"/>
    <hyperlink ref="A214" location="'Build-Up'!A9" display="1.1"/>
    <hyperlink ref="B214" location="'Build-Up'!A9" display="#'Build-Up'.A9"/>
    <hyperlink ref="J214" location="'Build-Up'!A9" display="#'Build-Up'.A9"/>
    <hyperlink ref="A215" location="'Build-Up'!A10" display="1.2"/>
    <hyperlink ref="B215" location="'Build-Up'!A10" display="#'Build-Up'.A10"/>
    <hyperlink ref="J215" location="'Build-Up'!A10" display="#'Build-Up'.A10"/>
    <hyperlink ref="A216" location="'Build-Up'!A11" display="1.3"/>
    <hyperlink ref="B216" location="'Build-Up'!A11" display="#'Build-Up'.A11"/>
    <hyperlink ref="C216" location="'XER WBS'!A107" display="QCD18TSECONDSM1020 to QCD18TSECONTCT22030; role R3"/>
    <hyperlink ref="J216" location="'Build-Up'!A11" display="#'Build-Up'.A11"/>
    <hyperlink ref="A217" location="'Build-Up'!A12" display="1.4"/>
    <hyperlink ref="B217" location="'Build-Up'!A12" display="#'Build-Up'.A12"/>
    <hyperlink ref="J217" location="'Build-Up'!A12" display="#'Build-Up'.A12"/>
    <hyperlink ref="A218" location="'Build-Up'!A13" display="1.5"/>
    <hyperlink ref="B218" location="'Build-Up'!A13" display="#'Build-Up'.A13"/>
    <hyperlink ref="C218" location="'XER WBS'!A112" display="QCD18TSEPRC1120 to QCD18TSECONTCT22030; role R5"/>
    <hyperlink ref="J218" location="'Build-Up'!A13" display="#'Build-Up'.A13"/>
    <hyperlink ref="A219" location="'Build-Up'!A14" display="1.6"/>
    <hyperlink ref="B219" location="'Build-Up'!A14" display="#'Build-Up'.A14"/>
    <hyperlink ref="C219" location="'XER WBS'!A104" display="Site service - whole site period D1 (QCD18TSEMOB1240 to QCD18TSEDMOB1020)"/>
    <hyperlink ref="J219" location="'Build-Up'!A14" display="#'Build-Up'.A14"/>
    <hyperlink ref="A220" location="'Build-Up'!A15" display="1.7"/>
    <hyperlink ref="B220" location="'Build-Up'!A15" display="#'Build-Up'.A15"/>
    <hyperlink ref="C220" location="'XER WBS'!A104" display="Site service - whole site period D1 (QCD18TSEMOB1240 to QCD18TSEDMOB1020)"/>
    <hyperlink ref="J220" location="'Build-Up'!A15" display="#'Build-Up'.A15"/>
    <hyperlink ref="A221" location="'Build-Up'!A16" display="1.8"/>
    <hyperlink ref="B221" location="'Build-Up'!A16" display="#'Build-Up'.A16"/>
    <hyperlink ref="C221" location="'XER WBS'!A104" display="Site service - whole site period D1 (QCD18TSEMOB1240 to QCD18TSEDMOB1020)"/>
    <hyperlink ref="J221" location="'Build-Up'!A16" display="#'Build-Up'.A16"/>
    <hyperlink ref="A222" location="'Build-Up'!A17" display="1.9"/>
    <hyperlink ref="B222" location="'Build-Up'!A17" display="#'Build-Up'.A17"/>
    <hyperlink ref="C222" location="'XER WBS'!A104" display="Site service - whole site period D1 (QCD18TSEMOB1240 to QCD18TSEDMOB1020)"/>
    <hyperlink ref="J222" location="'Build-Up'!A17" display="#'Build-Up'.A17"/>
    <hyperlink ref="A223" location="'Build-Up'!A18" display="1.10"/>
    <hyperlink ref="B223" location="'Build-Up'!A18" display="#'Build-Up'.A18"/>
    <hyperlink ref="C223" location="'XER WBS'!A104" display="Site service - whole site period D1 (QCD18TSEMOB1240 to QCD18TSEDMOB1020)"/>
    <hyperlink ref="J223" location="'Build-Up'!A18" display="#'Build-Up'.A18"/>
    <hyperlink ref="A224" location="'Build-Up'!A19" display="1.11"/>
    <hyperlink ref="B224" location="'Build-Up'!A19" display="#'Build-Up'.A19"/>
    <hyperlink ref="C224" location="'XER WBS'!A112" display="QCD18TSEPRC1120 to QCD18TSECONT2INS1050 (window D7)"/>
    <hyperlink ref="J224" location="'Build-Up'!A19" display="#'Build-Up'.A19"/>
    <hyperlink ref="A225" location="'Build-Up'!A20" display="1.12"/>
    <hyperlink ref="B225" location="'Build-Up'!A20" display="#'Build-Up'.A20"/>
    <hyperlink ref="C225" location="'XER WBS'!A104" display="Site service - whole site period D1 (QCD18TSEMOB1240 to QCD18TSEDMOB1020)"/>
    <hyperlink ref="J225" location="'Build-Up'!A20" display="#'Build-Up'.A20"/>
    <hyperlink ref="A226" location="'Build-Up'!A21" display="1.13"/>
    <hyperlink ref="B226" location="'Build-Up'!A21" display="#'Build-Up'.A21"/>
    <hyperlink ref="C226" location="'XER WBS'!A104" display="Site service - whole site period D1 (QCD18TSEMOB1240 to QCD18TSEDMOB1020)"/>
    <hyperlink ref="J226" location="'Build-Up'!A21" display="#'Build-Up'.A21"/>
    <hyperlink ref="A228" location="'Build-Up'!A22" display="1.14"/>
    <hyperlink ref="B228" location="'Build-Up'!A22" display="#'Build-Up'.A22"/>
    <hyperlink ref="C228" location="'XER WBS'!A104" display="QCD18TSEMOB1240 and QCD18TSEMOB1250 (22 to 26-Aug-2026)"/>
    <hyperlink ref="J228" location="'Build-Up'!A22" display="#'Build-Up'.A22"/>
    <hyperlink ref="A229" location="'Build-Up'!A23" display="1.15"/>
    <hyperlink ref="B229" location="'Build-Up'!A23" display="#'Build-Up'.A23"/>
    <hyperlink ref="C229" location="'XER WBS'!A147" display="QCD18TSEDMOB1020 (17 to 24-Dec-2026 programmed)"/>
    <hyperlink ref="J229" location="'Build-Up'!A23" display="#'Build-Up'.A23"/>
    <hyperlink ref="A230" location="'Build-Up'!A24" display="1.16"/>
    <hyperlink ref="B230" location="'Build-Up'!A24" display="#'Build-Up'.A24"/>
    <hyperlink ref="C230" location="'XER WBS'!A147" display="QCD18TSEDMOB1020"/>
    <hyperlink ref="J230" location="'Build-Up'!A24" display="#'Build-Up'.A24"/>
    <hyperlink ref="A231" location="'Build-Up'!A25" display="1.17"/>
    <hyperlink ref="B231" location="'Build-Up'!A25" display="#'Build-Up'.A25"/>
    <hyperlink ref="J231" location="'Build-Up'!A25" display="#'Build-Up'.A25"/>
    <hyperlink ref="A232" location="'Build-Up'!A26" display="1.18"/>
    <hyperlink ref="B232" location="'Build-Up'!A26" display="#'Build-Up'.A26"/>
    <hyperlink ref="J232" location="'Build-Up'!A26" display="#'Build-Up'.A26"/>
    <hyperlink ref="A233" location="'Build-Up'!A27" display="1.19"/>
    <hyperlink ref="B233" location="'Build-Up'!A27" display="#'Build-Up'.A27"/>
    <hyperlink ref="J233" location="'Build-Up'!A27" display="#'Build-Up'.A27"/>
    <hyperlink ref="A234" location="'Build-Up'!A28" display="1.20"/>
    <hyperlink ref="B234" location="'Build-Up'!A28" display="#'Build-Up'.A28"/>
    <hyperlink ref="J234" location="'Build-Up'!A28" display="#'Build-Up'.A28"/>
    <hyperlink ref="A235" location="'Build-Up'!A29" display="1.21"/>
    <hyperlink ref="B235" location="'Build-Up'!A29" display="#'Build-Up'.A29"/>
    <hyperlink ref="J235" location="'Build-Up'!A29" display="#'Build-Up'.A29"/>
    <hyperlink ref="A236" location="'Build-Up'!A30" display="1.22"/>
    <hyperlink ref="B236" location="'Build-Up'!A30" display="#'Build-Up'.A30"/>
    <hyperlink ref="C236" location="'XER WBS'!A147" display="After QCD18TSEDMOB1020 - completion inspection"/>
    <hyperlink ref="J236" location="'Build-Up'!A30" display="#'Build-Up'.A30"/>
    <hyperlink ref="A237" location="'Build-Up'!A31" display="1.23"/>
    <hyperlink ref="B237" location="'Build-Up'!A31" display="#'Build-Up'.A31"/>
    <hyperlink ref="C237" location="'XER WBS'!A148" display="QCD18TSEDMOB3020 - close-out documents"/>
    <hyperlink ref="J237" location="'Build-Up'!A31" display="#'Build-Up'.A31"/>
    <hyperlink ref="A238" location="'Build-Up'!A37" display="2.1"/>
    <hyperlink ref="B238" location="'Build-Up'!A37" display="#'Build-Up'.A37"/>
    <hyperlink ref="C238" location="'XER WBS'!A92" display="QCD18TSEENG1240, QCD18TSEENG1250 and the submittal activities QCD18TSEMOB1040 to 1230"/>
    <hyperlink ref="J238" location="'Build-Up'!A37" display="#'Build-Up'.A37"/>
    <hyperlink ref="A239" location="'Build-Up'!A38" display="2.2"/>
    <hyperlink ref="B239" location="'Build-Up'!A38" display="#'Build-Up'.A38"/>
    <hyperlink ref="C239" location="'XER WBS'!A92" display="QCD18TSEENG1240 and the pipework shop drawings (Code C, resubmission 28 to 30-Sep-2026)"/>
    <hyperlink ref="J239" location="'Build-Up'!A38" display="#'Build-Up'.A38"/>
    <hyperlink ref="A240" location="'Build-Up'!A39" display="2.3"/>
    <hyperlink ref="B240" location="'Build-Up'!A39" display="#'Build-Up'.A39"/>
    <hyperlink ref="C240" location="'XER WBS'!A111" display="QCD18TSECONSL1050 (07 to 13-Sep-2026) and after QCD18TSECONT1INS1060 / QCD18TSECONT2INS1060"/>
    <hyperlink ref="J240" location="'Build-Up'!A39" display="#'Build-Up'.A39"/>
    <hyperlink ref="A242" location="'Build-Up'!A40" display="2.4"/>
    <hyperlink ref="B242" location="'Build-Up'!A40" display="#'Build-Up'.A40"/>
    <hyperlink ref="C242" location="'XER WBS'!A73" display="QCD18TSEMOB1040 to QCD18TSEMOB1230 (20 submittal activities) and the MAR / MIR activities"/>
    <hyperlink ref="J242" location="'Build-Up'!A40" display="#'Build-Up'.A40"/>
    <hyperlink ref="A243" location="'Build-Up'!A41" display="2.5"/>
    <hyperlink ref="B243" location="'Build-Up'!A41" display="#'Build-Up'.A41"/>
    <hyperlink ref="C243" location="'XER WBS'!A74" display="QCD18TSEMOB1050 and QCD18TSEMOB1080 to QCD18TSEMOB1150 (nine preparation activities)"/>
    <hyperlink ref="J243" location="'Build-Up'!A41" display="#'Build-Up'.A41"/>
    <hyperlink ref="A244" location="'Build-Up'!A47" display="3.1"/>
    <hyperlink ref="B244" location="'Build-Up'!A47" display="#'Build-Up'.A47"/>
    <hyperlink ref="C244" location="'XER WBS'!A107" display="QCD18TSECONDSM1020 to 1030 (27-Aug to 12-Sep-2026, complete)"/>
    <hyperlink ref="J244" location="'Build-Up'!A47" display="#'Build-Up'.A47"/>
    <hyperlink ref="A246" location="'Build-Up'!A69" display="4.1"/>
    <hyperlink ref="B246" location="'Build-Up'!A69" display="#'Build-Up'.A69"/>
    <hyperlink ref="C246" location="'XER WBS'!A110" display="After QCD18TSECONDSM1030 - handover to the Employer"/>
    <hyperlink ref="J246" location="'Build-Up'!A69" display="#'Build-Up'.A69"/>
    <hyperlink ref="A247" location="'Build-Up'!A75" display="5.1"/>
    <hyperlink ref="B247" location="'Build-Up'!A75" display="#'Build-Up'.A75"/>
    <hyperlink ref="C247" location="'XER WBS'!A121" display="Section 4 plant rows B1 to B5 (QCD18TSECONT1INS1030 to QCD18TSECONT2INS1050)"/>
    <hyperlink ref="J247" location="'Build-Up'!A75" display="#'Build-Up'.A75"/>
    <hyperlink ref="A248" location="'Build-Up'!A76" display="5.2"/>
    <hyperlink ref="B248" location="'Build-Up'!A76" display="#'Build-Up'.A76"/>
    <hyperlink ref="C248" location="'XER WBS'!A112" display="Section 4 plant rows T1 to T3 (QCD18TSEPRC1120 to QCD18TSECONT2INS1050)"/>
    <hyperlink ref="J248" location="'Build-Up'!A76" display="#'Build-Up'.A76"/>
    <hyperlink ref="A249" location="'Build-Up'!A77" display="5.3"/>
    <hyperlink ref="B249" location="'Build-Up'!A77" display="#'Build-Up'.A77"/>
    <hyperlink ref="C249" location="'XER WBS'!A121" display="QCD18TSECONT1INS1030 to QCD18TSECONT2INS1050 (window D6)"/>
    <hyperlink ref="J249" location="'Build-Up'!A77" display="#'Build-Up'.A77"/>
    <hyperlink ref="A250" location="'Build-Up'!A78" display="5.4"/>
    <hyperlink ref="B250" location="'Build-Up'!A78" display="#'Build-Up'.A78"/>
    <hyperlink ref="J250" location="'Build-Up'!A78" display="#'Build-Up'.A78"/>
    <hyperlink ref="A251" location="'Build-Up'!A79" display="5.5"/>
    <hyperlink ref="B251" location="'Build-Up'!A79" display="#'Build-Up'.A79"/>
    <hyperlink ref="J251" location="'Build-Up'!A79" display="#'Build-Up'.A79"/>
    <hyperlink ref="A252" location="'Build-Up'!A80" display="5.6"/>
    <hyperlink ref="B252" location="'Build-Up'!A80" display="#'Build-Up'.A80"/>
    <hyperlink ref="J252" location="'Build-Up'!A80" display="#'Build-Up'.A80"/>
    <hyperlink ref="A253" location="'Build-Up'!A81" display="5.7"/>
    <hyperlink ref="B253" location="'Build-Up'!A81" display="#'Build-Up'.A81"/>
    <hyperlink ref="C253" location="'XER WBS'!A104" display="QCD18TSEMOB1240 to QCD18TSECONTCT22030 (window D2)"/>
    <hyperlink ref="J253" location="'Build-Up'!A81" display="#'Build-Up'.A81"/>
    <hyperlink ref="A254" location="'Build-Up'!A82" display="5.8"/>
    <hyperlink ref="B254" location="'Build-Up'!A82" display="#'Build-Up'.A82"/>
    <hyperlink ref="C254" location="'XER WBS'!A104" display="Site service - whole site period D1 (QCD18TSEMOB1240 to QCD18TSEDMOB1020)"/>
    <hyperlink ref="J254" location="'Build-Up'!A82" display="#'Build-Up'.A82"/>
    <hyperlink ref="A256" location="'Build-Up'!A83" display="5.9"/>
    <hyperlink ref="B256" location="'Build-Up'!A83" display="#'Build-Up'.A83"/>
    <hyperlink ref="C256" location="'XER WBS'!A104" display="Site service - whole site period D1 (QCD18TSEMOB1240 to QCD18TSEDMOB1020)"/>
    <hyperlink ref="J256" location="'Build-Up'!A83" display="#'Build-Up'.A83"/>
    <hyperlink ref="A257" location="'Build-Up'!A84" display="5.10"/>
    <hyperlink ref="B257" location="'Build-Up'!A84" display="#'Build-Up'.A84"/>
    <hyperlink ref="J257" location="'Build-Up'!A84" display="#'Build-Up'.A84"/>
    <hyperlink ref="A258" location="'Build-Up'!A85" display="5.11"/>
    <hyperlink ref="B258" location="'Build-Up'!A85" display="#'Build-Up'.A85"/>
    <hyperlink ref="C258" location="'XER WBS'!A115" display="QCD18TSECONT1INS1020 to QCD18TSECONT2MW2020 (window D3)"/>
    <hyperlink ref="J258" location="'Build-Up'!A85" display="#'Build-Up'.A85"/>
    <hyperlink ref="A259" location="'Build-Up'!A86" display="5.12"/>
    <hyperlink ref="B259" location="'Build-Up'!A86" display="#'Build-Up'.A86"/>
    <hyperlink ref="J259" location="'Build-Up'!A86" display="#'Build-Up'.A86"/>
    <hyperlink ref="A260" location="'Build-Up'!A87" display="5.13"/>
    <hyperlink ref="B260" location="'Build-Up'!A87" display="#'Build-Up'.A87"/>
    <hyperlink ref="C260" location="'XER WBS'!A112" display="QCD18TSEPRC1120 to QCD18TSECONT2INS1050 (storage window D7)"/>
    <hyperlink ref="J260" location="'Build-Up'!A87" display="#'Build-Up'.A87"/>
    <hyperlink ref="A261" location="'Build-Up'!A88" display="5.14"/>
    <hyperlink ref="B261" location="'Build-Up'!A88" display="#'Build-Up'.A88"/>
    <hyperlink ref="J261" location="'Build-Up'!A88" display="#'Build-Up'.A88"/>
    <hyperlink ref="A262" location="'Build-Up'!A89" display="5.15"/>
    <hyperlink ref="B262" location="'Build-Up'!A89" display="#'Build-Up'.A89"/>
    <hyperlink ref="J262" location="'Build-Up'!A89" display="#'Build-Up'.A89"/>
    <hyperlink ref="A263" location="'Build-Up'!A90" display="5.16"/>
    <hyperlink ref="B263" location="'Build-Up'!A90" display="#'Build-Up'.A90"/>
    <hyperlink ref="J263" location="'Build-Up'!A90" display="#'Build-Up'.A90"/>
    <hyperlink ref="A264" location="'Build-Up'!A96" display="6.1"/>
    <hyperlink ref="B264" location="'Build-Up'!A96" display="#'Build-Up'.A96"/>
    <hyperlink ref="C264" location="'XER WBS'!A90" display="QCD18TSEPRC1060 to QCD18TSEPRC1230, QCD18TSECONT1INS1020 to QCD18TSECONT2MW2030"/>
    <hyperlink ref="J264" location="'Build-Up'!A96" display="#'Build-Up'.A96"/>
    <hyperlink ref="A265" location="'Build-Up'!A102" display="7.1"/>
    <hyperlink ref="B265" location="'Build-Up'!A102" display="#'Build-Up'.A102"/>
    <hyperlink ref="J265" location="'Build-Up'!A102" display="#'Build-Up'.A102"/>
    <hyperlink ref="A266" location="'Build-Up'!A103" display="7.2"/>
    <hyperlink ref="B266" location="'Build-Up'!A103" display="#'Build-Up'.A103"/>
    <hyperlink ref="J266" location="'Build-Up'!A103" display="#'Build-Up'.A103"/>
    <hyperlink ref="A267" location="'Build-Up'!A104" display="7.3"/>
    <hyperlink ref="B267" location="'Build-Up'!A104" display="#'Build-Up'.A104"/>
    <hyperlink ref="J267" location="'Build-Up'!A104" display="#'Build-Up'.A104"/>
    <hyperlink ref="A268" location="'Build-Up'!A105" display="7.4"/>
    <hyperlink ref="B268" location="'Build-Up'!A105" display="#'Build-Up'.A105"/>
    <hyperlink ref="J268" location="'Build-Up'!A105" display="#'Build-Up'.A105"/>
    <hyperlink ref="A269" location="'Build-Up'!A106" display="7.5"/>
    <hyperlink ref="B269" location="'Build-Up'!A106" display="#'Build-Up'.A106"/>
    <hyperlink ref="J269" location="'Build-Up'!A106" display="#'Build-Up'.A106"/>
    <hyperlink ref="A270" location="'Build-Up'!A107" display="7.6"/>
    <hyperlink ref="B270" location="'Build-Up'!A107" display="#'Build-Up'.A107"/>
    <hyperlink ref="J270" location="'Build-Up'!A107" display="#'Build-Up'.A107"/>
    <hyperlink ref="A272" location="'Build-Up'!A108" display="7.7"/>
    <hyperlink ref="B272" location="'Build-Up'!A108" display="#'Build-Up'.A108"/>
    <hyperlink ref="J272" location="'Build-Up'!A108" display="#'Build-Up'.A108"/>
    <hyperlink ref="A273" location="'Build-Up'!A109" display="7.8"/>
    <hyperlink ref="B273" location="'Build-Up'!A109" display="#'Build-Up'.A109"/>
    <hyperlink ref="J273" location="'Build-Up'!A109" display="#'Build-Up'.A109"/>
    <hyperlink ref="A274" location="'Build-Up'!A110" display="7.9"/>
    <hyperlink ref="B274" location="'Build-Up'!A110" display="#'Build-Up'.A110"/>
    <hyperlink ref="J274" location="'Build-Up'!A110" display="#'Build-Up'.A110"/>
    <hyperlink ref="A275" location="'Build-Up'!A111" display="7.10"/>
    <hyperlink ref="B275" location="'Build-Up'!A111" display="#'Build-Up'.A111"/>
    <hyperlink ref="J275" location="'Build-Up'!A111" display="#'Build-Up'.A111"/>
    <hyperlink ref="A276" location="'Build-Up'!A112" display="7.11"/>
    <hyperlink ref="B276" location="'Build-Up'!A112" display="#'Build-Up'.A112"/>
    <hyperlink ref="J276" location="'Build-Up'!A112" display="#'Build-Up'.A112"/>
    <hyperlink ref="A277" location="'Build-Up'!A113" display="7.12"/>
    <hyperlink ref="B277" location="'Build-Up'!A113" display="#'Build-Up'.A113"/>
    <hyperlink ref="J277" location="'Build-Up'!A113" display="#'Build-Up'.A113"/>
    <hyperlink ref="A278" location="'Build-Up'!A114" display="7.13"/>
    <hyperlink ref="B278" location="'Build-Up'!A114" display="#'Build-Up'.A114"/>
    <hyperlink ref="J278" location="'Build-Up'!A114" display="#'Build-Up'.A114"/>
    <hyperlink ref="A279" location="'Build-Up'!A115" display="7.14"/>
    <hyperlink ref="B279" location="'Build-Up'!A115" display="#'Build-Up'.A115"/>
    <hyperlink ref="J279" location="'Build-Up'!A115" display="#'Build-Up'.A115"/>
    <hyperlink ref="A280" location="'Build-Up'!A116" display="7.15"/>
    <hyperlink ref="B280" location="'Build-Up'!A116" display="#'Build-Up'.A116"/>
    <hyperlink ref="C280" location="'XER WBS'!A134" display="P21 (after QCD18TSECONT1MW2060 and QCD18TSECONT2MW2040)"/>
    <hyperlink ref="J280" location="'Build-Up'!A116" display="#'Build-Up'.A116"/>
    <hyperlink ref="A281" location="'Build-Up'!A117" display="7.16"/>
    <hyperlink ref="B281" location="'Build-Up'!A117" display="#'Build-Up'.A117"/>
    <hyperlink ref="J281" location="'Build-Up'!A117" display="#'Build-Up'.A117"/>
    <hyperlink ref="A282" location="'Build-Up'!A118" display="7.17"/>
    <hyperlink ref="B282" location="'Build-Up'!A118" display="#'Build-Up'.A118"/>
    <hyperlink ref="J282" location="'Build-Up'!A118" display="#'Build-Up'.A118"/>
    <hyperlink ref="A283" location="'Build-Up'!A119" display="7.18"/>
    <hyperlink ref="B283" location="'Build-Up'!A119" display="#'Build-Up'.A119"/>
    <hyperlink ref="J283" location="'Build-Up'!A119" display="#'Build-Up'.A119"/>
    <hyperlink ref="A284" location="'Build-Up'!A120" display="7.19"/>
    <hyperlink ref="B284" location="'Build-Up'!A120" display="#'Build-Up'.A120"/>
    <hyperlink ref="J284" location="'Build-Up'!A120" display="#'Build-Up'.A120"/>
    <hyperlink ref="A285" location="'Build-Up'!A121" display="7.20"/>
    <hyperlink ref="B285" location="'Build-Up'!A121" display="#'Build-Up'.A121"/>
    <hyperlink ref="J285" location="'Build-Up'!A121" display="#'Build-Up'.A121"/>
    <hyperlink ref="A286" location="'Build-Up'!A122" display="7.21"/>
    <hyperlink ref="B286" location="'Build-Up'!A122" display="#'Build-Up'.A122"/>
    <hyperlink ref="C286" location="'XER WBS'!A148" display="QCD18TSEDMOB3020"/>
    <hyperlink ref="J286" location="'Build-Up'!A122" display="#'Build-Up'.A122"/>
    <hyperlink ref="A287" location="'Build-Up'!A123" display="7.22"/>
    <hyperlink ref="B287" location="'Build-Up'!A123" display="#'Build-Up'.A123"/>
    <hyperlink ref="J287" location="'Build-Up'!A123" display="#'Build-Up'.A123"/>
    <hyperlink ref="A289" location="'Build-Up'!A124" display="7.23"/>
    <hyperlink ref="B289" location="'Build-Up'!A124" display="#'Build-Up'.A124"/>
    <hyperlink ref="J289" location="'Build-Up'!A124" display="#'Build-Up'.A124"/>
    <hyperlink ref="A290" location="'Build-Up'!A125" display="7.24"/>
    <hyperlink ref="B290" location="'Build-Up'!A125" display="#'Build-Up'.A125"/>
    <hyperlink ref="J290" location="'Build-Up'!A125" display="#'Build-Up'.A125"/>
    <hyperlink ref="A291" location="'Build-Up'!A126" display="7.25"/>
    <hyperlink ref="B291" location="'Build-Up'!A126" display="#'Build-Up'.A126"/>
    <hyperlink ref="J291" location="'Build-Up'!A126" display="#'Build-Up'.A126"/>
    <hyperlink ref="A292" location="'Build-Up'!A127" display="7.26"/>
    <hyperlink ref="B292" location="'Build-Up'!A127" display="#'Build-Up'.A127"/>
    <hyperlink ref="C292" location="'XER WBS'!A132" display="Tank 1 after QCD18TSECONT1INS1050; Tank 2 after QCD18TSECONT2MW2030 (before P19)"/>
    <hyperlink ref="J292" location="'Build-Up'!A127" display="#'Build-Up'.A127"/>
    <hyperlink ref="A293" location="'Build-Up'!A134" display="8.1"/>
    <hyperlink ref="B293" location="'Build-Up'!A134" display="#'Build-Up'.A134"/>
    <hyperlink ref="C293" location="'XER WBS'!A116" display="QCD18TSEPRC1160 to 1250 (procurement), QCD18TSECONT1MW2055 and QCD18TSECONT2MW2020 (installation)"/>
    <hyperlink ref="J293" location="'Build-Up'!A134" display="#'Build-Up'.A134"/>
    <hyperlink ref="A294" location="'Build-Up'!A135" display="8.2"/>
    <hyperlink ref="B294" location="'Build-Up'!A135" display="#'Build-Up'.A135"/>
    <hyperlink ref="J294" location="'Build-Up'!A135" display="#'Build-Up'.A135"/>
    <hyperlink ref="A295" location="'Build-Up'!A136" display="8.3"/>
    <hyperlink ref="B295" location="'Build-Up'!A136" display="#'Build-Up'.A136"/>
    <hyperlink ref="J295" location="'Build-Up'!A136" display="#'Build-Up'.A136"/>
    <hyperlink ref="A296" location="'Build-Up'!A137" display="8.4"/>
    <hyperlink ref="B296" location="'Build-Up'!A137" display="#'Build-Up'.A137"/>
    <hyperlink ref="J296" location="'Build-Up'!A137" display="#'Build-Up'.A137"/>
    <hyperlink ref="A297" location="'Build-Up'!A138" display="8.5"/>
    <hyperlink ref="B297" location="'Build-Up'!A138" display="#'Build-Up'.A138"/>
    <hyperlink ref="C297" location="'XER WBS'!A133" display="QCD18TSECONT1MW2050 and QCD18TSECONT2MW2030"/>
    <hyperlink ref="J297" location="'Build-Up'!A138" display="#'Build-Up'.A138"/>
    <hyperlink ref="A298" location="'Build-Up'!A139" display="8.6"/>
    <hyperlink ref="B298" location="'Build-Up'!A139" display="#'Build-Up'.A139"/>
    <hyperlink ref="J298" location="'Build-Up'!A139" display="#'Build-Up'.A139"/>
    <hyperlink ref="A299" location="'Build-Up'!A140" display="8.7"/>
    <hyperlink ref="B299" location="'Build-Up'!A140" display="#'Build-Up'.A140"/>
    <hyperlink ref="J299" location="'Build-Up'!A140" display="#'Build-Up'.A140"/>
    <hyperlink ref="A300" location="'Build-Up'!A141" display="8.8"/>
    <hyperlink ref="B300" location="'Build-Up'!A141" display="#'Build-Up'.A141"/>
    <hyperlink ref="J300" location="'Build-Up'!A141" display="#'Build-Up'.A141"/>
    <hyperlink ref="A301" location="'Build-Up'!A142" display="8.9"/>
    <hyperlink ref="B301" location="'Build-Up'!A142" display="#'Build-Up'.A142"/>
    <hyperlink ref="C301" location="'XER WBS'!A134" display="QCD18TSECONT1MW2060 and QCD18TSECONT2MW2040"/>
    <hyperlink ref="J301" location="'Build-Up'!A142" display="#'Build-Up'.A142"/>
    <hyperlink ref="A302" location="'Build-Up'!A143" display="8.10"/>
    <hyperlink ref="B302" location="'Build-Up'!A143" display="#'Build-Up'.A143"/>
    <hyperlink ref="J302" location="'Build-Up'!A143" display="#'Build-Up'.A143"/>
    <hyperlink ref="A303" location="'Build-Up'!A144" display="8.11"/>
    <hyperlink ref="B303" location="'Build-Up'!A144" display="#'Build-Up'.A144"/>
    <hyperlink ref="J303" location="'Build-Up'!A144" display="#'Build-Up'.A144"/>
    <hyperlink ref="A305" location="'Build-Up'!A145" display="8.12"/>
    <hyperlink ref="B305" location="'Build-Up'!A145" display="#'Build-Up'.A145"/>
    <hyperlink ref="C305" location="'XER WBS'!A142" display="QCD18TSECONTC2040"/>
    <hyperlink ref="J305" location="'Build-Up'!A145" display="#'Build-Up'.A145"/>
    <hyperlink ref="A306" location="'Build-Up'!A146" display="8.13"/>
    <hyperlink ref="B306" location="'Build-Up'!A146" display="#'Build-Up'.A146"/>
    <hyperlink ref="C306" location="'XER WBS'!A142" display="QCD18TSECONTC2040"/>
    <hyperlink ref="J306" location="'Build-Up'!A146" display="#'Build-Up'.A146"/>
    <hyperlink ref="A307" location="'Build-Up'!A147" display="8.14"/>
    <hyperlink ref="B307" location="'Build-Up'!A147" display="#'Build-Up'.A147"/>
    <hyperlink ref="C307" location="'XER WBS'!A142" display="QCD18TSECONTC2040 after QCD18TSECONIF2050 (03-Dec-2026)"/>
    <hyperlink ref="J307" location="'Build-Up'!A147" display="#'Build-Up'.A147"/>
    <hyperlink ref="A308" location="'Build-Up'!A148" display="8.15"/>
    <hyperlink ref="B308" location="'Build-Up'!A148" display="#'Build-Up'.A148"/>
    <hyperlink ref="C308" location="'XER WBS'!A142" display="QCD18TSECONTC2040"/>
    <hyperlink ref="J308" location="'Build-Up'!A148" display="#'Build-Up'.A148"/>
    <hyperlink ref="A309" location="'Build-Up'!A149" display="8.16"/>
    <hyperlink ref="B309" location="'Build-Up'!A149" display="#'Build-Up'.A149"/>
    <hyperlink ref="C309" location="'XER WBS'!A140" display="After QCD18TSECONT2MW2020, before P21"/>
    <hyperlink ref="J309" location="'Build-Up'!A149" display="#'Build-Up'.A149"/>
    <hyperlink ref="A310" location="'Build-Up'!A150" display="8.17"/>
    <hyperlink ref="B310" location="'Build-Up'!A150" display="#'Build-Up'.A150"/>
    <hyperlink ref="J310" location="'Build-Up'!A150" display="#'Build-Up'.A150"/>
    <hyperlink ref="A311" location="'Build-Up'!A151" display="8.18"/>
    <hyperlink ref="B311" location="'Build-Up'!A151" display="#'Build-Up'.A151"/>
    <hyperlink ref="J311" location="'Build-Up'!A151" display="#'Build-Up'.A151"/>
    <hyperlink ref="A312" location="'Build-Up'!A152" display="8.19"/>
    <hyperlink ref="B312" location="'Build-Up'!A152" display="#'Build-Up'.A152"/>
    <hyperlink ref="J312" location="'Build-Up'!A152" display="#'Build-Up'.A152"/>
    <hyperlink ref="A313" location="'Build-Up'!A153" display="8.20"/>
    <hyperlink ref="B313" location="'Build-Up'!A153" display="#'Build-Up'.A153"/>
    <hyperlink ref="J313" location="'Build-Up'!A153" display="#'Build-Up'.A153"/>
    <hyperlink ref="A314" location="'Build-Up'!A154" display="8.21"/>
    <hyperlink ref="B314" location="'Build-Up'!A154" display="#'Build-Up'.A154"/>
    <hyperlink ref="J314" location="'Build-Up'!A154" display="#'Build-Up'.A154"/>
    <hyperlink ref="J316" location="'Build-Up'!A96" display="#'Build-Up'.A96"/>
    <hyperlink ref="J317" location="'Programme'!B316" display="#'Programme'.B316"/>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2"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22"/>
    <col collapsed="false" customWidth="true" hidden="false" outlineLevel="0" max="2" min="2" style="1" width="46"/>
    <col collapsed="false" customWidth="true" hidden="false" outlineLevel="0" max="3" min="3" style="1" width="44"/>
    <col collapsed="false" customWidth="true" hidden="false" outlineLevel="0" max="4" min="4" style="1" width="10"/>
    <col collapsed="false" customWidth="true" hidden="false" outlineLevel="0" max="5" min="5" style="1" width="11"/>
    <col collapsed="false" customWidth="true" hidden="false" outlineLevel="0" max="6" min="6" style="1" width="16"/>
    <col collapsed="false" customWidth="true" hidden="false" outlineLevel="0" max="7" min="7" style="1" width="11"/>
    <col collapsed="false" customWidth="true" hidden="false" outlineLevel="0" max="8" min="8" style="1" width="9"/>
    <col collapsed="false" customWidth="true" hidden="false" outlineLevel="0" max="9" min="9" style="1" width="10"/>
    <col collapsed="false" customWidth="true" hidden="false" outlineLevel="0" max="11" min="10" style="1" width="12"/>
    <col collapsed="false" customWidth="true" hidden="false" outlineLevel="0" max="12" min="12" style="1" width="10"/>
    <col collapsed="false" customWidth="true" hidden="false" outlineLevel="0" max="13" min="13" style="1" width="16"/>
  </cols>
  <sheetData>
    <row r="1" customFormat="false" ht="25.5" hidden="false" customHeight="true" outlineLevel="0" collapsed="false">
      <c r="A1" s="9" t="s">
        <v>1445</v>
      </c>
    </row>
    <row r="2" customFormat="false" ht="17.25" hidden="false" customHeight="true" outlineLevel="0" collapsed="false">
      <c r="A2" s="10" t="s">
        <v>30</v>
      </c>
    </row>
    <row r="3" customFormat="false" ht="15" hidden="false" customHeight="true" outlineLevel="0" collapsed="false">
      <c r="A3" s="11" t="s">
        <v>31</v>
      </c>
    </row>
    <row r="4" customFormat="false" ht="57" hidden="false" customHeight="true" outlineLevel="0" collapsed="false">
      <c r="A4" s="12" t="s">
        <v>1446</v>
      </c>
      <c r="B4" s="12"/>
      <c r="C4" s="12"/>
      <c r="D4" s="12"/>
      <c r="E4" s="12"/>
      <c r="F4" s="12"/>
      <c r="G4" s="12"/>
      <c r="H4" s="12"/>
      <c r="I4" s="12"/>
      <c r="J4" s="12"/>
      <c r="K4" s="12"/>
      <c r="L4" s="12"/>
      <c r="M4" s="12"/>
    </row>
    <row r="5" customFormat="false" ht="15" hidden="false" customHeight="true" outlineLevel="0" collapsed="false">
      <c r="B5" s="38" t="s">
        <v>1447</v>
      </c>
      <c r="M5" s="38" t="s">
        <v>90</v>
      </c>
    </row>
    <row r="6" customFormat="false" ht="21" hidden="false" customHeight="true" outlineLevel="0" collapsed="false">
      <c r="A6" s="16" t="s">
        <v>1448</v>
      </c>
      <c r="B6" s="16"/>
      <c r="C6" s="16"/>
      <c r="D6" s="16"/>
      <c r="E6" s="16"/>
      <c r="F6" s="16"/>
      <c r="G6" s="16"/>
      <c r="H6" s="16"/>
      <c r="I6" s="16"/>
      <c r="J6" s="16"/>
      <c r="K6" s="16"/>
      <c r="L6" s="16"/>
      <c r="M6" s="16"/>
    </row>
    <row r="7" customFormat="false" ht="31.5" hidden="false" customHeight="true" outlineLevel="0" collapsed="false">
      <c r="A7" s="14" t="s">
        <v>1449</v>
      </c>
      <c r="B7" s="14" t="s">
        <v>1450</v>
      </c>
      <c r="C7" s="14" t="s">
        <v>1047</v>
      </c>
      <c r="D7" s="14" t="s">
        <v>1451</v>
      </c>
      <c r="E7" s="14" t="s">
        <v>1452</v>
      </c>
      <c r="F7" s="14" t="s">
        <v>1453</v>
      </c>
      <c r="G7" s="14"/>
      <c r="H7" s="14"/>
      <c r="I7" s="14"/>
      <c r="J7" s="14"/>
      <c r="K7" s="14"/>
      <c r="L7" s="14"/>
      <c r="M7" s="14"/>
    </row>
    <row r="8" customFormat="false" ht="18" hidden="false" customHeight="true" outlineLevel="0" collapsed="false">
      <c r="A8" s="19" t="s">
        <v>1454</v>
      </c>
      <c r="B8" s="18" t="s">
        <v>1455</v>
      </c>
      <c r="C8" s="60" t="s">
        <v>1456</v>
      </c>
      <c r="D8" s="90" t="n">
        <v>10</v>
      </c>
      <c r="E8" s="90" t="n">
        <v>70</v>
      </c>
      <c r="F8" s="21" t="s">
        <v>1457</v>
      </c>
      <c r="G8" s="21"/>
      <c r="H8" s="21"/>
      <c r="I8" s="21"/>
      <c r="J8" s="21"/>
      <c r="K8" s="21"/>
      <c r="L8" s="21"/>
      <c r="M8" s="21"/>
    </row>
    <row r="9" customFormat="false" ht="18" hidden="false" customHeight="true" outlineLevel="0" collapsed="false">
      <c r="A9" s="19" t="s">
        <v>1458</v>
      </c>
      <c r="B9" s="18" t="s">
        <v>1459</v>
      </c>
      <c r="C9" s="60" t="s">
        <v>1460</v>
      </c>
      <c r="D9" s="90" t="n">
        <v>10</v>
      </c>
      <c r="E9" s="90" t="n">
        <v>60</v>
      </c>
      <c r="F9" s="21" t="s">
        <v>1461</v>
      </c>
      <c r="G9" s="21"/>
      <c r="H9" s="21"/>
      <c r="I9" s="21"/>
      <c r="J9" s="21"/>
      <c r="K9" s="21"/>
      <c r="L9" s="21"/>
      <c r="M9" s="21"/>
    </row>
    <row r="10" customFormat="false" ht="18" hidden="false" customHeight="true" outlineLevel="0" collapsed="false">
      <c r="A10" s="19" t="s">
        <v>1462</v>
      </c>
      <c r="B10" s="18" t="s">
        <v>1463</v>
      </c>
      <c r="C10" s="60" t="s">
        <v>1464</v>
      </c>
      <c r="D10" s="90" t="n">
        <v>8</v>
      </c>
      <c r="E10" s="90" t="n">
        <v>40</v>
      </c>
      <c r="F10" s="21" t="s">
        <v>1461</v>
      </c>
      <c r="G10" s="21"/>
      <c r="H10" s="21"/>
      <c r="I10" s="21"/>
      <c r="J10" s="21"/>
      <c r="K10" s="21"/>
      <c r="L10" s="21"/>
      <c r="M10" s="21"/>
    </row>
    <row r="11" customFormat="false" ht="18" hidden="false" customHeight="true" outlineLevel="0" collapsed="false">
      <c r="A11" s="19" t="s">
        <v>1465</v>
      </c>
      <c r="B11" s="18" t="s">
        <v>1466</v>
      </c>
      <c r="C11" s="60" t="s">
        <v>1456</v>
      </c>
      <c r="D11" s="90" t="n">
        <v>10</v>
      </c>
      <c r="E11" s="90" t="n">
        <v>70</v>
      </c>
      <c r="F11" s="21" t="s">
        <v>1457</v>
      </c>
      <c r="G11" s="21"/>
      <c r="H11" s="21"/>
      <c r="I11" s="21"/>
      <c r="J11" s="21"/>
      <c r="K11" s="21"/>
      <c r="L11" s="21"/>
      <c r="M11" s="21"/>
    </row>
    <row r="12" customFormat="false" ht="18" hidden="false" customHeight="true" outlineLevel="0" collapsed="false">
      <c r="A12" s="19" t="s">
        <v>1467</v>
      </c>
      <c r="B12" s="18" t="s">
        <v>1468</v>
      </c>
      <c r="C12" s="60" t="s">
        <v>1460</v>
      </c>
      <c r="D12" s="90" t="n">
        <v>10</v>
      </c>
      <c r="E12" s="90" t="n">
        <v>60</v>
      </c>
      <c r="F12" s="21" t="s">
        <v>1461</v>
      </c>
      <c r="G12" s="21"/>
      <c r="H12" s="21"/>
      <c r="I12" s="21"/>
      <c r="J12" s="21"/>
      <c r="K12" s="21"/>
      <c r="L12" s="21"/>
      <c r="M12" s="21"/>
    </row>
    <row r="13" customFormat="false" ht="18" hidden="false" customHeight="true" outlineLevel="0" collapsed="false">
      <c r="A13" s="19" t="s">
        <v>1469</v>
      </c>
      <c r="B13" s="18" t="s">
        <v>1470</v>
      </c>
      <c r="C13" s="60" t="s">
        <v>1471</v>
      </c>
      <c r="D13" s="90" t="n">
        <v>10</v>
      </c>
      <c r="E13" s="90" t="n">
        <v>50</v>
      </c>
      <c r="F13" s="21" t="s">
        <v>1461</v>
      </c>
      <c r="G13" s="21"/>
      <c r="H13" s="21"/>
      <c r="I13" s="21"/>
      <c r="J13" s="21"/>
      <c r="K13" s="21"/>
      <c r="L13" s="21"/>
      <c r="M13" s="21"/>
    </row>
    <row r="15" customFormat="false" ht="21" hidden="false" customHeight="true" outlineLevel="0" collapsed="false">
      <c r="A15" s="16" t="s">
        <v>1472</v>
      </c>
      <c r="B15" s="16"/>
      <c r="C15" s="16"/>
      <c r="D15" s="16"/>
      <c r="E15" s="16"/>
      <c r="F15" s="16"/>
      <c r="G15" s="16"/>
      <c r="H15" s="16"/>
      <c r="I15" s="16"/>
      <c r="J15" s="16"/>
      <c r="K15" s="16"/>
      <c r="L15" s="16"/>
      <c r="M15" s="16"/>
    </row>
    <row r="16" customFormat="false" ht="31.5" hidden="false" customHeight="true" outlineLevel="0" collapsed="false">
      <c r="A16" s="14" t="s">
        <v>1473</v>
      </c>
      <c r="B16" s="14" t="s">
        <v>1474</v>
      </c>
      <c r="C16" s="14" t="s">
        <v>1475</v>
      </c>
      <c r="D16" s="14" t="s">
        <v>1476</v>
      </c>
      <c r="E16" s="14" t="s">
        <v>1477</v>
      </c>
      <c r="F16" s="14"/>
      <c r="G16" s="14"/>
      <c r="H16" s="14"/>
      <c r="I16" s="14"/>
      <c r="J16" s="14"/>
      <c r="K16" s="14"/>
      <c r="L16" s="14"/>
      <c r="M16" s="14"/>
    </row>
    <row r="17" customFormat="false" ht="15.75" hidden="false" customHeight="true" outlineLevel="0" collapsed="false">
      <c r="A17" s="19" t="s">
        <v>1478</v>
      </c>
      <c r="B17" s="18" t="s">
        <v>1479</v>
      </c>
      <c r="C17" s="19" t="s">
        <v>1480</v>
      </c>
      <c r="D17" s="90" t="n">
        <v>0</v>
      </c>
      <c r="E17" s="21" t="s">
        <v>1479</v>
      </c>
      <c r="F17" s="21"/>
      <c r="G17" s="21"/>
      <c r="H17" s="21"/>
      <c r="I17" s="21"/>
      <c r="J17" s="21"/>
      <c r="K17" s="21"/>
      <c r="L17" s="21"/>
      <c r="M17" s="21"/>
    </row>
    <row r="18" customFormat="false" ht="15.75" hidden="false" customHeight="true" outlineLevel="0" collapsed="false">
      <c r="A18" s="19" t="s">
        <v>1481</v>
      </c>
      <c r="B18" s="18" t="s">
        <v>1482</v>
      </c>
      <c r="C18" s="19" t="s">
        <v>1478</v>
      </c>
      <c r="D18" s="90" t="n">
        <v>1</v>
      </c>
      <c r="E18" s="21" t="s">
        <v>1483</v>
      </c>
      <c r="F18" s="21"/>
      <c r="G18" s="21"/>
      <c r="H18" s="21"/>
      <c r="I18" s="21"/>
      <c r="J18" s="21"/>
      <c r="K18" s="21"/>
      <c r="L18" s="21"/>
      <c r="M18" s="21"/>
    </row>
    <row r="19" customFormat="false" ht="15.75" hidden="false" customHeight="true" outlineLevel="0" collapsed="false">
      <c r="A19" s="19" t="s">
        <v>1484</v>
      </c>
      <c r="B19" s="18" t="s">
        <v>1485</v>
      </c>
      <c r="C19" s="19" t="s">
        <v>1481</v>
      </c>
      <c r="D19" s="90" t="n">
        <v>2</v>
      </c>
      <c r="E19" s="21" t="s">
        <v>1486</v>
      </c>
      <c r="F19" s="21"/>
      <c r="G19" s="21"/>
      <c r="H19" s="21"/>
      <c r="I19" s="21"/>
      <c r="J19" s="21"/>
      <c r="K19" s="21"/>
      <c r="L19" s="21"/>
      <c r="M19" s="21"/>
    </row>
    <row r="20" customFormat="false" ht="15.75" hidden="false" customHeight="true" outlineLevel="0" collapsed="false">
      <c r="A20" s="19" t="s">
        <v>1487</v>
      </c>
      <c r="B20" s="18" t="s">
        <v>1488</v>
      </c>
      <c r="C20" s="19" t="s">
        <v>1481</v>
      </c>
      <c r="D20" s="90" t="n">
        <v>2</v>
      </c>
      <c r="E20" s="21" t="s">
        <v>1489</v>
      </c>
      <c r="F20" s="21"/>
      <c r="G20" s="21"/>
      <c r="H20" s="21"/>
      <c r="I20" s="21"/>
      <c r="J20" s="21"/>
      <c r="K20" s="21"/>
      <c r="L20" s="21"/>
      <c r="M20" s="21"/>
    </row>
    <row r="21" customFormat="false" ht="15.75" hidden="false" customHeight="true" outlineLevel="0" collapsed="false">
      <c r="A21" s="19" t="s">
        <v>1490</v>
      </c>
      <c r="B21" s="18" t="s">
        <v>1491</v>
      </c>
      <c r="C21" s="19" t="s">
        <v>1481</v>
      </c>
      <c r="D21" s="90" t="n">
        <v>2</v>
      </c>
      <c r="E21" s="21" t="s">
        <v>1492</v>
      </c>
      <c r="F21" s="21"/>
      <c r="G21" s="21"/>
      <c r="H21" s="21"/>
      <c r="I21" s="21"/>
      <c r="J21" s="21"/>
      <c r="K21" s="21"/>
      <c r="L21" s="21"/>
      <c r="M21" s="21"/>
    </row>
    <row r="22" customFormat="false" ht="15.75" hidden="false" customHeight="true" outlineLevel="0" collapsed="false">
      <c r="A22" s="19" t="s">
        <v>1493</v>
      </c>
      <c r="B22" s="18" t="s">
        <v>1494</v>
      </c>
      <c r="C22" s="19" t="s">
        <v>1490</v>
      </c>
      <c r="D22" s="90" t="n">
        <v>3</v>
      </c>
      <c r="E22" s="21" t="s">
        <v>1495</v>
      </c>
      <c r="F22" s="21"/>
      <c r="G22" s="21"/>
      <c r="H22" s="21"/>
      <c r="I22" s="21"/>
      <c r="J22" s="21"/>
      <c r="K22" s="21"/>
      <c r="L22" s="21"/>
      <c r="M22" s="21"/>
    </row>
    <row r="23" customFormat="false" ht="15.75" hidden="false" customHeight="true" outlineLevel="0" collapsed="false">
      <c r="A23" s="19" t="s">
        <v>1496</v>
      </c>
      <c r="B23" s="18" t="s">
        <v>1497</v>
      </c>
      <c r="C23" s="19" t="s">
        <v>1490</v>
      </c>
      <c r="D23" s="90" t="n">
        <v>3</v>
      </c>
      <c r="E23" s="21" t="s">
        <v>1498</v>
      </c>
      <c r="F23" s="21"/>
      <c r="G23" s="21"/>
      <c r="H23" s="21"/>
      <c r="I23" s="21"/>
      <c r="J23" s="21"/>
      <c r="K23" s="21"/>
      <c r="L23" s="21"/>
      <c r="M23" s="21"/>
    </row>
    <row r="24" customFormat="false" ht="15.75" hidden="false" customHeight="true" outlineLevel="0" collapsed="false">
      <c r="A24" s="19" t="s">
        <v>1499</v>
      </c>
      <c r="B24" s="18" t="s">
        <v>1500</v>
      </c>
      <c r="C24" s="19" t="s">
        <v>1481</v>
      </c>
      <c r="D24" s="90" t="n">
        <v>2</v>
      </c>
      <c r="E24" s="21" t="s">
        <v>1501</v>
      </c>
      <c r="F24" s="21"/>
      <c r="G24" s="21"/>
      <c r="H24" s="21"/>
      <c r="I24" s="21"/>
      <c r="J24" s="21"/>
      <c r="K24" s="21"/>
      <c r="L24" s="21"/>
      <c r="M24" s="21"/>
    </row>
    <row r="25" customFormat="false" ht="15.75" hidden="false" customHeight="true" outlineLevel="0" collapsed="false">
      <c r="A25" s="19" t="s">
        <v>1502</v>
      </c>
      <c r="B25" s="18" t="s">
        <v>1494</v>
      </c>
      <c r="C25" s="19" t="s">
        <v>1499</v>
      </c>
      <c r="D25" s="90" t="n">
        <v>3</v>
      </c>
      <c r="E25" s="21" t="s">
        <v>1503</v>
      </c>
      <c r="F25" s="21"/>
      <c r="G25" s="21"/>
      <c r="H25" s="21"/>
      <c r="I25" s="21"/>
      <c r="J25" s="21"/>
      <c r="K25" s="21"/>
      <c r="L25" s="21"/>
      <c r="M25" s="21"/>
    </row>
    <row r="26" customFormat="false" ht="15.75" hidden="false" customHeight="true" outlineLevel="0" collapsed="false">
      <c r="A26" s="19" t="s">
        <v>1504</v>
      </c>
      <c r="B26" s="18" t="s">
        <v>1497</v>
      </c>
      <c r="C26" s="19" t="s">
        <v>1499</v>
      </c>
      <c r="D26" s="90" t="n">
        <v>3</v>
      </c>
      <c r="E26" s="21" t="s">
        <v>1505</v>
      </c>
      <c r="F26" s="21"/>
      <c r="G26" s="21"/>
      <c r="H26" s="21"/>
      <c r="I26" s="21"/>
      <c r="J26" s="21"/>
      <c r="K26" s="21"/>
      <c r="L26" s="21"/>
      <c r="M26" s="21"/>
    </row>
    <row r="27" customFormat="false" ht="15.75" hidden="false" customHeight="true" outlineLevel="0" collapsed="false">
      <c r="A27" s="19" t="s">
        <v>1506</v>
      </c>
      <c r="B27" s="18" t="s">
        <v>1507</v>
      </c>
      <c r="C27" s="19" t="s">
        <v>1481</v>
      </c>
      <c r="D27" s="90" t="n">
        <v>2</v>
      </c>
      <c r="E27" s="21" t="s">
        <v>1508</v>
      </c>
      <c r="F27" s="21"/>
      <c r="G27" s="21"/>
      <c r="H27" s="21"/>
      <c r="I27" s="21"/>
      <c r="J27" s="21"/>
      <c r="K27" s="21"/>
      <c r="L27" s="21"/>
      <c r="M27" s="21"/>
    </row>
    <row r="28" customFormat="false" ht="15.75" hidden="false" customHeight="true" outlineLevel="0" collapsed="false">
      <c r="A28" s="19" t="s">
        <v>1509</v>
      </c>
      <c r="B28" s="18" t="s">
        <v>1510</v>
      </c>
      <c r="C28" s="19" t="s">
        <v>1481</v>
      </c>
      <c r="D28" s="90" t="n">
        <v>2</v>
      </c>
      <c r="E28" s="21" t="s">
        <v>1511</v>
      </c>
      <c r="F28" s="21"/>
      <c r="G28" s="21"/>
      <c r="H28" s="21"/>
      <c r="I28" s="21"/>
      <c r="J28" s="21"/>
      <c r="K28" s="21"/>
      <c r="L28" s="21"/>
      <c r="M28" s="21"/>
    </row>
    <row r="29" customFormat="false" ht="15.75" hidden="false" customHeight="true" outlineLevel="0" collapsed="false">
      <c r="A29" s="19" t="s">
        <v>1512</v>
      </c>
      <c r="B29" s="18" t="s">
        <v>1513</v>
      </c>
      <c r="C29" s="19" t="s">
        <v>1478</v>
      </c>
      <c r="D29" s="90" t="n">
        <v>1</v>
      </c>
      <c r="E29" s="21" t="s">
        <v>1514</v>
      </c>
      <c r="F29" s="21"/>
      <c r="G29" s="21"/>
      <c r="H29" s="21"/>
      <c r="I29" s="21"/>
      <c r="J29" s="21"/>
      <c r="K29" s="21"/>
      <c r="L29" s="21"/>
      <c r="M29" s="21"/>
    </row>
    <row r="30" customFormat="false" ht="15.75" hidden="false" customHeight="true" outlineLevel="0" collapsed="false">
      <c r="A30" s="19" t="s">
        <v>1515</v>
      </c>
      <c r="B30" s="18" t="s">
        <v>1516</v>
      </c>
      <c r="C30" s="19" t="s">
        <v>1512</v>
      </c>
      <c r="D30" s="90" t="n">
        <v>2</v>
      </c>
      <c r="E30" s="21" t="s">
        <v>1517</v>
      </c>
      <c r="F30" s="21"/>
      <c r="G30" s="21"/>
      <c r="H30" s="21"/>
      <c r="I30" s="21"/>
      <c r="J30" s="21"/>
      <c r="K30" s="21"/>
      <c r="L30" s="21"/>
      <c r="M30" s="21"/>
    </row>
    <row r="31" customFormat="false" ht="15.75" hidden="false" customHeight="true" outlineLevel="0" collapsed="false">
      <c r="A31" s="19" t="s">
        <v>1518</v>
      </c>
      <c r="B31" s="18" t="s">
        <v>1519</v>
      </c>
      <c r="C31" s="19" t="s">
        <v>1512</v>
      </c>
      <c r="D31" s="90" t="n">
        <v>2</v>
      </c>
      <c r="E31" s="21" t="s">
        <v>1520</v>
      </c>
      <c r="F31" s="21"/>
      <c r="G31" s="21"/>
      <c r="H31" s="21"/>
      <c r="I31" s="21"/>
      <c r="J31" s="21"/>
      <c r="K31" s="21"/>
      <c r="L31" s="21"/>
      <c r="M31" s="21"/>
    </row>
    <row r="32" customFormat="false" ht="15.75" hidden="false" customHeight="true" outlineLevel="0" collapsed="false">
      <c r="A32" s="19" t="s">
        <v>1521</v>
      </c>
      <c r="B32" s="18" t="s">
        <v>1522</v>
      </c>
      <c r="C32" s="19" t="s">
        <v>1478</v>
      </c>
      <c r="D32" s="90" t="n">
        <v>1</v>
      </c>
      <c r="E32" s="21" t="s">
        <v>1523</v>
      </c>
      <c r="F32" s="21"/>
      <c r="G32" s="21"/>
      <c r="H32" s="21"/>
      <c r="I32" s="21"/>
      <c r="J32" s="21"/>
      <c r="K32" s="21"/>
      <c r="L32" s="21"/>
      <c r="M32" s="21"/>
    </row>
    <row r="33" customFormat="false" ht="15.75" hidden="false" customHeight="true" outlineLevel="0" collapsed="false">
      <c r="A33" s="19" t="s">
        <v>1524</v>
      </c>
      <c r="B33" s="18" t="s">
        <v>1525</v>
      </c>
      <c r="C33" s="19" t="s">
        <v>1521</v>
      </c>
      <c r="D33" s="90" t="n">
        <v>2</v>
      </c>
      <c r="E33" s="21" t="s">
        <v>1526</v>
      </c>
      <c r="F33" s="21"/>
      <c r="G33" s="21"/>
      <c r="H33" s="21"/>
      <c r="I33" s="21"/>
      <c r="J33" s="21"/>
      <c r="K33" s="21"/>
      <c r="L33" s="21"/>
      <c r="M33" s="21"/>
    </row>
    <row r="34" customFormat="false" ht="15.75" hidden="false" customHeight="true" outlineLevel="0" collapsed="false">
      <c r="A34" s="19" t="s">
        <v>1527</v>
      </c>
      <c r="B34" s="18" t="s">
        <v>1528</v>
      </c>
      <c r="C34" s="19" t="s">
        <v>1478</v>
      </c>
      <c r="D34" s="90" t="n">
        <v>1</v>
      </c>
      <c r="E34" s="21" t="s">
        <v>1529</v>
      </c>
      <c r="F34" s="21"/>
      <c r="G34" s="21"/>
      <c r="H34" s="21"/>
      <c r="I34" s="21"/>
      <c r="J34" s="21"/>
      <c r="K34" s="21"/>
      <c r="L34" s="21"/>
      <c r="M34" s="21"/>
    </row>
    <row r="35" customFormat="false" ht="15.75" hidden="false" customHeight="true" outlineLevel="0" collapsed="false">
      <c r="A35" s="19" t="s">
        <v>1530</v>
      </c>
      <c r="B35" s="18" t="s">
        <v>1531</v>
      </c>
      <c r="C35" s="19" t="s">
        <v>1527</v>
      </c>
      <c r="D35" s="90" t="n">
        <v>2</v>
      </c>
      <c r="E35" s="21" t="s">
        <v>1532</v>
      </c>
      <c r="F35" s="21"/>
      <c r="G35" s="21"/>
      <c r="H35" s="21"/>
      <c r="I35" s="21"/>
      <c r="J35" s="21"/>
      <c r="K35" s="21"/>
      <c r="L35" s="21"/>
      <c r="M35" s="21"/>
    </row>
    <row r="36" customFormat="false" ht="15.75" hidden="false" customHeight="true" outlineLevel="0" collapsed="false">
      <c r="A36" s="19" t="s">
        <v>1533</v>
      </c>
      <c r="B36" s="18" t="s">
        <v>1534</v>
      </c>
      <c r="C36" s="19" t="s">
        <v>1478</v>
      </c>
      <c r="D36" s="90" t="n">
        <v>1</v>
      </c>
      <c r="E36" s="21" t="s">
        <v>1535</v>
      </c>
      <c r="F36" s="21"/>
      <c r="G36" s="21"/>
      <c r="H36" s="21"/>
      <c r="I36" s="21"/>
      <c r="J36" s="21"/>
      <c r="K36" s="21"/>
      <c r="L36" s="21"/>
      <c r="M36" s="21"/>
    </row>
    <row r="37" customFormat="false" ht="15.75" hidden="false" customHeight="true" outlineLevel="0" collapsed="false">
      <c r="A37" s="19" t="s">
        <v>1536</v>
      </c>
      <c r="B37" s="18" t="s">
        <v>1537</v>
      </c>
      <c r="C37" s="19" t="s">
        <v>1533</v>
      </c>
      <c r="D37" s="90" t="n">
        <v>2</v>
      </c>
      <c r="E37" s="21" t="s">
        <v>1538</v>
      </c>
      <c r="F37" s="21"/>
      <c r="G37" s="21"/>
      <c r="H37" s="21"/>
      <c r="I37" s="21"/>
      <c r="J37" s="21"/>
      <c r="K37" s="21"/>
      <c r="L37" s="21"/>
      <c r="M37" s="21"/>
    </row>
    <row r="38" customFormat="false" ht="15.75" hidden="false" customHeight="true" outlineLevel="0" collapsed="false">
      <c r="A38" s="19" t="s">
        <v>1539</v>
      </c>
      <c r="B38" s="18" t="s">
        <v>1540</v>
      </c>
      <c r="C38" s="19" t="s">
        <v>1533</v>
      </c>
      <c r="D38" s="90" t="n">
        <v>2</v>
      </c>
      <c r="E38" s="21" t="s">
        <v>1541</v>
      </c>
      <c r="F38" s="21"/>
      <c r="G38" s="21"/>
      <c r="H38" s="21"/>
      <c r="I38" s="21"/>
      <c r="J38" s="21"/>
      <c r="K38" s="21"/>
      <c r="L38" s="21"/>
      <c r="M38" s="21"/>
    </row>
    <row r="39" customFormat="false" ht="15.75" hidden="false" customHeight="true" outlineLevel="0" collapsed="false">
      <c r="A39" s="19" t="s">
        <v>1542</v>
      </c>
      <c r="B39" s="18" t="s">
        <v>1543</v>
      </c>
      <c r="C39" s="19" t="s">
        <v>1539</v>
      </c>
      <c r="D39" s="90" t="n">
        <v>3</v>
      </c>
      <c r="E39" s="21" t="s">
        <v>1544</v>
      </c>
      <c r="F39" s="21"/>
      <c r="G39" s="21"/>
      <c r="H39" s="21"/>
      <c r="I39" s="21"/>
      <c r="J39" s="21"/>
      <c r="K39" s="21"/>
      <c r="L39" s="21"/>
      <c r="M39" s="21"/>
    </row>
    <row r="40" customFormat="false" ht="15.75" hidden="false" customHeight="true" outlineLevel="0" collapsed="false">
      <c r="A40" s="19" t="s">
        <v>1545</v>
      </c>
      <c r="B40" s="18" t="s">
        <v>1546</v>
      </c>
      <c r="C40" s="19" t="s">
        <v>1542</v>
      </c>
      <c r="D40" s="90" t="n">
        <v>4</v>
      </c>
      <c r="E40" s="21" t="s">
        <v>1547</v>
      </c>
      <c r="F40" s="21"/>
      <c r="G40" s="21"/>
      <c r="H40" s="21"/>
      <c r="I40" s="21"/>
      <c r="J40" s="21"/>
      <c r="K40" s="21"/>
      <c r="L40" s="21"/>
      <c r="M40" s="21"/>
    </row>
    <row r="41" customFormat="false" ht="15.75" hidden="false" customHeight="true" outlineLevel="0" collapsed="false">
      <c r="A41" s="19" t="s">
        <v>1548</v>
      </c>
      <c r="B41" s="18" t="s">
        <v>1549</v>
      </c>
      <c r="C41" s="19" t="s">
        <v>1542</v>
      </c>
      <c r="D41" s="90" t="n">
        <v>4</v>
      </c>
      <c r="E41" s="21" t="s">
        <v>1550</v>
      </c>
      <c r="F41" s="21"/>
      <c r="G41" s="21"/>
      <c r="H41" s="21"/>
      <c r="I41" s="21"/>
      <c r="J41" s="21"/>
      <c r="K41" s="21"/>
      <c r="L41" s="21"/>
      <c r="M41" s="21"/>
    </row>
    <row r="42" customFormat="false" ht="15.75" hidden="false" customHeight="true" outlineLevel="0" collapsed="false">
      <c r="A42" s="19" t="s">
        <v>1551</v>
      </c>
      <c r="B42" s="18" t="s">
        <v>1552</v>
      </c>
      <c r="C42" s="19" t="s">
        <v>1539</v>
      </c>
      <c r="D42" s="90" t="n">
        <v>3</v>
      </c>
      <c r="E42" s="21" t="s">
        <v>1553</v>
      </c>
      <c r="F42" s="21"/>
      <c r="G42" s="21"/>
      <c r="H42" s="21"/>
      <c r="I42" s="21"/>
      <c r="J42" s="21"/>
      <c r="K42" s="21"/>
      <c r="L42" s="21"/>
      <c r="M42" s="21"/>
    </row>
    <row r="43" customFormat="false" ht="15.75" hidden="false" customHeight="true" outlineLevel="0" collapsed="false">
      <c r="A43" s="19" t="s">
        <v>1554</v>
      </c>
      <c r="B43" s="18" t="s">
        <v>1555</v>
      </c>
      <c r="C43" s="19" t="s">
        <v>1551</v>
      </c>
      <c r="D43" s="90" t="n">
        <v>4</v>
      </c>
      <c r="E43" s="21" t="s">
        <v>1556</v>
      </c>
      <c r="F43" s="21"/>
      <c r="G43" s="21"/>
      <c r="H43" s="21"/>
      <c r="I43" s="21"/>
      <c r="J43" s="21"/>
      <c r="K43" s="21"/>
      <c r="L43" s="21"/>
      <c r="M43" s="21"/>
    </row>
    <row r="44" customFormat="false" ht="15.75" hidden="false" customHeight="true" outlineLevel="0" collapsed="false">
      <c r="A44" s="19" t="s">
        <v>1557</v>
      </c>
      <c r="B44" s="18" t="s">
        <v>1558</v>
      </c>
      <c r="C44" s="19" t="s">
        <v>1551</v>
      </c>
      <c r="D44" s="90" t="n">
        <v>4</v>
      </c>
      <c r="E44" s="21" t="s">
        <v>1559</v>
      </c>
      <c r="F44" s="21"/>
      <c r="G44" s="21"/>
      <c r="H44" s="21"/>
      <c r="I44" s="21"/>
      <c r="J44" s="21"/>
      <c r="K44" s="21"/>
      <c r="L44" s="21"/>
      <c r="M44" s="21"/>
    </row>
    <row r="45" customFormat="false" ht="15.75" hidden="false" customHeight="true" outlineLevel="0" collapsed="false">
      <c r="A45" s="19" t="s">
        <v>1560</v>
      </c>
      <c r="B45" s="18" t="s">
        <v>1561</v>
      </c>
      <c r="C45" s="19" t="s">
        <v>1533</v>
      </c>
      <c r="D45" s="90" t="n">
        <v>2</v>
      </c>
      <c r="E45" s="21" t="s">
        <v>1562</v>
      </c>
      <c r="F45" s="21"/>
      <c r="G45" s="21"/>
      <c r="H45" s="21"/>
      <c r="I45" s="21"/>
      <c r="J45" s="21"/>
      <c r="K45" s="21"/>
      <c r="L45" s="21"/>
      <c r="M45" s="21"/>
    </row>
    <row r="46" customFormat="false" ht="15.75" hidden="false" customHeight="true" outlineLevel="0" collapsed="false">
      <c r="A46" s="19" t="s">
        <v>1563</v>
      </c>
      <c r="B46" s="18" t="s">
        <v>1564</v>
      </c>
      <c r="C46" s="19" t="s">
        <v>1533</v>
      </c>
      <c r="D46" s="90" t="n">
        <v>2</v>
      </c>
      <c r="E46" s="21" t="s">
        <v>1565</v>
      </c>
      <c r="F46" s="21"/>
      <c r="G46" s="21"/>
      <c r="H46" s="21"/>
      <c r="I46" s="21"/>
      <c r="J46" s="21"/>
      <c r="K46" s="21"/>
      <c r="L46" s="21"/>
      <c r="M46" s="21"/>
    </row>
    <row r="47" customFormat="false" ht="15.75" hidden="false" customHeight="true" outlineLevel="0" collapsed="false">
      <c r="A47" s="19" t="s">
        <v>1566</v>
      </c>
      <c r="B47" s="18" t="s">
        <v>1567</v>
      </c>
      <c r="C47" s="19" t="s">
        <v>1478</v>
      </c>
      <c r="D47" s="90" t="n">
        <v>1</v>
      </c>
      <c r="E47" s="21" t="s">
        <v>1568</v>
      </c>
      <c r="F47" s="21"/>
      <c r="G47" s="21"/>
      <c r="H47" s="21"/>
      <c r="I47" s="21"/>
      <c r="J47" s="21"/>
      <c r="K47" s="21"/>
      <c r="L47" s="21"/>
      <c r="M47" s="21"/>
    </row>
    <row r="48" customFormat="false" ht="15.75" hidden="false" customHeight="true" outlineLevel="0" collapsed="false">
      <c r="A48" s="19" t="s">
        <v>1569</v>
      </c>
      <c r="B48" s="18" t="s">
        <v>1570</v>
      </c>
      <c r="C48" s="19" t="s">
        <v>1566</v>
      </c>
      <c r="D48" s="90" t="n">
        <v>2</v>
      </c>
      <c r="E48" s="21" t="s">
        <v>1571</v>
      </c>
      <c r="F48" s="21"/>
      <c r="G48" s="21"/>
      <c r="H48" s="21"/>
      <c r="I48" s="21"/>
      <c r="J48" s="21"/>
      <c r="K48" s="21"/>
      <c r="L48" s="21"/>
      <c r="M48" s="21"/>
    </row>
    <row r="49" customFormat="false" ht="15.75" hidden="false" customHeight="true" outlineLevel="0" collapsed="false">
      <c r="A49" s="19" t="s">
        <v>1572</v>
      </c>
      <c r="B49" s="18" t="s">
        <v>1573</v>
      </c>
      <c r="C49" s="19" t="s">
        <v>1569</v>
      </c>
      <c r="D49" s="90" t="n">
        <v>3</v>
      </c>
      <c r="E49" s="21" t="s">
        <v>1574</v>
      </c>
      <c r="F49" s="21"/>
      <c r="G49" s="21"/>
      <c r="H49" s="21"/>
      <c r="I49" s="21"/>
      <c r="J49" s="21"/>
      <c r="K49" s="21"/>
      <c r="L49" s="21"/>
      <c r="M49" s="21"/>
    </row>
    <row r="50" customFormat="false" ht="15.75" hidden="false" customHeight="true" outlineLevel="0" collapsed="false">
      <c r="A50" s="19" t="s">
        <v>1575</v>
      </c>
      <c r="B50" s="18" t="s">
        <v>1576</v>
      </c>
      <c r="C50" s="19" t="s">
        <v>1572</v>
      </c>
      <c r="D50" s="90" t="n">
        <v>4</v>
      </c>
      <c r="E50" s="21" t="s">
        <v>1577</v>
      </c>
      <c r="F50" s="21"/>
      <c r="G50" s="21"/>
      <c r="H50" s="21"/>
      <c r="I50" s="21"/>
      <c r="J50" s="21"/>
      <c r="K50" s="21"/>
      <c r="L50" s="21"/>
      <c r="M50" s="21"/>
    </row>
    <row r="51" customFormat="false" ht="15.75" hidden="false" customHeight="true" outlineLevel="0" collapsed="false">
      <c r="A51" s="19" t="s">
        <v>1578</v>
      </c>
      <c r="B51" s="18" t="s">
        <v>1579</v>
      </c>
      <c r="C51" s="19" t="s">
        <v>1575</v>
      </c>
      <c r="D51" s="90" t="n">
        <v>5</v>
      </c>
      <c r="E51" s="21" t="s">
        <v>1580</v>
      </c>
      <c r="F51" s="21"/>
      <c r="G51" s="21"/>
      <c r="H51" s="21"/>
      <c r="I51" s="21"/>
      <c r="J51" s="21"/>
      <c r="K51" s="21"/>
      <c r="L51" s="21"/>
      <c r="M51" s="21"/>
    </row>
    <row r="52" customFormat="false" ht="15.75" hidden="false" customHeight="true" outlineLevel="0" collapsed="false">
      <c r="A52" s="19" t="s">
        <v>1581</v>
      </c>
      <c r="B52" s="18" t="s">
        <v>1582</v>
      </c>
      <c r="C52" s="19" t="s">
        <v>1575</v>
      </c>
      <c r="D52" s="90" t="n">
        <v>5</v>
      </c>
      <c r="E52" s="21" t="s">
        <v>1583</v>
      </c>
      <c r="F52" s="21"/>
      <c r="G52" s="21"/>
      <c r="H52" s="21"/>
      <c r="I52" s="21"/>
      <c r="J52" s="21"/>
      <c r="K52" s="21"/>
      <c r="L52" s="21"/>
      <c r="M52" s="21"/>
    </row>
    <row r="53" customFormat="false" ht="15.75" hidden="false" customHeight="true" outlineLevel="0" collapsed="false">
      <c r="A53" s="19" t="s">
        <v>1584</v>
      </c>
      <c r="B53" s="18" t="s">
        <v>1585</v>
      </c>
      <c r="C53" s="19" t="s">
        <v>1572</v>
      </c>
      <c r="D53" s="90" t="n">
        <v>4</v>
      </c>
      <c r="E53" s="21" t="s">
        <v>1586</v>
      </c>
      <c r="F53" s="21"/>
      <c r="G53" s="21"/>
      <c r="H53" s="21"/>
      <c r="I53" s="21"/>
      <c r="J53" s="21"/>
      <c r="K53" s="21"/>
      <c r="L53" s="21"/>
      <c r="M53" s="21"/>
    </row>
    <row r="54" customFormat="false" ht="15.75" hidden="false" customHeight="true" outlineLevel="0" collapsed="false">
      <c r="A54" s="19" t="s">
        <v>1587</v>
      </c>
      <c r="B54" s="18" t="s">
        <v>1588</v>
      </c>
      <c r="C54" s="19" t="s">
        <v>1572</v>
      </c>
      <c r="D54" s="90" t="n">
        <v>4</v>
      </c>
      <c r="E54" s="21" t="s">
        <v>1589</v>
      </c>
      <c r="F54" s="21"/>
      <c r="G54" s="21"/>
      <c r="H54" s="21"/>
      <c r="I54" s="21"/>
      <c r="J54" s="21"/>
      <c r="K54" s="21"/>
      <c r="L54" s="21"/>
      <c r="M54" s="21"/>
    </row>
    <row r="55" customFormat="false" ht="15.75" hidden="false" customHeight="true" outlineLevel="0" collapsed="false">
      <c r="A55" s="19" t="s">
        <v>1590</v>
      </c>
      <c r="B55" s="18" t="s">
        <v>1579</v>
      </c>
      <c r="C55" s="19" t="s">
        <v>1587</v>
      </c>
      <c r="D55" s="90" t="n">
        <v>5</v>
      </c>
      <c r="E55" s="21" t="s">
        <v>1591</v>
      </c>
      <c r="F55" s="21"/>
      <c r="G55" s="21"/>
      <c r="H55" s="21"/>
      <c r="I55" s="21"/>
      <c r="J55" s="21"/>
      <c r="K55" s="21"/>
      <c r="L55" s="21"/>
      <c r="M55" s="21"/>
    </row>
    <row r="56" customFormat="false" ht="15.75" hidden="false" customHeight="true" outlineLevel="0" collapsed="false">
      <c r="A56" s="19" t="s">
        <v>1592</v>
      </c>
      <c r="B56" s="18" t="s">
        <v>1582</v>
      </c>
      <c r="C56" s="19" t="s">
        <v>1587</v>
      </c>
      <c r="D56" s="90" t="n">
        <v>5</v>
      </c>
      <c r="E56" s="21" t="s">
        <v>1593</v>
      </c>
      <c r="F56" s="21"/>
      <c r="G56" s="21"/>
      <c r="H56" s="21"/>
      <c r="I56" s="21"/>
      <c r="J56" s="21"/>
      <c r="K56" s="21"/>
      <c r="L56" s="21"/>
      <c r="M56" s="21"/>
    </row>
    <row r="57" customFormat="false" ht="15.75" hidden="false" customHeight="true" outlineLevel="0" collapsed="false">
      <c r="A57" s="19" t="s">
        <v>1594</v>
      </c>
      <c r="B57" s="18" t="s">
        <v>1595</v>
      </c>
      <c r="C57" s="19" t="s">
        <v>1572</v>
      </c>
      <c r="D57" s="90" t="n">
        <v>4</v>
      </c>
      <c r="E57" s="21" t="s">
        <v>1596</v>
      </c>
      <c r="F57" s="21"/>
      <c r="G57" s="21"/>
      <c r="H57" s="21"/>
      <c r="I57" s="21"/>
      <c r="J57" s="21"/>
      <c r="K57" s="21"/>
      <c r="L57" s="21"/>
      <c r="M57" s="21"/>
    </row>
    <row r="58" customFormat="false" ht="15.75" hidden="false" customHeight="true" outlineLevel="0" collapsed="false">
      <c r="A58" s="19" t="s">
        <v>1597</v>
      </c>
      <c r="B58" s="18" t="s">
        <v>1598</v>
      </c>
      <c r="C58" s="19" t="s">
        <v>1572</v>
      </c>
      <c r="D58" s="90" t="n">
        <v>4</v>
      </c>
      <c r="E58" s="21" t="s">
        <v>1599</v>
      </c>
      <c r="F58" s="21"/>
      <c r="G58" s="21"/>
      <c r="H58" s="21"/>
      <c r="I58" s="21"/>
      <c r="J58" s="21"/>
      <c r="K58" s="21"/>
      <c r="L58" s="21"/>
      <c r="M58" s="21"/>
    </row>
    <row r="59" customFormat="false" ht="15.75" hidden="false" customHeight="true" outlineLevel="0" collapsed="false">
      <c r="A59" s="19" t="s">
        <v>1600</v>
      </c>
      <c r="B59" s="18" t="s">
        <v>1601</v>
      </c>
      <c r="C59" s="19" t="s">
        <v>1566</v>
      </c>
      <c r="D59" s="90" t="n">
        <v>2</v>
      </c>
      <c r="E59" s="21" t="s">
        <v>1602</v>
      </c>
      <c r="F59" s="21"/>
      <c r="G59" s="21"/>
      <c r="H59" s="21"/>
      <c r="I59" s="21"/>
      <c r="J59" s="21"/>
      <c r="K59" s="21"/>
      <c r="L59" s="21"/>
      <c r="M59" s="21"/>
    </row>
    <row r="60" customFormat="false" ht="15.75" hidden="false" customHeight="true" outlineLevel="0" collapsed="false">
      <c r="A60" s="19" t="s">
        <v>1603</v>
      </c>
      <c r="B60" s="18" t="s">
        <v>1604</v>
      </c>
      <c r="C60" s="19" t="s">
        <v>1600</v>
      </c>
      <c r="D60" s="90" t="n">
        <v>3</v>
      </c>
      <c r="E60" s="21" t="s">
        <v>1605</v>
      </c>
      <c r="F60" s="21"/>
      <c r="G60" s="21"/>
      <c r="H60" s="21"/>
      <c r="I60" s="21"/>
      <c r="J60" s="21"/>
      <c r="K60" s="21"/>
      <c r="L60" s="21"/>
      <c r="M60" s="21"/>
    </row>
    <row r="61" customFormat="false" ht="15.75" hidden="false" customHeight="true" outlineLevel="0" collapsed="false">
      <c r="A61" s="19" t="s">
        <v>1606</v>
      </c>
      <c r="B61" s="18" t="s">
        <v>1576</v>
      </c>
      <c r="C61" s="19" t="s">
        <v>1603</v>
      </c>
      <c r="D61" s="90" t="n">
        <v>4</v>
      </c>
      <c r="E61" s="21" t="s">
        <v>1607</v>
      </c>
      <c r="F61" s="21"/>
      <c r="G61" s="21"/>
      <c r="H61" s="21"/>
      <c r="I61" s="21"/>
      <c r="J61" s="21"/>
      <c r="K61" s="21"/>
      <c r="L61" s="21"/>
      <c r="M61" s="21"/>
    </row>
    <row r="62" customFormat="false" ht="15.75" hidden="false" customHeight="true" outlineLevel="0" collapsed="false">
      <c r="A62" s="19" t="s">
        <v>1608</v>
      </c>
      <c r="B62" s="18" t="s">
        <v>1585</v>
      </c>
      <c r="C62" s="19" t="s">
        <v>1603</v>
      </c>
      <c r="D62" s="90" t="n">
        <v>4</v>
      </c>
      <c r="E62" s="21" t="s">
        <v>1609</v>
      </c>
      <c r="F62" s="21"/>
      <c r="G62" s="21"/>
      <c r="H62" s="21"/>
      <c r="I62" s="21"/>
      <c r="J62" s="21"/>
      <c r="K62" s="21"/>
      <c r="L62" s="21"/>
      <c r="M62" s="21"/>
    </row>
    <row r="63" customFormat="false" ht="15.75" hidden="false" customHeight="true" outlineLevel="0" collapsed="false">
      <c r="A63" s="19" t="s">
        <v>1610</v>
      </c>
      <c r="B63" s="18" t="s">
        <v>1588</v>
      </c>
      <c r="C63" s="19" t="s">
        <v>1603</v>
      </c>
      <c r="D63" s="90" t="n">
        <v>4</v>
      </c>
      <c r="E63" s="21" t="s">
        <v>1611</v>
      </c>
      <c r="F63" s="21"/>
      <c r="G63" s="21"/>
      <c r="H63" s="21"/>
      <c r="I63" s="21"/>
      <c r="J63" s="21"/>
      <c r="K63" s="21"/>
      <c r="L63" s="21"/>
      <c r="M63" s="21"/>
    </row>
    <row r="64" customFormat="false" ht="15.75" hidden="false" customHeight="true" outlineLevel="0" collapsed="false">
      <c r="A64" s="19" t="s">
        <v>1612</v>
      </c>
      <c r="B64" s="18" t="s">
        <v>1595</v>
      </c>
      <c r="C64" s="19" t="s">
        <v>1603</v>
      </c>
      <c r="D64" s="90" t="n">
        <v>4</v>
      </c>
      <c r="E64" s="21" t="s">
        <v>1613</v>
      </c>
      <c r="F64" s="21"/>
      <c r="G64" s="21"/>
      <c r="H64" s="21"/>
      <c r="I64" s="21"/>
      <c r="J64" s="21"/>
      <c r="K64" s="21"/>
      <c r="L64" s="21"/>
      <c r="M64" s="21"/>
    </row>
    <row r="65" customFormat="false" ht="15.75" hidden="false" customHeight="true" outlineLevel="0" collapsed="false">
      <c r="A65" s="19" t="s">
        <v>1614</v>
      </c>
      <c r="B65" s="18" t="s">
        <v>1598</v>
      </c>
      <c r="C65" s="19" t="s">
        <v>1603</v>
      </c>
      <c r="D65" s="90" t="n">
        <v>4</v>
      </c>
      <c r="E65" s="21" t="s">
        <v>1615</v>
      </c>
      <c r="F65" s="21"/>
      <c r="G65" s="21"/>
      <c r="H65" s="21"/>
      <c r="I65" s="21"/>
      <c r="J65" s="21"/>
      <c r="K65" s="21"/>
      <c r="L65" s="21"/>
      <c r="M65" s="21"/>
    </row>
    <row r="67" customFormat="false" ht="21" hidden="false" customHeight="true" outlineLevel="0" collapsed="false">
      <c r="A67" s="16" t="s">
        <v>1616</v>
      </c>
      <c r="B67" s="16"/>
      <c r="C67" s="16"/>
      <c r="D67" s="16"/>
      <c r="E67" s="16"/>
      <c r="F67" s="16"/>
      <c r="G67" s="16"/>
      <c r="H67" s="16"/>
      <c r="I67" s="16"/>
      <c r="J67" s="16"/>
      <c r="K67" s="16"/>
      <c r="L67" s="16"/>
      <c r="M67" s="16"/>
    </row>
    <row r="68" customFormat="false" ht="31.5" hidden="false" customHeight="true" outlineLevel="0" collapsed="false">
      <c r="A68" s="14" t="s">
        <v>1617</v>
      </c>
      <c r="B68" s="14" t="s">
        <v>1618</v>
      </c>
      <c r="C68" s="14" t="s">
        <v>1619</v>
      </c>
      <c r="D68" s="14" t="s">
        <v>1620</v>
      </c>
      <c r="E68" s="14" t="s">
        <v>44</v>
      </c>
      <c r="F68" s="14" t="s">
        <v>1621</v>
      </c>
      <c r="G68" s="14" t="s">
        <v>1622</v>
      </c>
      <c r="H68" s="14" t="s">
        <v>1451</v>
      </c>
      <c r="I68" s="14" t="s">
        <v>1623</v>
      </c>
      <c r="J68" s="14" t="s">
        <v>1624</v>
      </c>
      <c r="K68" s="14" t="s">
        <v>1625</v>
      </c>
      <c r="L68" s="14" t="s">
        <v>1626</v>
      </c>
      <c r="M68" s="14" t="s">
        <v>1627</v>
      </c>
    </row>
    <row r="69" customFormat="false" ht="18" hidden="false" customHeight="true" outlineLevel="0" collapsed="false">
      <c r="A69" s="91" t="s">
        <v>1628</v>
      </c>
      <c r="B69" s="18" t="s">
        <v>1629</v>
      </c>
      <c r="C69" s="21" t="s">
        <v>1562</v>
      </c>
      <c r="D69" s="19" t="s">
        <v>1630</v>
      </c>
      <c r="E69" s="19" t="s">
        <v>1631</v>
      </c>
      <c r="F69" s="60" t="s">
        <v>1468</v>
      </c>
      <c r="G69" s="92" t="n">
        <v>170</v>
      </c>
      <c r="H69" s="90" t="n">
        <v>10</v>
      </c>
      <c r="I69" s="92" t="n">
        <f aca="false">IF(H69=0,0,G69/H69)</f>
        <v>17</v>
      </c>
      <c r="J69" s="70" t="n">
        <v>46204</v>
      </c>
      <c r="K69" s="70" t="n">
        <v>46223</v>
      </c>
      <c r="L69" s="92" t="n">
        <v>0</v>
      </c>
      <c r="M69" s="20" t="n">
        <v>0</v>
      </c>
    </row>
    <row r="70" customFormat="false" ht="18" hidden="false" customHeight="true" outlineLevel="0" collapsed="false">
      <c r="A70" s="91" t="s">
        <v>1632</v>
      </c>
      <c r="B70" s="18" t="s">
        <v>1633</v>
      </c>
      <c r="C70" s="21" t="s">
        <v>1529</v>
      </c>
      <c r="D70" s="19" t="s">
        <v>1634</v>
      </c>
      <c r="E70" s="19" t="s">
        <v>1631</v>
      </c>
      <c r="F70" s="60" t="s">
        <v>1455</v>
      </c>
      <c r="G70" s="92" t="n">
        <v>0</v>
      </c>
      <c r="H70" s="90" t="n">
        <v>10</v>
      </c>
      <c r="I70" s="92" t="n">
        <f aca="false">IF(H70=0,0,G70/H70)</f>
        <v>0</v>
      </c>
      <c r="J70" s="70" t="n">
        <v>46204</v>
      </c>
      <c r="K70" s="70" t="n">
        <v>46204</v>
      </c>
      <c r="L70" s="92" t="n">
        <v>0</v>
      </c>
      <c r="M70" s="20" t="n">
        <v>0</v>
      </c>
    </row>
    <row r="71" customFormat="false" ht="18" hidden="false" customHeight="true" outlineLevel="0" collapsed="false">
      <c r="A71" s="91" t="s">
        <v>1635</v>
      </c>
      <c r="B71" s="18" t="s">
        <v>1636</v>
      </c>
      <c r="C71" s="21" t="s">
        <v>1532</v>
      </c>
      <c r="D71" s="19" t="s">
        <v>1637</v>
      </c>
      <c r="E71" s="19" t="s">
        <v>1631</v>
      </c>
      <c r="F71" s="60" t="s">
        <v>1468</v>
      </c>
      <c r="G71" s="92" t="n">
        <v>0</v>
      </c>
      <c r="H71" s="90" t="n">
        <v>10</v>
      </c>
      <c r="I71" s="92" t="n">
        <f aca="false">IF(H71=0,0,G71/H71)</f>
        <v>0</v>
      </c>
      <c r="J71" s="70" t="n">
        <v>46204</v>
      </c>
      <c r="K71" s="70" t="n">
        <v>46204</v>
      </c>
      <c r="L71" s="92" t="n">
        <v>0</v>
      </c>
      <c r="M71" s="20" t="n">
        <v>0</v>
      </c>
    </row>
    <row r="72" customFormat="false" ht="18" hidden="false" customHeight="true" outlineLevel="0" collapsed="false">
      <c r="A72" s="91" t="s">
        <v>1638</v>
      </c>
      <c r="B72" s="18" t="s">
        <v>1639</v>
      </c>
      <c r="C72" s="21" t="s">
        <v>1562</v>
      </c>
      <c r="D72" s="19" t="s">
        <v>1630</v>
      </c>
      <c r="E72" s="19" t="s">
        <v>1631</v>
      </c>
      <c r="F72" s="60" t="s">
        <v>1468</v>
      </c>
      <c r="G72" s="92" t="n">
        <v>90</v>
      </c>
      <c r="H72" s="90" t="n">
        <v>10</v>
      </c>
      <c r="I72" s="92" t="n">
        <f aca="false">IF(H72=0,0,G72/H72)</f>
        <v>9</v>
      </c>
      <c r="J72" s="70" t="n">
        <v>46224</v>
      </c>
      <c r="K72" s="70" t="n">
        <v>46233</v>
      </c>
      <c r="L72" s="92" t="n">
        <v>0</v>
      </c>
      <c r="M72" s="20" t="n">
        <v>0</v>
      </c>
    </row>
    <row r="73" customFormat="false" ht="30" hidden="false" customHeight="true" outlineLevel="0" collapsed="false">
      <c r="A73" s="91" t="s">
        <v>1640</v>
      </c>
      <c r="B73" s="18" t="s">
        <v>1641</v>
      </c>
      <c r="C73" s="21" t="s">
        <v>1559</v>
      </c>
      <c r="D73" s="19" t="s">
        <v>1630</v>
      </c>
      <c r="E73" s="19" t="s">
        <v>1631</v>
      </c>
      <c r="F73" s="60" t="s">
        <v>1468</v>
      </c>
      <c r="G73" s="92" t="n">
        <v>80</v>
      </c>
      <c r="H73" s="90" t="n">
        <v>10</v>
      </c>
      <c r="I73" s="92" t="n">
        <f aca="false">IF(H73=0,0,G73/H73)</f>
        <v>8</v>
      </c>
      <c r="J73" s="70" t="n">
        <v>46224</v>
      </c>
      <c r="K73" s="70" t="n">
        <v>46232</v>
      </c>
      <c r="L73" s="92" t="n">
        <v>240</v>
      </c>
      <c r="M73" s="20" t="n">
        <v>4694.84</v>
      </c>
    </row>
    <row r="74" customFormat="false" ht="30" hidden="false" customHeight="true" outlineLevel="0" collapsed="false">
      <c r="A74" s="91" t="s">
        <v>1642</v>
      </c>
      <c r="B74" s="18" t="s">
        <v>1643</v>
      </c>
      <c r="C74" s="21" t="s">
        <v>1559</v>
      </c>
      <c r="D74" s="19" t="s">
        <v>1630</v>
      </c>
      <c r="E74" s="19" t="s">
        <v>1631</v>
      </c>
      <c r="F74" s="60" t="s">
        <v>1468</v>
      </c>
      <c r="G74" s="92" t="n">
        <v>80</v>
      </c>
      <c r="H74" s="90" t="n">
        <v>10</v>
      </c>
      <c r="I74" s="92" t="n">
        <f aca="false">IF(H74=0,0,G74/H74)</f>
        <v>8</v>
      </c>
      <c r="J74" s="70" t="n">
        <v>46224</v>
      </c>
      <c r="K74" s="70" t="n">
        <v>46232</v>
      </c>
      <c r="L74" s="92" t="n">
        <v>240</v>
      </c>
      <c r="M74" s="20" t="n">
        <v>6572.78</v>
      </c>
    </row>
    <row r="75" customFormat="false" ht="30" hidden="false" customHeight="true" outlineLevel="0" collapsed="false">
      <c r="A75" s="91" t="s">
        <v>1644</v>
      </c>
      <c r="B75" s="18" t="s">
        <v>1645</v>
      </c>
      <c r="C75" s="21" t="s">
        <v>1556</v>
      </c>
      <c r="D75" s="19" t="s">
        <v>1630</v>
      </c>
      <c r="E75" s="19" t="s">
        <v>1631</v>
      </c>
      <c r="F75" s="60" t="s">
        <v>1470</v>
      </c>
      <c r="G75" s="92" t="n">
        <v>110</v>
      </c>
      <c r="H75" s="90" t="n">
        <v>10</v>
      </c>
      <c r="I75" s="92" t="n">
        <f aca="false">IF(H75=0,0,G75/H75)</f>
        <v>11</v>
      </c>
      <c r="J75" s="70" t="n">
        <v>46233</v>
      </c>
      <c r="K75" s="70" t="n">
        <v>46247</v>
      </c>
      <c r="L75" s="92" t="n">
        <v>200</v>
      </c>
      <c r="M75" s="20" t="n">
        <v>3756.88</v>
      </c>
    </row>
    <row r="76" customFormat="false" ht="30" hidden="false" customHeight="true" outlineLevel="0" collapsed="false">
      <c r="A76" s="91" t="s">
        <v>1646</v>
      </c>
      <c r="B76" s="18" t="s">
        <v>1647</v>
      </c>
      <c r="C76" s="21" t="s">
        <v>1556</v>
      </c>
      <c r="D76" s="19" t="s">
        <v>1630</v>
      </c>
      <c r="E76" s="19" t="s">
        <v>1631</v>
      </c>
      <c r="F76" s="60" t="s">
        <v>1470</v>
      </c>
      <c r="G76" s="92" t="n">
        <v>110</v>
      </c>
      <c r="H76" s="90" t="n">
        <v>10</v>
      </c>
      <c r="I76" s="92" t="n">
        <f aca="false">IF(H76=0,0,G76/H76)</f>
        <v>11</v>
      </c>
      <c r="J76" s="70" t="n">
        <v>46233</v>
      </c>
      <c r="K76" s="70" t="n">
        <v>46247</v>
      </c>
      <c r="L76" s="92" t="n">
        <v>200</v>
      </c>
      <c r="M76" s="20" t="n">
        <v>4694.84</v>
      </c>
    </row>
    <row r="77" customFormat="false" ht="30" hidden="false" customHeight="true" outlineLevel="0" collapsed="false">
      <c r="A77" s="91" t="s">
        <v>1648</v>
      </c>
      <c r="B77" s="18" t="s">
        <v>1649</v>
      </c>
      <c r="C77" s="21" t="s">
        <v>1550</v>
      </c>
      <c r="D77" s="19" t="s">
        <v>1630</v>
      </c>
      <c r="E77" s="19" t="s">
        <v>1631</v>
      </c>
      <c r="F77" s="60" t="s">
        <v>1468</v>
      </c>
      <c r="G77" s="92" t="n">
        <v>110</v>
      </c>
      <c r="H77" s="90" t="n">
        <v>10</v>
      </c>
      <c r="I77" s="92" t="n">
        <f aca="false">IF(H77=0,0,G77/H77)</f>
        <v>11</v>
      </c>
      <c r="J77" s="70" t="n">
        <v>46235</v>
      </c>
      <c r="K77" s="70" t="n">
        <v>46246</v>
      </c>
      <c r="L77" s="92" t="n">
        <v>180</v>
      </c>
      <c r="M77" s="20" t="n">
        <v>4694.84</v>
      </c>
    </row>
    <row r="78" customFormat="false" ht="30" hidden="false" customHeight="true" outlineLevel="0" collapsed="false">
      <c r="A78" s="91" t="s">
        <v>1650</v>
      </c>
      <c r="B78" s="18" t="s">
        <v>1651</v>
      </c>
      <c r="C78" s="21" t="s">
        <v>1550</v>
      </c>
      <c r="D78" s="19" t="s">
        <v>1630</v>
      </c>
      <c r="E78" s="19" t="s">
        <v>1631</v>
      </c>
      <c r="F78" s="60" t="s">
        <v>1468</v>
      </c>
      <c r="G78" s="92" t="n">
        <v>120</v>
      </c>
      <c r="H78" s="90" t="n">
        <v>10</v>
      </c>
      <c r="I78" s="92" t="n">
        <f aca="false">IF(H78=0,0,G78/H78)</f>
        <v>12</v>
      </c>
      <c r="J78" s="70" t="n">
        <v>46235</v>
      </c>
      <c r="K78" s="70" t="n">
        <v>46247</v>
      </c>
      <c r="L78" s="92" t="n">
        <v>320</v>
      </c>
      <c r="M78" s="20" t="n">
        <v>4694.84</v>
      </c>
    </row>
    <row r="79" customFormat="false" ht="30" hidden="false" customHeight="true" outlineLevel="0" collapsed="false">
      <c r="A79" s="91" t="s">
        <v>1652</v>
      </c>
      <c r="B79" s="18" t="s">
        <v>1653</v>
      </c>
      <c r="C79" s="21" t="s">
        <v>1550</v>
      </c>
      <c r="D79" s="19" t="s">
        <v>1630</v>
      </c>
      <c r="E79" s="19" t="s">
        <v>1631</v>
      </c>
      <c r="F79" s="60" t="s">
        <v>1468</v>
      </c>
      <c r="G79" s="92" t="n">
        <v>110</v>
      </c>
      <c r="H79" s="90" t="n">
        <v>10</v>
      </c>
      <c r="I79" s="92" t="n">
        <f aca="false">IF(H79=0,0,G79/H79)</f>
        <v>11</v>
      </c>
      <c r="J79" s="70" t="n">
        <v>46235</v>
      </c>
      <c r="K79" s="70" t="n">
        <v>46246</v>
      </c>
      <c r="L79" s="92" t="n">
        <v>180</v>
      </c>
      <c r="M79" s="20" t="n">
        <v>7512.76</v>
      </c>
    </row>
    <row r="80" customFormat="false" ht="30" hidden="false" customHeight="true" outlineLevel="0" collapsed="false">
      <c r="A80" s="91" t="s">
        <v>1654</v>
      </c>
      <c r="B80" s="18" t="s">
        <v>1655</v>
      </c>
      <c r="C80" s="21" t="s">
        <v>1550</v>
      </c>
      <c r="D80" s="19" t="s">
        <v>1630</v>
      </c>
      <c r="E80" s="19" t="s">
        <v>1631</v>
      </c>
      <c r="F80" s="60" t="s">
        <v>1468</v>
      </c>
      <c r="G80" s="92" t="n">
        <v>110</v>
      </c>
      <c r="H80" s="90" t="n">
        <v>10</v>
      </c>
      <c r="I80" s="92" t="n">
        <f aca="false">IF(H80=0,0,G80/H80)</f>
        <v>11</v>
      </c>
      <c r="J80" s="70" t="n">
        <v>46235</v>
      </c>
      <c r="K80" s="70" t="n">
        <v>46246</v>
      </c>
      <c r="L80" s="92" t="n">
        <v>180</v>
      </c>
      <c r="M80" s="20" t="n">
        <v>3755.87</v>
      </c>
    </row>
    <row r="81" customFormat="false" ht="30" hidden="false" customHeight="true" outlineLevel="0" collapsed="false">
      <c r="A81" s="91" t="s">
        <v>1656</v>
      </c>
      <c r="B81" s="18" t="s">
        <v>1657</v>
      </c>
      <c r="C81" s="21" t="s">
        <v>1550</v>
      </c>
      <c r="D81" s="19" t="s">
        <v>1630</v>
      </c>
      <c r="E81" s="19" t="s">
        <v>1631</v>
      </c>
      <c r="F81" s="60" t="s">
        <v>1468</v>
      </c>
      <c r="G81" s="92" t="n">
        <v>80</v>
      </c>
      <c r="H81" s="90" t="n">
        <v>10</v>
      </c>
      <c r="I81" s="92" t="n">
        <f aca="false">IF(H81=0,0,G81/H81)</f>
        <v>8</v>
      </c>
      <c r="J81" s="70" t="n">
        <v>46235</v>
      </c>
      <c r="K81" s="70" t="n">
        <v>46243</v>
      </c>
      <c r="L81" s="92" t="n">
        <v>210</v>
      </c>
      <c r="M81" s="20" t="n">
        <v>7512.76</v>
      </c>
    </row>
    <row r="82" customFormat="false" ht="30" hidden="false" customHeight="true" outlineLevel="0" collapsed="false">
      <c r="A82" s="91" t="s">
        <v>1658</v>
      </c>
      <c r="B82" s="18" t="s">
        <v>1659</v>
      </c>
      <c r="C82" s="21" t="s">
        <v>1559</v>
      </c>
      <c r="D82" s="19" t="s">
        <v>1630</v>
      </c>
      <c r="E82" s="19" t="s">
        <v>1631</v>
      </c>
      <c r="F82" s="60" t="s">
        <v>1468</v>
      </c>
      <c r="G82" s="92" t="n">
        <v>110</v>
      </c>
      <c r="H82" s="90" t="n">
        <v>10</v>
      </c>
      <c r="I82" s="92" t="n">
        <f aca="false">IF(H82=0,0,G82/H82)</f>
        <v>11</v>
      </c>
      <c r="J82" s="70" t="n">
        <v>46235</v>
      </c>
      <c r="K82" s="70" t="n">
        <v>46246</v>
      </c>
      <c r="L82" s="92" t="n">
        <v>250</v>
      </c>
      <c r="M82" s="20" t="n">
        <v>4694.84</v>
      </c>
    </row>
    <row r="83" customFormat="false" ht="30" hidden="false" customHeight="true" outlineLevel="0" collapsed="false">
      <c r="A83" s="91" t="s">
        <v>1660</v>
      </c>
      <c r="B83" s="18" t="s">
        <v>1661</v>
      </c>
      <c r="C83" s="21" t="s">
        <v>1559</v>
      </c>
      <c r="D83" s="19" t="s">
        <v>1630</v>
      </c>
      <c r="E83" s="19" t="s">
        <v>1631</v>
      </c>
      <c r="F83" s="60" t="s">
        <v>1468</v>
      </c>
      <c r="G83" s="92" t="n">
        <v>110</v>
      </c>
      <c r="H83" s="90" t="n">
        <v>10</v>
      </c>
      <c r="I83" s="92" t="n">
        <f aca="false">IF(H83=0,0,G83/H83)</f>
        <v>11</v>
      </c>
      <c r="J83" s="70" t="n">
        <v>46235</v>
      </c>
      <c r="K83" s="70" t="n">
        <v>46246</v>
      </c>
      <c r="L83" s="92" t="n">
        <v>250</v>
      </c>
      <c r="M83" s="20" t="n">
        <v>4694.84</v>
      </c>
    </row>
    <row r="84" customFormat="false" ht="30" hidden="false" customHeight="true" outlineLevel="0" collapsed="false">
      <c r="A84" s="91" t="s">
        <v>1662</v>
      </c>
      <c r="B84" s="18" t="s">
        <v>1663</v>
      </c>
      <c r="C84" s="21" t="s">
        <v>1559</v>
      </c>
      <c r="D84" s="19" t="s">
        <v>1630</v>
      </c>
      <c r="E84" s="19" t="s">
        <v>1631</v>
      </c>
      <c r="F84" s="60" t="s">
        <v>1468</v>
      </c>
      <c r="G84" s="92" t="n">
        <v>130</v>
      </c>
      <c r="H84" s="90" t="n">
        <v>10</v>
      </c>
      <c r="I84" s="92" t="n">
        <f aca="false">IF(H84=0,0,G84/H84)</f>
        <v>13</v>
      </c>
      <c r="J84" s="70" t="n">
        <v>46235</v>
      </c>
      <c r="K84" s="70" t="n">
        <v>46249</v>
      </c>
      <c r="L84" s="92" t="n">
        <v>270</v>
      </c>
      <c r="M84" s="20" t="n">
        <v>4694.84</v>
      </c>
    </row>
    <row r="85" customFormat="false" ht="30" hidden="false" customHeight="true" outlineLevel="0" collapsed="false">
      <c r="A85" s="91" t="s">
        <v>1664</v>
      </c>
      <c r="B85" s="18" t="s">
        <v>1665</v>
      </c>
      <c r="C85" s="21" t="s">
        <v>1599</v>
      </c>
      <c r="D85" s="19" t="s">
        <v>1630</v>
      </c>
      <c r="E85" s="19" t="s">
        <v>1631</v>
      </c>
      <c r="F85" s="60" t="s">
        <v>1468</v>
      </c>
      <c r="G85" s="92" t="n">
        <v>10</v>
      </c>
      <c r="H85" s="90" t="n">
        <v>10</v>
      </c>
      <c r="I85" s="92" t="n">
        <f aca="false">IF(H85=0,0,G85/H85)</f>
        <v>1</v>
      </c>
      <c r="J85" s="70" t="n">
        <v>46235</v>
      </c>
      <c r="K85" s="70" t="n">
        <v>46235</v>
      </c>
      <c r="L85" s="92" t="n">
        <v>0</v>
      </c>
      <c r="M85" s="20" t="n">
        <v>0</v>
      </c>
    </row>
    <row r="86" customFormat="false" ht="30" hidden="false" customHeight="true" outlineLevel="0" collapsed="false">
      <c r="A86" s="91" t="s">
        <v>1666</v>
      </c>
      <c r="B86" s="18" t="s">
        <v>1667</v>
      </c>
      <c r="C86" s="21" t="s">
        <v>1586</v>
      </c>
      <c r="D86" s="19" t="s">
        <v>1630</v>
      </c>
      <c r="E86" s="19" t="s">
        <v>1631</v>
      </c>
      <c r="F86" s="60" t="s">
        <v>1468</v>
      </c>
      <c r="G86" s="92" t="n">
        <v>10</v>
      </c>
      <c r="H86" s="90" t="n">
        <v>10</v>
      </c>
      <c r="I86" s="92" t="n">
        <f aca="false">IF(H86=0,0,G86/H86)</f>
        <v>1</v>
      </c>
      <c r="J86" s="70" t="n">
        <v>46235</v>
      </c>
      <c r="K86" s="70" t="n">
        <v>46235</v>
      </c>
      <c r="L86" s="92" t="n">
        <v>0</v>
      </c>
      <c r="M86" s="20" t="n">
        <v>0</v>
      </c>
    </row>
    <row r="87" customFormat="false" ht="30" hidden="false" customHeight="true" outlineLevel="0" collapsed="false">
      <c r="A87" s="91" t="s">
        <v>1668</v>
      </c>
      <c r="B87" s="18" t="s">
        <v>1669</v>
      </c>
      <c r="C87" s="21" t="s">
        <v>1615</v>
      </c>
      <c r="D87" s="19" t="s">
        <v>1630</v>
      </c>
      <c r="E87" s="19" t="s">
        <v>1631</v>
      </c>
      <c r="F87" s="60" t="s">
        <v>1468</v>
      </c>
      <c r="G87" s="92" t="n">
        <v>50</v>
      </c>
      <c r="H87" s="90" t="n">
        <v>10</v>
      </c>
      <c r="I87" s="92" t="n">
        <f aca="false">IF(H87=0,0,G87/H87)</f>
        <v>5</v>
      </c>
      <c r="J87" s="70" t="n">
        <v>46235</v>
      </c>
      <c r="K87" s="70" t="n">
        <v>46239</v>
      </c>
      <c r="L87" s="92" t="n">
        <v>230</v>
      </c>
      <c r="M87" s="20" t="n">
        <v>0</v>
      </c>
    </row>
    <row r="88" customFormat="false" ht="30" hidden="false" customHeight="true" outlineLevel="0" collapsed="false">
      <c r="A88" s="91" t="s">
        <v>1670</v>
      </c>
      <c r="B88" s="18" t="s">
        <v>1671</v>
      </c>
      <c r="C88" s="21" t="s">
        <v>1599</v>
      </c>
      <c r="D88" s="19" t="s">
        <v>1630</v>
      </c>
      <c r="E88" s="19" t="s">
        <v>1631</v>
      </c>
      <c r="F88" s="60" t="s">
        <v>1468</v>
      </c>
      <c r="G88" s="92" t="n">
        <v>20</v>
      </c>
      <c r="H88" s="90" t="n">
        <v>10</v>
      </c>
      <c r="I88" s="92" t="n">
        <f aca="false">IF(H88=0,0,G88/H88)</f>
        <v>2</v>
      </c>
      <c r="J88" s="70" t="n">
        <v>46236</v>
      </c>
      <c r="K88" s="70" t="n">
        <v>46237</v>
      </c>
      <c r="L88" s="92" t="n">
        <v>0</v>
      </c>
      <c r="M88" s="20" t="n">
        <v>0</v>
      </c>
    </row>
    <row r="89" customFormat="false" ht="30" hidden="false" customHeight="true" outlineLevel="0" collapsed="false">
      <c r="A89" s="91" t="s">
        <v>1672</v>
      </c>
      <c r="B89" s="18" t="s">
        <v>1673</v>
      </c>
      <c r="C89" s="21" t="s">
        <v>1586</v>
      </c>
      <c r="D89" s="19" t="s">
        <v>1630</v>
      </c>
      <c r="E89" s="19" t="s">
        <v>1631</v>
      </c>
      <c r="F89" s="60" t="s">
        <v>1470</v>
      </c>
      <c r="G89" s="92" t="n">
        <v>20</v>
      </c>
      <c r="H89" s="90" t="n">
        <v>10</v>
      </c>
      <c r="I89" s="92" t="n">
        <f aca="false">IF(H89=0,0,G89/H89)</f>
        <v>2</v>
      </c>
      <c r="J89" s="70" t="n">
        <v>46236</v>
      </c>
      <c r="K89" s="70" t="n">
        <v>46237</v>
      </c>
      <c r="L89" s="92" t="n">
        <v>0</v>
      </c>
      <c r="M89" s="20" t="n">
        <v>0</v>
      </c>
    </row>
    <row r="90" customFormat="false" ht="18" hidden="false" customHeight="true" outlineLevel="0" collapsed="false">
      <c r="A90" s="91" t="s">
        <v>1674</v>
      </c>
      <c r="B90" s="18" t="s">
        <v>1675</v>
      </c>
      <c r="C90" s="21" t="s">
        <v>1596</v>
      </c>
      <c r="D90" s="19" t="s">
        <v>1630</v>
      </c>
      <c r="E90" s="19" t="s">
        <v>1631</v>
      </c>
      <c r="F90" s="60" t="s">
        <v>1468</v>
      </c>
      <c r="G90" s="92" t="n">
        <v>30</v>
      </c>
      <c r="H90" s="90" t="n">
        <v>10</v>
      </c>
      <c r="I90" s="92" t="n">
        <f aca="false">IF(H90=0,0,G90/H90)</f>
        <v>3</v>
      </c>
      <c r="J90" s="70" t="n">
        <v>46238</v>
      </c>
      <c r="K90" s="70" t="n">
        <v>46240</v>
      </c>
      <c r="L90" s="92" t="n">
        <v>0</v>
      </c>
      <c r="M90" s="20" t="n">
        <v>348110.34</v>
      </c>
    </row>
    <row r="91" customFormat="false" ht="30" hidden="false" customHeight="true" outlineLevel="0" collapsed="false">
      <c r="A91" s="91" t="s">
        <v>1676</v>
      </c>
      <c r="B91" s="18" t="s">
        <v>1677</v>
      </c>
      <c r="C91" s="21" t="s">
        <v>1615</v>
      </c>
      <c r="D91" s="19" t="s">
        <v>1630</v>
      </c>
      <c r="E91" s="19" t="s">
        <v>1631</v>
      </c>
      <c r="F91" s="60" t="s">
        <v>1470</v>
      </c>
      <c r="G91" s="92" t="n">
        <v>120</v>
      </c>
      <c r="H91" s="90" t="n">
        <v>10</v>
      </c>
      <c r="I91" s="92" t="n">
        <f aca="false">IF(H91=0,0,G91/H91)</f>
        <v>12</v>
      </c>
      <c r="J91" s="70" t="n">
        <v>46240</v>
      </c>
      <c r="K91" s="70" t="n">
        <v>46257</v>
      </c>
      <c r="L91" s="92" t="n">
        <v>190</v>
      </c>
      <c r="M91" s="20" t="n">
        <v>0</v>
      </c>
    </row>
    <row r="92" customFormat="false" ht="18" hidden="false" customHeight="true" outlineLevel="0" collapsed="false">
      <c r="A92" s="91" t="s">
        <v>1678</v>
      </c>
      <c r="B92" s="18" t="s">
        <v>1679</v>
      </c>
      <c r="C92" s="21" t="s">
        <v>1526</v>
      </c>
      <c r="D92" s="19" t="s">
        <v>1630</v>
      </c>
      <c r="E92" s="19" t="s">
        <v>1631</v>
      </c>
      <c r="F92" s="60" t="s">
        <v>1455</v>
      </c>
      <c r="G92" s="92" t="n">
        <v>50</v>
      </c>
      <c r="H92" s="90" t="n">
        <v>10</v>
      </c>
      <c r="I92" s="92" t="n">
        <f aca="false">IF(H92=0,0,G92/H92)</f>
        <v>5</v>
      </c>
      <c r="J92" s="70" t="n">
        <v>46241</v>
      </c>
      <c r="K92" s="70" t="n">
        <v>46245</v>
      </c>
      <c r="L92" s="92" t="n">
        <v>350</v>
      </c>
      <c r="M92" s="20" t="n">
        <v>62475</v>
      </c>
    </row>
    <row r="93" customFormat="false" ht="30" hidden="false" customHeight="true" outlineLevel="0" collapsed="false">
      <c r="A93" s="91" t="s">
        <v>1680</v>
      </c>
      <c r="B93" s="18" t="s">
        <v>1681</v>
      </c>
      <c r="C93" s="21" t="s">
        <v>1583</v>
      </c>
      <c r="D93" s="19" t="s">
        <v>1630</v>
      </c>
      <c r="E93" s="19" t="s">
        <v>1631</v>
      </c>
      <c r="F93" s="60" t="s">
        <v>1468</v>
      </c>
      <c r="G93" s="92" t="n">
        <v>690</v>
      </c>
      <c r="H93" s="90" t="n">
        <v>10</v>
      </c>
      <c r="I93" s="92" t="n">
        <f aca="false">IF(H93=0,0,G93/H93)</f>
        <v>69</v>
      </c>
      <c r="J93" s="70" t="n">
        <v>46242</v>
      </c>
      <c r="K93" s="70" t="n">
        <v>46322</v>
      </c>
      <c r="L93" s="92" t="n">
        <v>0</v>
      </c>
      <c r="M93" s="20" t="n">
        <v>542616.31</v>
      </c>
    </row>
    <row r="94" customFormat="false" ht="30" hidden="false" customHeight="true" outlineLevel="0" collapsed="false">
      <c r="A94" s="91" t="s">
        <v>1682</v>
      </c>
      <c r="B94" s="18" t="s">
        <v>1681</v>
      </c>
      <c r="C94" s="21" t="s">
        <v>1580</v>
      </c>
      <c r="D94" s="19" t="s">
        <v>1630</v>
      </c>
      <c r="E94" s="19" t="s">
        <v>1631</v>
      </c>
      <c r="F94" s="60" t="s">
        <v>1468</v>
      </c>
      <c r="G94" s="92" t="n">
        <v>560</v>
      </c>
      <c r="H94" s="90" t="n">
        <v>10</v>
      </c>
      <c r="I94" s="92" t="n">
        <f aca="false">IF(H94=0,0,G94/H94)</f>
        <v>56</v>
      </c>
      <c r="J94" s="70" t="n">
        <v>46242</v>
      </c>
      <c r="K94" s="70" t="n">
        <v>46307</v>
      </c>
      <c r="L94" s="92" t="n">
        <v>140</v>
      </c>
      <c r="M94" s="20" t="n">
        <v>542659.99</v>
      </c>
    </row>
    <row r="95" customFormat="false" ht="30" hidden="false" customHeight="true" outlineLevel="0" collapsed="false">
      <c r="A95" s="91" t="s">
        <v>1683</v>
      </c>
      <c r="B95" s="18" t="s">
        <v>1684</v>
      </c>
      <c r="C95" s="21" t="s">
        <v>1547</v>
      </c>
      <c r="D95" s="19" t="s">
        <v>1630</v>
      </c>
      <c r="E95" s="19" t="s">
        <v>1631</v>
      </c>
      <c r="F95" s="60" t="s">
        <v>1470</v>
      </c>
      <c r="G95" s="92" t="n">
        <v>60</v>
      </c>
      <c r="H95" s="90" t="n">
        <v>10</v>
      </c>
      <c r="I95" s="92" t="n">
        <f aca="false">IF(H95=0,0,G95/H95)</f>
        <v>6</v>
      </c>
      <c r="J95" s="70" t="n">
        <v>46244</v>
      </c>
      <c r="K95" s="70" t="n">
        <v>46251</v>
      </c>
      <c r="L95" s="92" t="n">
        <v>180</v>
      </c>
      <c r="M95" s="20" t="n">
        <v>2816.9</v>
      </c>
    </row>
    <row r="96" customFormat="false" ht="18" hidden="false" customHeight="true" outlineLevel="0" collapsed="false">
      <c r="A96" s="91" t="s">
        <v>1685</v>
      </c>
      <c r="B96" s="18" t="s">
        <v>1686</v>
      </c>
      <c r="C96" s="21" t="s">
        <v>1526</v>
      </c>
      <c r="D96" s="19" t="s">
        <v>1630</v>
      </c>
      <c r="E96" s="19" t="s">
        <v>1631</v>
      </c>
      <c r="F96" s="60" t="s">
        <v>1455</v>
      </c>
      <c r="G96" s="92" t="n">
        <v>140</v>
      </c>
      <c r="H96" s="90" t="n">
        <v>10</v>
      </c>
      <c r="I96" s="92" t="n">
        <f aca="false">IF(H96=0,0,G96/H96)</f>
        <v>14</v>
      </c>
      <c r="J96" s="70" t="n">
        <v>46246</v>
      </c>
      <c r="K96" s="70" t="n">
        <v>46259</v>
      </c>
      <c r="L96" s="92" t="n">
        <v>350</v>
      </c>
      <c r="M96" s="20" t="n">
        <v>26775</v>
      </c>
    </row>
    <row r="97" customFormat="false" ht="30" hidden="false" customHeight="true" outlineLevel="0" collapsed="false">
      <c r="A97" s="91" t="s">
        <v>1687</v>
      </c>
      <c r="B97" s="18" t="s">
        <v>1688</v>
      </c>
      <c r="C97" s="21" t="s">
        <v>1547</v>
      </c>
      <c r="D97" s="19" t="s">
        <v>1630</v>
      </c>
      <c r="E97" s="19" t="s">
        <v>1631</v>
      </c>
      <c r="F97" s="60" t="s">
        <v>1470</v>
      </c>
      <c r="G97" s="92" t="n">
        <v>60</v>
      </c>
      <c r="H97" s="90" t="n">
        <v>10</v>
      </c>
      <c r="I97" s="92" t="n">
        <f aca="false">IF(H97=0,0,G97/H97)</f>
        <v>6</v>
      </c>
      <c r="J97" s="70" t="n">
        <v>46247</v>
      </c>
      <c r="K97" s="70" t="n">
        <v>46254</v>
      </c>
      <c r="L97" s="92" t="n">
        <v>150</v>
      </c>
      <c r="M97" s="20" t="n">
        <v>2816.9</v>
      </c>
    </row>
    <row r="98" customFormat="false" ht="30" hidden="false" customHeight="true" outlineLevel="0" collapsed="false">
      <c r="A98" s="91" t="s">
        <v>1689</v>
      </c>
      <c r="B98" s="18" t="s">
        <v>1690</v>
      </c>
      <c r="C98" s="21" t="s">
        <v>1547</v>
      </c>
      <c r="D98" s="19" t="s">
        <v>1630</v>
      </c>
      <c r="E98" s="19" t="s">
        <v>1631</v>
      </c>
      <c r="F98" s="60" t="s">
        <v>1470</v>
      </c>
      <c r="G98" s="92" t="n">
        <v>60</v>
      </c>
      <c r="H98" s="90" t="n">
        <v>10</v>
      </c>
      <c r="I98" s="92" t="n">
        <f aca="false">IF(H98=0,0,G98/H98)</f>
        <v>6</v>
      </c>
      <c r="J98" s="70" t="n">
        <v>46247</v>
      </c>
      <c r="K98" s="70" t="n">
        <v>46254</v>
      </c>
      <c r="L98" s="92" t="n">
        <v>150</v>
      </c>
      <c r="M98" s="20" t="n">
        <v>2816.9</v>
      </c>
    </row>
    <row r="99" customFormat="false" ht="30" hidden="false" customHeight="true" outlineLevel="0" collapsed="false">
      <c r="A99" s="91" t="s">
        <v>1691</v>
      </c>
      <c r="B99" s="18" t="s">
        <v>1692</v>
      </c>
      <c r="C99" s="21" t="s">
        <v>1547</v>
      </c>
      <c r="D99" s="19" t="s">
        <v>1630</v>
      </c>
      <c r="E99" s="19" t="s">
        <v>1631</v>
      </c>
      <c r="F99" s="60" t="s">
        <v>1470</v>
      </c>
      <c r="G99" s="92" t="n">
        <v>60</v>
      </c>
      <c r="H99" s="90" t="n">
        <v>10</v>
      </c>
      <c r="I99" s="92" t="n">
        <f aca="false">IF(H99=0,0,G99/H99)</f>
        <v>6</v>
      </c>
      <c r="J99" s="70" t="n">
        <v>46247</v>
      </c>
      <c r="K99" s="70" t="n">
        <v>46254</v>
      </c>
      <c r="L99" s="92" t="n">
        <v>150</v>
      </c>
      <c r="M99" s="20" t="n">
        <v>1877.94</v>
      </c>
    </row>
    <row r="100" customFormat="false" ht="30" hidden="false" customHeight="true" outlineLevel="0" collapsed="false">
      <c r="A100" s="91" t="s">
        <v>1693</v>
      </c>
      <c r="B100" s="18" t="s">
        <v>1694</v>
      </c>
      <c r="C100" s="21" t="s">
        <v>1556</v>
      </c>
      <c r="D100" s="19" t="s">
        <v>1630</v>
      </c>
      <c r="E100" s="19" t="s">
        <v>1631</v>
      </c>
      <c r="F100" s="60" t="s">
        <v>1470</v>
      </c>
      <c r="G100" s="92" t="n">
        <v>90</v>
      </c>
      <c r="H100" s="90" t="n">
        <v>10</v>
      </c>
      <c r="I100" s="92" t="n">
        <f aca="false">IF(H100=0,0,G100/H100)</f>
        <v>9</v>
      </c>
      <c r="J100" s="70" t="n">
        <v>46247</v>
      </c>
      <c r="K100" s="70" t="n">
        <v>46259</v>
      </c>
      <c r="L100" s="92" t="n">
        <v>240</v>
      </c>
      <c r="M100" s="20" t="n">
        <v>3756.88</v>
      </c>
    </row>
    <row r="101" customFormat="false" ht="30" hidden="false" customHeight="true" outlineLevel="0" collapsed="false">
      <c r="A101" s="91" t="s">
        <v>1695</v>
      </c>
      <c r="B101" s="18" t="s">
        <v>1696</v>
      </c>
      <c r="C101" s="21" t="s">
        <v>1556</v>
      </c>
      <c r="D101" s="19" t="s">
        <v>1630</v>
      </c>
      <c r="E101" s="19" t="s">
        <v>1631</v>
      </c>
      <c r="F101" s="60" t="s">
        <v>1470</v>
      </c>
      <c r="G101" s="92" t="n">
        <v>90</v>
      </c>
      <c r="H101" s="90" t="n">
        <v>10</v>
      </c>
      <c r="I101" s="92" t="n">
        <f aca="false">IF(H101=0,0,G101/H101)</f>
        <v>9</v>
      </c>
      <c r="J101" s="70" t="n">
        <v>46247</v>
      </c>
      <c r="K101" s="70" t="n">
        <v>46259</v>
      </c>
      <c r="L101" s="92" t="n">
        <v>240</v>
      </c>
      <c r="M101" s="20" t="n">
        <v>3756.88</v>
      </c>
    </row>
    <row r="102" customFormat="false" ht="30" hidden="false" customHeight="true" outlineLevel="0" collapsed="false">
      <c r="A102" s="91" t="s">
        <v>1697</v>
      </c>
      <c r="B102" s="18" t="s">
        <v>1698</v>
      </c>
      <c r="C102" s="21" t="s">
        <v>1547</v>
      </c>
      <c r="D102" s="19" t="s">
        <v>1630</v>
      </c>
      <c r="E102" s="19" t="s">
        <v>1631</v>
      </c>
      <c r="F102" s="60" t="s">
        <v>1470</v>
      </c>
      <c r="G102" s="92" t="n">
        <v>60</v>
      </c>
      <c r="H102" s="90" t="n">
        <v>10</v>
      </c>
      <c r="I102" s="92" t="n">
        <f aca="false">IF(H102=0,0,G102/H102)</f>
        <v>6</v>
      </c>
      <c r="J102" s="70" t="n">
        <v>46250</v>
      </c>
      <c r="K102" s="70" t="n">
        <v>46257</v>
      </c>
      <c r="L102" s="92" t="n">
        <v>260</v>
      </c>
      <c r="M102" s="20" t="n">
        <v>1877.94</v>
      </c>
    </row>
    <row r="103" customFormat="false" ht="30" hidden="false" customHeight="true" outlineLevel="0" collapsed="false">
      <c r="A103" s="91" t="s">
        <v>1699</v>
      </c>
      <c r="B103" s="18" t="s">
        <v>1700</v>
      </c>
      <c r="C103" s="21" t="s">
        <v>1556</v>
      </c>
      <c r="D103" s="19" t="s">
        <v>1630</v>
      </c>
      <c r="E103" s="19" t="s">
        <v>1631</v>
      </c>
      <c r="F103" s="60" t="s">
        <v>1470</v>
      </c>
      <c r="G103" s="92" t="n">
        <v>90</v>
      </c>
      <c r="H103" s="90" t="n">
        <v>10</v>
      </c>
      <c r="I103" s="92" t="n">
        <f aca="false">IF(H103=0,0,G103/H103)</f>
        <v>9</v>
      </c>
      <c r="J103" s="70" t="n">
        <v>46250</v>
      </c>
      <c r="K103" s="70" t="n">
        <v>46260</v>
      </c>
      <c r="L103" s="92" t="n">
        <v>230</v>
      </c>
      <c r="M103" s="20" t="n">
        <v>3756.88</v>
      </c>
    </row>
    <row r="104" customFormat="false" ht="18" hidden="false" customHeight="true" outlineLevel="0" collapsed="false">
      <c r="A104" s="91" t="s">
        <v>1701</v>
      </c>
      <c r="B104" s="18" t="s">
        <v>1702</v>
      </c>
      <c r="C104" s="21" t="s">
        <v>1538</v>
      </c>
      <c r="D104" s="19" t="s">
        <v>1630</v>
      </c>
      <c r="E104" s="19" t="s">
        <v>1631</v>
      </c>
      <c r="F104" s="60" t="s">
        <v>1468</v>
      </c>
      <c r="G104" s="92" t="n">
        <v>50</v>
      </c>
      <c r="H104" s="90" t="n">
        <v>10</v>
      </c>
      <c r="I104" s="92" t="n">
        <f aca="false">IF(H104=0,0,G104/H104)</f>
        <v>5</v>
      </c>
      <c r="J104" s="70" t="n">
        <v>46256</v>
      </c>
      <c r="K104" s="70" t="n">
        <v>46260</v>
      </c>
      <c r="L104" s="92" t="n">
        <v>180</v>
      </c>
      <c r="M104" s="20" t="n">
        <v>260346.53</v>
      </c>
    </row>
    <row r="105" customFormat="false" ht="18" hidden="false" customHeight="true" outlineLevel="0" collapsed="false">
      <c r="A105" s="91" t="s">
        <v>1703</v>
      </c>
      <c r="B105" s="18" t="s">
        <v>1704</v>
      </c>
      <c r="C105" s="21" t="s">
        <v>1565</v>
      </c>
      <c r="D105" s="19" t="s">
        <v>1630</v>
      </c>
      <c r="E105" s="19" t="s">
        <v>1631</v>
      </c>
      <c r="F105" s="60" t="s">
        <v>1468</v>
      </c>
      <c r="G105" s="92" t="n">
        <v>50</v>
      </c>
      <c r="H105" s="90" t="n">
        <v>10</v>
      </c>
      <c r="I105" s="92" t="n">
        <f aca="false">IF(H105=0,0,G105/H105)</f>
        <v>5</v>
      </c>
      <c r="J105" s="70" t="n">
        <v>46256</v>
      </c>
      <c r="K105" s="70" t="n">
        <v>46260</v>
      </c>
      <c r="L105" s="92" t="n">
        <v>180</v>
      </c>
      <c r="M105" s="20" t="n">
        <v>318201.32</v>
      </c>
    </row>
    <row r="106" customFormat="false" ht="30" hidden="false" customHeight="true" outlineLevel="0" collapsed="false">
      <c r="A106" s="91" t="s">
        <v>1705</v>
      </c>
      <c r="B106" s="18" t="s">
        <v>1667</v>
      </c>
      <c r="C106" s="21" t="s">
        <v>1609</v>
      </c>
      <c r="D106" s="19" t="s">
        <v>1630</v>
      </c>
      <c r="E106" s="19" t="s">
        <v>1631</v>
      </c>
      <c r="F106" s="60" t="s">
        <v>1468</v>
      </c>
      <c r="G106" s="92" t="n">
        <v>70</v>
      </c>
      <c r="H106" s="90" t="n">
        <v>10</v>
      </c>
      <c r="I106" s="92" t="n">
        <f aca="false">IF(H106=0,0,G106/H106)</f>
        <v>7</v>
      </c>
      <c r="J106" s="70" t="n">
        <v>46258</v>
      </c>
      <c r="K106" s="70" t="n">
        <v>46265</v>
      </c>
      <c r="L106" s="92" t="n">
        <v>230</v>
      </c>
      <c r="M106" s="20" t="n">
        <v>0</v>
      </c>
    </row>
    <row r="107" customFormat="false" ht="18" hidden="false" customHeight="true" outlineLevel="0" collapsed="false">
      <c r="A107" s="91" t="s">
        <v>1706</v>
      </c>
      <c r="B107" s="18" t="s">
        <v>1707</v>
      </c>
      <c r="C107" s="21" t="s">
        <v>1486</v>
      </c>
      <c r="D107" s="19" t="s">
        <v>1630</v>
      </c>
      <c r="E107" s="19" t="s">
        <v>1631</v>
      </c>
      <c r="F107" s="60" t="s">
        <v>1468</v>
      </c>
      <c r="G107" s="92" t="n">
        <v>40</v>
      </c>
      <c r="H107" s="90" t="n">
        <v>10</v>
      </c>
      <c r="I107" s="92" t="n">
        <f aca="false">IF(H107=0,0,G107/H107)</f>
        <v>4</v>
      </c>
      <c r="J107" s="70" t="n">
        <v>46261</v>
      </c>
      <c r="K107" s="70" t="n">
        <v>46265</v>
      </c>
      <c r="L107" s="92" t="n">
        <v>180</v>
      </c>
      <c r="M107" s="20" t="n">
        <v>12086.23</v>
      </c>
    </row>
    <row r="108" customFormat="false" ht="18" hidden="false" customHeight="true" outlineLevel="0" collapsed="false">
      <c r="A108" s="91" t="s">
        <v>1708</v>
      </c>
      <c r="B108" s="18" t="s">
        <v>1709</v>
      </c>
      <c r="C108" s="21" t="s">
        <v>1486</v>
      </c>
      <c r="D108" s="19" t="s">
        <v>1630</v>
      </c>
      <c r="E108" s="19" t="s">
        <v>1631</v>
      </c>
      <c r="F108" s="60" t="s">
        <v>1468</v>
      </c>
      <c r="G108" s="92" t="n">
        <v>70</v>
      </c>
      <c r="H108" s="90" t="n">
        <v>10</v>
      </c>
      <c r="I108" s="92" t="n">
        <f aca="false">IF(H108=0,0,G108/H108)</f>
        <v>7</v>
      </c>
      <c r="J108" s="70" t="n">
        <v>46266</v>
      </c>
      <c r="K108" s="70" t="n">
        <v>46273</v>
      </c>
      <c r="L108" s="92" t="n">
        <v>180</v>
      </c>
      <c r="M108" s="20" t="n">
        <v>12086.23</v>
      </c>
    </row>
    <row r="109" customFormat="false" ht="30" hidden="false" customHeight="true" outlineLevel="0" collapsed="false">
      <c r="A109" s="91" t="s">
        <v>1710</v>
      </c>
      <c r="B109" s="18" t="s">
        <v>1673</v>
      </c>
      <c r="C109" s="21" t="s">
        <v>1609</v>
      </c>
      <c r="D109" s="19" t="s">
        <v>1630</v>
      </c>
      <c r="E109" s="19" t="s">
        <v>1631</v>
      </c>
      <c r="F109" s="60" t="s">
        <v>1470</v>
      </c>
      <c r="G109" s="92" t="n">
        <v>140</v>
      </c>
      <c r="H109" s="90" t="n">
        <v>10</v>
      </c>
      <c r="I109" s="92" t="n">
        <f aca="false">IF(H109=0,0,G109/H109)</f>
        <v>14</v>
      </c>
      <c r="J109" s="70" t="n">
        <v>46266</v>
      </c>
      <c r="K109" s="70" t="n">
        <v>46285</v>
      </c>
      <c r="L109" s="92" t="n">
        <v>190</v>
      </c>
      <c r="M109" s="20" t="n">
        <v>0</v>
      </c>
    </row>
    <row r="110" customFormat="false" ht="18" hidden="false" customHeight="true" outlineLevel="0" collapsed="false">
      <c r="A110" s="91" t="s">
        <v>1711</v>
      </c>
      <c r="B110" s="18" t="s">
        <v>1712</v>
      </c>
      <c r="C110" s="21" t="s">
        <v>1486</v>
      </c>
      <c r="D110" s="19" t="s">
        <v>1630</v>
      </c>
      <c r="E110" s="19" t="s">
        <v>1631</v>
      </c>
      <c r="F110" s="60" t="s">
        <v>1468</v>
      </c>
      <c r="G110" s="92" t="n">
        <v>70</v>
      </c>
      <c r="H110" s="90" t="n">
        <v>10</v>
      </c>
      <c r="I110" s="92" t="n">
        <f aca="false">IF(H110=0,0,G110/H110)</f>
        <v>7</v>
      </c>
      <c r="J110" s="70" t="n">
        <v>46270</v>
      </c>
      <c r="K110" s="70" t="n">
        <v>46277</v>
      </c>
      <c r="L110" s="92" t="n">
        <v>180</v>
      </c>
      <c r="M110" s="20" t="n">
        <v>56402.53</v>
      </c>
    </row>
    <row r="111" customFormat="false" ht="30" hidden="false" customHeight="true" outlineLevel="0" collapsed="false">
      <c r="A111" s="91" t="s">
        <v>1713</v>
      </c>
      <c r="B111" s="18" t="s">
        <v>1714</v>
      </c>
      <c r="C111" s="21" t="s">
        <v>1489</v>
      </c>
      <c r="D111" s="19" t="s">
        <v>1630</v>
      </c>
      <c r="E111" s="19" t="s">
        <v>1631</v>
      </c>
      <c r="F111" s="60" t="s">
        <v>1468</v>
      </c>
      <c r="G111" s="92" t="n">
        <v>60</v>
      </c>
      <c r="H111" s="90" t="n">
        <v>10</v>
      </c>
      <c r="I111" s="92" t="n">
        <f aca="false">IF(H111=0,0,G111/H111)</f>
        <v>6</v>
      </c>
      <c r="J111" s="70" t="n">
        <v>46272</v>
      </c>
      <c r="K111" s="70" t="n">
        <v>46278</v>
      </c>
      <c r="L111" s="92" t="n">
        <v>180</v>
      </c>
      <c r="M111" s="20" t="n">
        <v>5000</v>
      </c>
    </row>
    <row r="112" customFormat="false" ht="30" hidden="false" customHeight="true" outlineLevel="0" collapsed="false">
      <c r="A112" s="91" t="s">
        <v>1715</v>
      </c>
      <c r="B112" s="18" t="s">
        <v>1716</v>
      </c>
      <c r="C112" s="21" t="s">
        <v>1580</v>
      </c>
      <c r="D112" s="19" t="s">
        <v>1630</v>
      </c>
      <c r="E112" s="19" t="s">
        <v>1631</v>
      </c>
      <c r="F112" s="60" t="s">
        <v>1468</v>
      </c>
      <c r="G112" s="92" t="n">
        <v>210</v>
      </c>
      <c r="H112" s="90" t="n">
        <v>10</v>
      </c>
      <c r="I112" s="92" t="n">
        <f aca="false">IF(H112=0,0,G112/H112)</f>
        <v>21</v>
      </c>
      <c r="J112" s="70" t="n">
        <v>46273</v>
      </c>
      <c r="K112" s="70" t="n">
        <v>46298</v>
      </c>
      <c r="L112" s="92" t="n">
        <v>140</v>
      </c>
      <c r="M112" s="20" t="n">
        <v>147998.19</v>
      </c>
    </row>
    <row r="113" customFormat="false" ht="30" hidden="false" customHeight="true" outlineLevel="0" collapsed="false">
      <c r="A113" s="91" t="s">
        <v>1717</v>
      </c>
      <c r="B113" s="18" t="s">
        <v>1718</v>
      </c>
      <c r="C113" s="21" t="s">
        <v>1591</v>
      </c>
      <c r="D113" s="19" t="s">
        <v>1630</v>
      </c>
      <c r="E113" s="19" t="s">
        <v>1631</v>
      </c>
      <c r="F113" s="60" t="s">
        <v>1468</v>
      </c>
      <c r="G113" s="92" t="n">
        <v>210</v>
      </c>
      <c r="H113" s="90" t="n">
        <v>10</v>
      </c>
      <c r="I113" s="92" t="n">
        <f aca="false">IF(H113=0,0,G113/H113)</f>
        <v>21</v>
      </c>
      <c r="J113" s="70" t="n">
        <v>46273</v>
      </c>
      <c r="K113" s="70" t="n">
        <v>46298</v>
      </c>
      <c r="L113" s="92" t="n">
        <v>140</v>
      </c>
      <c r="M113" s="20" t="n">
        <v>0</v>
      </c>
    </row>
    <row r="114" customFormat="false" ht="30" hidden="false" customHeight="true" outlineLevel="0" collapsed="false">
      <c r="A114" s="91" t="s">
        <v>1719</v>
      </c>
      <c r="B114" s="18" t="s">
        <v>1720</v>
      </c>
      <c r="C114" s="21" t="s">
        <v>1591</v>
      </c>
      <c r="D114" s="19" t="s">
        <v>1630</v>
      </c>
      <c r="E114" s="19" t="s">
        <v>1631</v>
      </c>
      <c r="F114" s="60" t="s">
        <v>1470</v>
      </c>
      <c r="G114" s="92" t="n">
        <v>170</v>
      </c>
      <c r="H114" s="90" t="n">
        <v>10</v>
      </c>
      <c r="I114" s="92" t="n">
        <f aca="false">IF(H114=0,0,G114/H114)</f>
        <v>17</v>
      </c>
      <c r="J114" s="70" t="n">
        <v>46274</v>
      </c>
      <c r="K114" s="70" t="n">
        <v>46299</v>
      </c>
      <c r="L114" s="92" t="n">
        <v>120</v>
      </c>
      <c r="M114" s="20" t="n">
        <v>0</v>
      </c>
    </row>
    <row r="115" customFormat="false" ht="30" hidden="false" customHeight="true" outlineLevel="0" collapsed="false">
      <c r="A115" s="91" t="s">
        <v>1721</v>
      </c>
      <c r="B115" s="18" t="s">
        <v>1722</v>
      </c>
      <c r="C115" s="21" t="s">
        <v>1498</v>
      </c>
      <c r="D115" s="19" t="s">
        <v>1630</v>
      </c>
      <c r="E115" s="19" t="s">
        <v>1631</v>
      </c>
      <c r="F115" s="60" t="s">
        <v>1468</v>
      </c>
      <c r="G115" s="92" t="n">
        <v>200</v>
      </c>
      <c r="H115" s="90" t="n">
        <v>10</v>
      </c>
      <c r="I115" s="92" t="n">
        <f aca="false">IF(H115=0,0,G115/H115)</f>
        <v>20</v>
      </c>
      <c r="J115" s="70" t="n">
        <v>46277</v>
      </c>
      <c r="K115" s="70" t="n">
        <v>46300</v>
      </c>
      <c r="L115" s="92" t="n">
        <v>150</v>
      </c>
      <c r="M115" s="20" t="n">
        <v>441252.18</v>
      </c>
    </row>
    <row r="116" customFormat="false" ht="30" hidden="false" customHeight="true" outlineLevel="0" collapsed="false">
      <c r="A116" s="91" t="s">
        <v>1723</v>
      </c>
      <c r="B116" s="18" t="s">
        <v>1675</v>
      </c>
      <c r="C116" s="21" t="s">
        <v>1613</v>
      </c>
      <c r="D116" s="19" t="s">
        <v>1630</v>
      </c>
      <c r="E116" s="19" t="s">
        <v>1631</v>
      </c>
      <c r="F116" s="60" t="s">
        <v>1468</v>
      </c>
      <c r="G116" s="92" t="n">
        <v>40</v>
      </c>
      <c r="H116" s="90" t="n">
        <v>10</v>
      </c>
      <c r="I116" s="92" t="n">
        <f aca="false">IF(H116=0,0,G116/H116)</f>
        <v>4</v>
      </c>
      <c r="J116" s="70" t="n">
        <v>46286</v>
      </c>
      <c r="K116" s="70" t="n">
        <v>46291</v>
      </c>
      <c r="L116" s="92" t="n">
        <v>230</v>
      </c>
      <c r="M116" s="20" t="n">
        <v>26471.87</v>
      </c>
    </row>
    <row r="117" customFormat="false" ht="30" hidden="false" customHeight="true" outlineLevel="0" collapsed="false">
      <c r="A117" s="91" t="s">
        <v>1724</v>
      </c>
      <c r="B117" s="18" t="s">
        <v>1725</v>
      </c>
      <c r="C117" s="21" t="s">
        <v>1607</v>
      </c>
      <c r="D117" s="19" t="s">
        <v>1630</v>
      </c>
      <c r="E117" s="19" t="s">
        <v>1631</v>
      </c>
      <c r="F117" s="60" t="s">
        <v>1468</v>
      </c>
      <c r="G117" s="92" t="n">
        <v>300</v>
      </c>
      <c r="H117" s="90" t="n">
        <v>10</v>
      </c>
      <c r="I117" s="92" t="n">
        <f aca="false">IF(H117=0,0,G117/H117)</f>
        <v>30</v>
      </c>
      <c r="J117" s="70" t="n">
        <v>46292</v>
      </c>
      <c r="K117" s="70" t="n">
        <v>46326</v>
      </c>
      <c r="L117" s="92" t="n">
        <v>230</v>
      </c>
      <c r="M117" s="20" t="n">
        <v>149928.13</v>
      </c>
    </row>
    <row r="118" customFormat="false" ht="30" hidden="false" customHeight="true" outlineLevel="0" collapsed="false">
      <c r="A118" s="91" t="s">
        <v>1726</v>
      </c>
      <c r="B118" s="18" t="s">
        <v>1727</v>
      </c>
      <c r="C118" s="21" t="s">
        <v>1580</v>
      </c>
      <c r="D118" s="19" t="s">
        <v>1630</v>
      </c>
      <c r="E118" s="19" t="s">
        <v>1631</v>
      </c>
      <c r="F118" s="60" t="s">
        <v>1468</v>
      </c>
      <c r="G118" s="92" t="n">
        <v>140</v>
      </c>
      <c r="H118" s="90" t="n">
        <v>10</v>
      </c>
      <c r="I118" s="92" t="n">
        <f aca="false">IF(H118=0,0,G118/H118)</f>
        <v>14</v>
      </c>
      <c r="J118" s="70" t="n">
        <v>46299</v>
      </c>
      <c r="K118" s="70" t="n">
        <v>46314</v>
      </c>
      <c r="L118" s="92" t="n">
        <v>150</v>
      </c>
      <c r="M118" s="20" t="n">
        <v>295996.37</v>
      </c>
    </row>
    <row r="119" customFormat="false" ht="30" hidden="false" customHeight="true" outlineLevel="0" collapsed="false">
      <c r="A119" s="91" t="s">
        <v>1728</v>
      </c>
      <c r="B119" s="18" t="s">
        <v>1729</v>
      </c>
      <c r="C119" s="21" t="s">
        <v>1591</v>
      </c>
      <c r="D119" s="19" t="s">
        <v>1630</v>
      </c>
      <c r="E119" s="19" t="s">
        <v>1631</v>
      </c>
      <c r="F119" s="60" t="s">
        <v>1468</v>
      </c>
      <c r="G119" s="92" t="n">
        <v>140</v>
      </c>
      <c r="H119" s="90" t="n">
        <v>10</v>
      </c>
      <c r="I119" s="92" t="n">
        <f aca="false">IF(H119=0,0,G119/H119)</f>
        <v>14</v>
      </c>
      <c r="J119" s="70" t="n">
        <v>46299</v>
      </c>
      <c r="K119" s="70" t="n">
        <v>46314</v>
      </c>
      <c r="L119" s="92" t="n">
        <v>150</v>
      </c>
      <c r="M119" s="20" t="n">
        <v>0</v>
      </c>
    </row>
    <row r="120" customFormat="false" ht="30" hidden="false" customHeight="true" outlineLevel="0" collapsed="false">
      <c r="A120" s="91" t="s">
        <v>1730</v>
      </c>
      <c r="B120" s="18" t="s">
        <v>1731</v>
      </c>
      <c r="C120" s="21" t="s">
        <v>1591</v>
      </c>
      <c r="D120" s="19" t="s">
        <v>1630</v>
      </c>
      <c r="E120" s="19" t="s">
        <v>1631</v>
      </c>
      <c r="F120" s="60" t="s">
        <v>1470</v>
      </c>
      <c r="G120" s="92" t="n">
        <v>120</v>
      </c>
      <c r="H120" s="90" t="n">
        <v>10</v>
      </c>
      <c r="I120" s="92" t="n">
        <f aca="false">IF(H120=0,0,G120/H120)</f>
        <v>12</v>
      </c>
      <c r="J120" s="70" t="n">
        <v>46300</v>
      </c>
      <c r="K120" s="70" t="n">
        <v>46315</v>
      </c>
      <c r="L120" s="92" t="n">
        <v>130</v>
      </c>
      <c r="M120" s="20" t="n">
        <v>0</v>
      </c>
    </row>
    <row r="121" customFormat="false" ht="30" hidden="false" customHeight="true" outlineLevel="0" collapsed="false">
      <c r="A121" s="91" t="s">
        <v>1732</v>
      </c>
      <c r="B121" s="18" t="s">
        <v>1733</v>
      </c>
      <c r="C121" s="21" t="s">
        <v>1498</v>
      </c>
      <c r="D121" s="19" t="s">
        <v>1630</v>
      </c>
      <c r="E121" s="19" t="s">
        <v>1631</v>
      </c>
      <c r="F121" s="60" t="s">
        <v>1468</v>
      </c>
      <c r="G121" s="92" t="n">
        <v>160</v>
      </c>
      <c r="H121" s="90" t="n">
        <v>10</v>
      </c>
      <c r="I121" s="92" t="n">
        <f aca="false">IF(H121=0,0,G121/H121)</f>
        <v>16</v>
      </c>
      <c r="J121" s="70" t="n">
        <v>46301</v>
      </c>
      <c r="K121" s="70" t="n">
        <v>46319</v>
      </c>
      <c r="L121" s="92" t="n">
        <v>150</v>
      </c>
      <c r="M121" s="20" t="n">
        <v>701992.11</v>
      </c>
    </row>
    <row r="122" customFormat="false" ht="18" hidden="false" customHeight="true" outlineLevel="0" collapsed="false">
      <c r="A122" s="91" t="s">
        <v>1734</v>
      </c>
      <c r="B122" s="18" t="s">
        <v>1735</v>
      </c>
      <c r="C122" s="21" t="s">
        <v>1498</v>
      </c>
      <c r="D122" s="19" t="s">
        <v>1630</v>
      </c>
      <c r="E122" s="19" t="s">
        <v>1631</v>
      </c>
      <c r="F122" s="60" t="s">
        <v>1468</v>
      </c>
      <c r="G122" s="92" t="n">
        <v>190</v>
      </c>
      <c r="H122" s="90" t="n">
        <v>10</v>
      </c>
      <c r="I122" s="92" t="n">
        <f aca="false">IF(H122=0,0,G122/H122)</f>
        <v>19</v>
      </c>
      <c r="J122" s="70" t="n">
        <v>46303</v>
      </c>
      <c r="K122" s="70" t="n">
        <v>46324</v>
      </c>
      <c r="L122" s="92" t="n">
        <v>150</v>
      </c>
      <c r="M122" s="20" t="n">
        <v>260739.93</v>
      </c>
    </row>
    <row r="123" customFormat="false" ht="30" hidden="false" customHeight="true" outlineLevel="0" collapsed="false">
      <c r="A123" s="91" t="s">
        <v>1736</v>
      </c>
      <c r="B123" s="18" t="s">
        <v>1737</v>
      </c>
      <c r="C123" s="21" t="s">
        <v>1583</v>
      </c>
      <c r="D123" s="19" t="s">
        <v>1630</v>
      </c>
      <c r="E123" s="19" t="s">
        <v>1631</v>
      </c>
      <c r="F123" s="60" t="s">
        <v>1468</v>
      </c>
      <c r="G123" s="92" t="n">
        <v>140</v>
      </c>
      <c r="H123" s="90" t="n">
        <v>10</v>
      </c>
      <c r="I123" s="92" t="n">
        <f aca="false">IF(H123=0,0,G123/H123)</f>
        <v>14</v>
      </c>
      <c r="J123" s="70" t="n">
        <v>46315</v>
      </c>
      <c r="K123" s="70" t="n">
        <v>46330</v>
      </c>
      <c r="L123" s="92" t="n">
        <v>0</v>
      </c>
      <c r="M123" s="20" t="n">
        <v>443958.8</v>
      </c>
    </row>
    <row r="124" customFormat="false" ht="30" hidden="false" customHeight="true" outlineLevel="0" collapsed="false">
      <c r="A124" s="91" t="s">
        <v>1738</v>
      </c>
      <c r="B124" s="18" t="s">
        <v>1739</v>
      </c>
      <c r="C124" s="21" t="s">
        <v>1593</v>
      </c>
      <c r="D124" s="19" t="s">
        <v>1630</v>
      </c>
      <c r="E124" s="19" t="s">
        <v>1631</v>
      </c>
      <c r="F124" s="60" t="s">
        <v>1468</v>
      </c>
      <c r="G124" s="92" t="n">
        <v>140</v>
      </c>
      <c r="H124" s="90" t="n">
        <v>10</v>
      </c>
      <c r="I124" s="92" t="n">
        <f aca="false">IF(H124=0,0,G124/H124)</f>
        <v>14</v>
      </c>
      <c r="J124" s="70" t="n">
        <v>46315</v>
      </c>
      <c r="K124" s="70" t="n">
        <v>46330</v>
      </c>
      <c r="L124" s="92" t="n">
        <v>0</v>
      </c>
      <c r="M124" s="20" t="n">
        <v>0</v>
      </c>
    </row>
    <row r="125" customFormat="false" ht="30" hidden="false" customHeight="true" outlineLevel="0" collapsed="false">
      <c r="A125" s="91" t="s">
        <v>1740</v>
      </c>
      <c r="B125" s="18" t="s">
        <v>1722</v>
      </c>
      <c r="C125" s="21" t="s">
        <v>1505</v>
      </c>
      <c r="D125" s="19" t="s">
        <v>1630</v>
      </c>
      <c r="E125" s="19" t="s">
        <v>1631</v>
      </c>
      <c r="F125" s="60" t="s">
        <v>1468</v>
      </c>
      <c r="G125" s="92" t="n">
        <v>60</v>
      </c>
      <c r="H125" s="90" t="n">
        <v>10</v>
      </c>
      <c r="I125" s="92" t="n">
        <f aca="false">IF(H125=0,0,G125/H125)</f>
        <v>6</v>
      </c>
      <c r="J125" s="70" t="n">
        <v>46317</v>
      </c>
      <c r="K125" s="70" t="n">
        <v>46323</v>
      </c>
      <c r="L125" s="92" t="n">
        <v>0</v>
      </c>
      <c r="M125" s="20" t="n">
        <v>441252.18</v>
      </c>
    </row>
    <row r="126" customFormat="false" ht="30" hidden="false" customHeight="true" outlineLevel="0" collapsed="false">
      <c r="A126" s="91" t="s">
        <v>1741</v>
      </c>
      <c r="B126" s="18" t="s">
        <v>1742</v>
      </c>
      <c r="C126" s="21" t="s">
        <v>1593</v>
      </c>
      <c r="D126" s="19" t="s">
        <v>1630</v>
      </c>
      <c r="E126" s="19" t="s">
        <v>1631</v>
      </c>
      <c r="F126" s="60" t="s">
        <v>1468</v>
      </c>
      <c r="G126" s="92" t="n">
        <v>130</v>
      </c>
      <c r="H126" s="90" t="n">
        <v>10</v>
      </c>
      <c r="I126" s="92" t="n">
        <f aca="false">IF(H126=0,0,G126/H126)</f>
        <v>13</v>
      </c>
      <c r="J126" s="70" t="n">
        <v>46317</v>
      </c>
      <c r="K126" s="70" t="n">
        <v>46331</v>
      </c>
      <c r="L126" s="92" t="n">
        <v>0</v>
      </c>
      <c r="M126" s="20" t="n">
        <v>0</v>
      </c>
    </row>
    <row r="127" customFormat="false" ht="30" hidden="false" customHeight="true" outlineLevel="0" collapsed="false">
      <c r="A127" s="91" t="s">
        <v>1743</v>
      </c>
      <c r="B127" s="18" t="s">
        <v>1733</v>
      </c>
      <c r="C127" s="21" t="s">
        <v>1505</v>
      </c>
      <c r="D127" s="19" t="s">
        <v>1630</v>
      </c>
      <c r="E127" s="19" t="s">
        <v>1631</v>
      </c>
      <c r="F127" s="60" t="s">
        <v>1468</v>
      </c>
      <c r="G127" s="92" t="n">
        <v>120</v>
      </c>
      <c r="H127" s="90" t="n">
        <v>10</v>
      </c>
      <c r="I127" s="92" t="n">
        <f aca="false">IF(H127=0,0,G127/H127)</f>
        <v>12</v>
      </c>
      <c r="J127" s="70" t="n">
        <v>46324</v>
      </c>
      <c r="K127" s="70" t="n">
        <v>46337</v>
      </c>
      <c r="L127" s="92" t="n">
        <v>0</v>
      </c>
      <c r="M127" s="20" t="n">
        <v>701992.11</v>
      </c>
    </row>
    <row r="128" customFormat="false" ht="18" hidden="false" customHeight="true" outlineLevel="0" collapsed="false">
      <c r="A128" s="91" t="s">
        <v>1744</v>
      </c>
      <c r="B128" s="18" t="s">
        <v>1745</v>
      </c>
      <c r="C128" s="21" t="s">
        <v>1498</v>
      </c>
      <c r="D128" s="19" t="s">
        <v>1630</v>
      </c>
      <c r="E128" s="19" t="s">
        <v>1631</v>
      </c>
      <c r="F128" s="60" t="s">
        <v>1468</v>
      </c>
      <c r="G128" s="92" t="n">
        <v>50</v>
      </c>
      <c r="H128" s="90" t="n">
        <v>10</v>
      </c>
      <c r="I128" s="92" t="n">
        <f aca="false">IF(H128=0,0,G128/H128)</f>
        <v>5</v>
      </c>
      <c r="J128" s="70" t="n">
        <v>46326</v>
      </c>
      <c r="K128" s="70" t="n">
        <v>46330</v>
      </c>
      <c r="L128" s="92" t="n">
        <v>150</v>
      </c>
      <c r="M128" s="20" t="n">
        <v>260739.93</v>
      </c>
    </row>
    <row r="129" customFormat="false" ht="18" hidden="false" customHeight="true" outlineLevel="0" collapsed="false">
      <c r="A129" s="91" t="s">
        <v>1746</v>
      </c>
      <c r="B129" s="18" t="s">
        <v>1735</v>
      </c>
      <c r="C129" s="21" t="s">
        <v>1505</v>
      </c>
      <c r="D129" s="19" t="s">
        <v>1630</v>
      </c>
      <c r="E129" s="19" t="s">
        <v>1631</v>
      </c>
      <c r="F129" s="60" t="s">
        <v>1468</v>
      </c>
      <c r="G129" s="92" t="n">
        <v>150</v>
      </c>
      <c r="H129" s="90" t="n">
        <v>10</v>
      </c>
      <c r="I129" s="92" t="n">
        <f aca="false">IF(H129=0,0,G129/H129)</f>
        <v>15</v>
      </c>
      <c r="J129" s="70" t="n">
        <v>46327</v>
      </c>
      <c r="K129" s="70" t="n">
        <v>46343</v>
      </c>
      <c r="L129" s="92" t="n">
        <v>0</v>
      </c>
      <c r="M129" s="20" t="n">
        <v>260739.93</v>
      </c>
    </row>
    <row r="130" customFormat="false" ht="30" hidden="false" customHeight="true" outlineLevel="0" collapsed="false">
      <c r="A130" s="91" t="s">
        <v>1747</v>
      </c>
      <c r="B130" s="18" t="s">
        <v>1748</v>
      </c>
      <c r="C130" s="21" t="s">
        <v>1611</v>
      </c>
      <c r="D130" s="19" t="s">
        <v>1630</v>
      </c>
      <c r="E130" s="19" t="s">
        <v>1631</v>
      </c>
      <c r="F130" s="60" t="s">
        <v>1468</v>
      </c>
      <c r="G130" s="92" t="n">
        <v>10</v>
      </c>
      <c r="H130" s="90" t="n">
        <v>10</v>
      </c>
      <c r="I130" s="92" t="n">
        <f aca="false">IF(H130=0,0,G130/H130)</f>
        <v>1</v>
      </c>
      <c r="J130" s="70" t="n">
        <v>46327</v>
      </c>
      <c r="K130" s="70" t="n">
        <v>46327</v>
      </c>
      <c r="L130" s="92" t="n">
        <v>230</v>
      </c>
      <c r="M130" s="20" t="n">
        <v>0</v>
      </c>
    </row>
    <row r="131" customFormat="false" ht="30" hidden="false" customHeight="true" outlineLevel="0" collapsed="false">
      <c r="A131" s="91" t="s">
        <v>1749</v>
      </c>
      <c r="B131" s="18" t="s">
        <v>1750</v>
      </c>
      <c r="C131" s="21" t="s">
        <v>1611</v>
      </c>
      <c r="D131" s="19" t="s">
        <v>1630</v>
      </c>
      <c r="E131" s="19" t="s">
        <v>1631</v>
      </c>
      <c r="F131" s="60" t="s">
        <v>1470</v>
      </c>
      <c r="G131" s="92" t="n">
        <v>20</v>
      </c>
      <c r="H131" s="90" t="n">
        <v>10</v>
      </c>
      <c r="I131" s="92" t="n">
        <f aca="false">IF(H131=0,0,G131/H131)</f>
        <v>2</v>
      </c>
      <c r="J131" s="70" t="n">
        <v>46328</v>
      </c>
      <c r="K131" s="70" t="n">
        <v>46329</v>
      </c>
      <c r="L131" s="92" t="n">
        <v>190</v>
      </c>
      <c r="M131" s="20" t="n">
        <v>0</v>
      </c>
    </row>
    <row r="132" customFormat="false" ht="30" hidden="false" customHeight="true" outlineLevel="0" collapsed="false">
      <c r="A132" s="91" t="s">
        <v>1751</v>
      </c>
      <c r="B132" s="18" t="s">
        <v>1752</v>
      </c>
      <c r="C132" s="21" t="s">
        <v>1498</v>
      </c>
      <c r="D132" s="19" t="s">
        <v>1630</v>
      </c>
      <c r="E132" s="19" t="s">
        <v>1631</v>
      </c>
      <c r="F132" s="60" t="s">
        <v>1468</v>
      </c>
      <c r="G132" s="92" t="n">
        <v>60</v>
      </c>
      <c r="H132" s="90" t="n">
        <v>10</v>
      </c>
      <c r="I132" s="92" t="n">
        <f aca="false">IF(H132=0,0,G132/H132)</f>
        <v>6</v>
      </c>
      <c r="J132" s="70" t="n">
        <v>46331</v>
      </c>
      <c r="K132" s="70" t="n">
        <v>46337</v>
      </c>
      <c r="L132" s="92" t="n">
        <v>150</v>
      </c>
      <c r="M132" s="20" t="n">
        <v>340967.6</v>
      </c>
    </row>
    <row r="133" customFormat="false" ht="30" hidden="false" customHeight="true" outlineLevel="0" collapsed="false">
      <c r="A133" s="91" t="s">
        <v>1753</v>
      </c>
      <c r="B133" s="18" t="s">
        <v>1754</v>
      </c>
      <c r="C133" s="21" t="s">
        <v>1495</v>
      </c>
      <c r="D133" s="19" t="s">
        <v>1630</v>
      </c>
      <c r="E133" s="19" t="s">
        <v>1631</v>
      </c>
      <c r="F133" s="60" t="s">
        <v>1468</v>
      </c>
      <c r="G133" s="92" t="n">
        <v>50</v>
      </c>
      <c r="H133" s="90" t="n">
        <v>10</v>
      </c>
      <c r="I133" s="92" t="n">
        <f aca="false">IF(H133=0,0,G133/H133)</f>
        <v>5</v>
      </c>
      <c r="J133" s="70" t="n">
        <v>46335</v>
      </c>
      <c r="K133" s="70" t="n">
        <v>46340</v>
      </c>
      <c r="L133" s="92" t="n">
        <v>170</v>
      </c>
      <c r="M133" s="20" t="n">
        <v>44773.92</v>
      </c>
    </row>
    <row r="134" customFormat="false" ht="30" hidden="false" customHeight="true" outlineLevel="0" collapsed="false">
      <c r="A134" s="91" t="s">
        <v>1755</v>
      </c>
      <c r="B134" s="18" t="s">
        <v>1756</v>
      </c>
      <c r="C134" s="21" t="s">
        <v>1495</v>
      </c>
      <c r="D134" s="19" t="s">
        <v>1630</v>
      </c>
      <c r="E134" s="19" t="s">
        <v>1631</v>
      </c>
      <c r="F134" s="60" t="s">
        <v>1468</v>
      </c>
      <c r="G134" s="92" t="n">
        <v>30</v>
      </c>
      <c r="H134" s="90" t="n">
        <v>10</v>
      </c>
      <c r="I134" s="92" t="n">
        <f aca="false">IF(H134=0,0,G134/H134)</f>
        <v>3</v>
      </c>
      <c r="J134" s="70" t="n">
        <v>46337</v>
      </c>
      <c r="K134" s="70" t="n">
        <v>46340</v>
      </c>
      <c r="L134" s="92" t="n">
        <v>170</v>
      </c>
      <c r="M134" s="20" t="n">
        <v>22386.96</v>
      </c>
    </row>
    <row r="135" customFormat="false" ht="18" hidden="false" customHeight="true" outlineLevel="0" collapsed="false">
      <c r="A135" s="91" t="s">
        <v>1757</v>
      </c>
      <c r="B135" s="18" t="s">
        <v>1758</v>
      </c>
      <c r="C135" s="21" t="s">
        <v>1495</v>
      </c>
      <c r="D135" s="19" t="s">
        <v>1630</v>
      </c>
      <c r="E135" s="19" t="s">
        <v>1631</v>
      </c>
      <c r="F135" s="60" t="s">
        <v>1468</v>
      </c>
      <c r="G135" s="92" t="n">
        <v>40</v>
      </c>
      <c r="H135" s="90" t="n">
        <v>10</v>
      </c>
      <c r="I135" s="92" t="n">
        <f aca="false">IF(H135=0,0,G135/H135)</f>
        <v>4</v>
      </c>
      <c r="J135" s="70" t="n">
        <v>46338</v>
      </c>
      <c r="K135" s="70" t="n">
        <v>46342</v>
      </c>
      <c r="L135" s="92" t="n">
        <v>150</v>
      </c>
      <c r="M135" s="20" t="n">
        <v>156708.71</v>
      </c>
    </row>
    <row r="136" customFormat="false" ht="18" hidden="false" customHeight="true" outlineLevel="0" collapsed="false">
      <c r="A136" s="91" t="s">
        <v>1759</v>
      </c>
      <c r="B136" s="18" t="s">
        <v>1745</v>
      </c>
      <c r="C136" s="21" t="s">
        <v>1505</v>
      </c>
      <c r="D136" s="19" t="s">
        <v>1630</v>
      </c>
      <c r="E136" s="19" t="s">
        <v>1631</v>
      </c>
      <c r="F136" s="60" t="s">
        <v>1468</v>
      </c>
      <c r="G136" s="92" t="n">
        <v>50</v>
      </c>
      <c r="H136" s="90" t="n">
        <v>10</v>
      </c>
      <c r="I136" s="92" t="n">
        <f aca="false">IF(H136=0,0,G136/H136)</f>
        <v>5</v>
      </c>
      <c r="J136" s="70" t="n">
        <v>46344</v>
      </c>
      <c r="K136" s="70" t="n">
        <v>46349</v>
      </c>
      <c r="L136" s="92" t="n">
        <v>0</v>
      </c>
      <c r="M136" s="20" t="n">
        <v>260739.93</v>
      </c>
    </row>
    <row r="137" customFormat="false" ht="30" hidden="false" customHeight="true" outlineLevel="0" collapsed="false">
      <c r="A137" s="91" t="s">
        <v>1760</v>
      </c>
      <c r="B137" s="18" t="s">
        <v>1752</v>
      </c>
      <c r="C137" s="21" t="s">
        <v>1505</v>
      </c>
      <c r="D137" s="19" t="s">
        <v>1630</v>
      </c>
      <c r="E137" s="19" t="s">
        <v>1631</v>
      </c>
      <c r="F137" s="60" t="s">
        <v>1468</v>
      </c>
      <c r="G137" s="92" t="n">
        <v>60</v>
      </c>
      <c r="H137" s="90" t="n">
        <v>10</v>
      </c>
      <c r="I137" s="92" t="n">
        <f aca="false">IF(H137=0,0,G137/H137)</f>
        <v>6</v>
      </c>
      <c r="J137" s="70" t="n">
        <v>46350</v>
      </c>
      <c r="K137" s="70" t="n">
        <v>46356</v>
      </c>
      <c r="L137" s="92" t="n">
        <v>0</v>
      </c>
      <c r="M137" s="20" t="n">
        <v>340967.6</v>
      </c>
    </row>
    <row r="138" customFormat="false" ht="30" hidden="false" customHeight="true" outlineLevel="0" collapsed="false">
      <c r="A138" s="91" t="s">
        <v>1761</v>
      </c>
      <c r="B138" s="18" t="s">
        <v>1754</v>
      </c>
      <c r="C138" s="21" t="s">
        <v>1503</v>
      </c>
      <c r="D138" s="19" t="s">
        <v>1630</v>
      </c>
      <c r="E138" s="19" t="s">
        <v>1631</v>
      </c>
      <c r="F138" s="60" t="s">
        <v>1468</v>
      </c>
      <c r="G138" s="92" t="n">
        <v>50</v>
      </c>
      <c r="H138" s="90" t="n">
        <v>10</v>
      </c>
      <c r="I138" s="92" t="n">
        <f aca="false">IF(H138=0,0,G138/H138)</f>
        <v>5</v>
      </c>
      <c r="J138" s="70" t="n">
        <v>46354</v>
      </c>
      <c r="K138" s="70" t="n">
        <v>46358</v>
      </c>
      <c r="L138" s="92" t="n">
        <v>0</v>
      </c>
      <c r="M138" s="20" t="n">
        <v>44773.92</v>
      </c>
    </row>
    <row r="139" customFormat="false" ht="30" hidden="false" customHeight="true" outlineLevel="0" collapsed="false">
      <c r="A139" s="91" t="s">
        <v>1762</v>
      </c>
      <c r="B139" s="18" t="s">
        <v>1756</v>
      </c>
      <c r="C139" s="21" t="s">
        <v>1503</v>
      </c>
      <c r="D139" s="19" t="s">
        <v>1630</v>
      </c>
      <c r="E139" s="19" t="s">
        <v>1631</v>
      </c>
      <c r="F139" s="60" t="s">
        <v>1468</v>
      </c>
      <c r="G139" s="92" t="n">
        <v>30</v>
      </c>
      <c r="H139" s="90" t="n">
        <v>10</v>
      </c>
      <c r="I139" s="92" t="n">
        <f aca="false">IF(H139=0,0,G139/H139)</f>
        <v>3</v>
      </c>
      <c r="J139" s="70" t="n">
        <v>46356</v>
      </c>
      <c r="K139" s="70" t="n">
        <v>46358</v>
      </c>
      <c r="L139" s="92" t="n">
        <v>50</v>
      </c>
      <c r="M139" s="20" t="n">
        <v>22386.96</v>
      </c>
    </row>
    <row r="140" customFormat="false" ht="18" hidden="false" customHeight="true" outlineLevel="0" collapsed="false">
      <c r="A140" s="91" t="s">
        <v>1763</v>
      </c>
      <c r="B140" s="18" t="s">
        <v>1758</v>
      </c>
      <c r="C140" s="21" t="s">
        <v>1503</v>
      </c>
      <c r="D140" s="19" t="s">
        <v>1630</v>
      </c>
      <c r="E140" s="19" t="s">
        <v>1631</v>
      </c>
      <c r="F140" s="60" t="s">
        <v>1468</v>
      </c>
      <c r="G140" s="92" t="n">
        <v>30</v>
      </c>
      <c r="H140" s="90" t="n">
        <v>10</v>
      </c>
      <c r="I140" s="92" t="n">
        <f aca="false">IF(H140=0,0,G140/H140)</f>
        <v>3</v>
      </c>
      <c r="J140" s="70" t="n">
        <v>46357</v>
      </c>
      <c r="K140" s="70" t="n">
        <v>46359</v>
      </c>
      <c r="L140" s="92" t="n">
        <v>0</v>
      </c>
      <c r="M140" s="20" t="n">
        <v>156708.71</v>
      </c>
    </row>
    <row r="141" customFormat="false" ht="18" hidden="false" customHeight="true" outlineLevel="0" collapsed="false">
      <c r="A141" s="91" t="s">
        <v>1764</v>
      </c>
      <c r="B141" s="18" t="s">
        <v>1765</v>
      </c>
      <c r="C141" s="21" t="s">
        <v>1511</v>
      </c>
      <c r="D141" s="19" t="s">
        <v>1637</v>
      </c>
      <c r="E141" s="19" t="s">
        <v>1631</v>
      </c>
      <c r="F141" s="60" t="s">
        <v>1468</v>
      </c>
      <c r="G141" s="92" t="n">
        <v>0</v>
      </c>
      <c r="H141" s="90" t="n">
        <v>10</v>
      </c>
      <c r="I141" s="92" t="n">
        <f aca="false">IF(H141=0,0,G141/H141)</f>
        <v>0</v>
      </c>
      <c r="J141" s="70" t="n">
        <v>46359</v>
      </c>
      <c r="K141" s="70" t="n">
        <v>46359</v>
      </c>
      <c r="L141" s="92" t="n">
        <v>0</v>
      </c>
      <c r="M141" s="20" t="n">
        <v>0</v>
      </c>
    </row>
    <row r="142" customFormat="false" ht="18" hidden="false" customHeight="true" outlineLevel="0" collapsed="false">
      <c r="A142" s="91" t="s">
        <v>1419</v>
      </c>
      <c r="B142" s="18" t="s">
        <v>1766</v>
      </c>
      <c r="C142" s="21" t="s">
        <v>1511</v>
      </c>
      <c r="D142" s="19" t="s">
        <v>1630</v>
      </c>
      <c r="E142" s="19" t="s">
        <v>1631</v>
      </c>
      <c r="F142" s="60" t="s">
        <v>1468</v>
      </c>
      <c r="G142" s="92" t="n">
        <v>40</v>
      </c>
      <c r="H142" s="90" t="n">
        <v>10</v>
      </c>
      <c r="I142" s="92" t="n">
        <f aca="false">IF(H142=0,0,G142/H142)</f>
        <v>4</v>
      </c>
      <c r="J142" s="70" t="n">
        <v>46361</v>
      </c>
      <c r="K142" s="70" t="n">
        <v>46364</v>
      </c>
      <c r="L142" s="92" t="n">
        <v>0</v>
      </c>
      <c r="M142" s="20" t="n">
        <v>64302.97</v>
      </c>
    </row>
    <row r="143" customFormat="false" ht="18" hidden="false" customHeight="true" outlineLevel="0" collapsed="false">
      <c r="A143" s="91" t="s">
        <v>1767</v>
      </c>
      <c r="B143" s="18" t="s">
        <v>1768</v>
      </c>
      <c r="C143" s="21" t="s">
        <v>1508</v>
      </c>
      <c r="D143" s="19" t="s">
        <v>1630</v>
      </c>
      <c r="E143" s="19" t="s">
        <v>1631</v>
      </c>
      <c r="F143" s="60" t="s">
        <v>1468</v>
      </c>
      <c r="G143" s="92" t="n">
        <v>70</v>
      </c>
      <c r="H143" s="90" t="n">
        <v>10</v>
      </c>
      <c r="I143" s="92" t="n">
        <f aca="false">IF(H143=0,0,G143/H143)</f>
        <v>7</v>
      </c>
      <c r="J143" s="70" t="n">
        <v>46365</v>
      </c>
      <c r="K143" s="70" t="n">
        <v>46372</v>
      </c>
      <c r="L143" s="92" t="n">
        <v>0</v>
      </c>
      <c r="M143" s="20" t="n">
        <v>100152.99</v>
      </c>
    </row>
    <row r="144" customFormat="false" ht="18" hidden="false" customHeight="true" outlineLevel="0" collapsed="false">
      <c r="A144" s="91" t="s">
        <v>1769</v>
      </c>
      <c r="B144" s="18" t="s">
        <v>1770</v>
      </c>
      <c r="C144" s="21" t="s">
        <v>1508</v>
      </c>
      <c r="D144" s="19" t="s">
        <v>1630</v>
      </c>
      <c r="E144" s="19" t="s">
        <v>1631</v>
      </c>
      <c r="F144" s="60" t="s">
        <v>1468</v>
      </c>
      <c r="G144" s="92" t="n">
        <v>70</v>
      </c>
      <c r="H144" s="90" t="n">
        <v>10</v>
      </c>
      <c r="I144" s="92" t="n">
        <f aca="false">IF(H144=0,0,G144/H144)</f>
        <v>7</v>
      </c>
      <c r="J144" s="70" t="n">
        <v>46365</v>
      </c>
      <c r="K144" s="70" t="n">
        <v>46372</v>
      </c>
      <c r="L144" s="92" t="n">
        <v>0</v>
      </c>
      <c r="M144" s="20" t="n">
        <v>100152.99</v>
      </c>
    </row>
    <row r="145" customFormat="false" ht="18" hidden="false" customHeight="true" outlineLevel="0" collapsed="false">
      <c r="A145" s="91" t="s">
        <v>1771</v>
      </c>
      <c r="B145" s="18" t="s">
        <v>1772</v>
      </c>
      <c r="C145" s="21" t="s">
        <v>1532</v>
      </c>
      <c r="D145" s="19" t="s">
        <v>1637</v>
      </c>
      <c r="E145" s="19" t="s">
        <v>1631</v>
      </c>
      <c r="F145" s="60" t="s">
        <v>1468</v>
      </c>
      <c r="G145" s="92" t="n">
        <v>0</v>
      </c>
      <c r="H145" s="90" t="n">
        <v>10</v>
      </c>
      <c r="I145" s="92" t="n">
        <f aca="false">IF(H145=0,0,G145/H145)</f>
        <v>0</v>
      </c>
      <c r="J145" s="70" t="n">
        <v>46372</v>
      </c>
      <c r="K145" s="70" t="n">
        <v>46372</v>
      </c>
      <c r="L145" s="92" t="n">
        <v>70</v>
      </c>
      <c r="M145" s="20" t="n">
        <v>0</v>
      </c>
    </row>
    <row r="146" customFormat="false" ht="18" hidden="false" customHeight="true" outlineLevel="0" collapsed="false">
      <c r="A146" s="91" t="s">
        <v>1773</v>
      </c>
      <c r="B146" s="18" t="s">
        <v>1774</v>
      </c>
      <c r="C146" s="21" t="s">
        <v>1532</v>
      </c>
      <c r="D146" s="19" t="s">
        <v>1637</v>
      </c>
      <c r="E146" s="19" t="s">
        <v>1631</v>
      </c>
      <c r="F146" s="60" t="s">
        <v>1468</v>
      </c>
      <c r="G146" s="92" t="n">
        <v>0</v>
      </c>
      <c r="H146" s="90" t="n">
        <v>10</v>
      </c>
      <c r="I146" s="92" t="n">
        <f aca="false">IF(H146=0,0,G146/H146)</f>
        <v>0</v>
      </c>
      <c r="J146" s="70" t="n">
        <v>46372</v>
      </c>
      <c r="K146" s="70" t="n">
        <v>46372</v>
      </c>
      <c r="L146" s="92" t="n">
        <v>70</v>
      </c>
      <c r="M146" s="20" t="n">
        <v>0</v>
      </c>
    </row>
    <row r="147" customFormat="false" ht="30" hidden="false" customHeight="true" outlineLevel="0" collapsed="false">
      <c r="A147" s="91" t="s">
        <v>1203</v>
      </c>
      <c r="B147" s="18" t="s">
        <v>1775</v>
      </c>
      <c r="C147" s="21" t="s">
        <v>1520</v>
      </c>
      <c r="D147" s="19" t="s">
        <v>1630</v>
      </c>
      <c r="E147" s="19" t="s">
        <v>1631</v>
      </c>
      <c r="F147" s="60" t="s">
        <v>1468</v>
      </c>
      <c r="G147" s="92" t="n">
        <v>70</v>
      </c>
      <c r="H147" s="90" t="n">
        <v>10</v>
      </c>
      <c r="I147" s="92" t="n">
        <f aca="false">IF(H147=0,0,G147/H147)</f>
        <v>7</v>
      </c>
      <c r="J147" s="70" t="n">
        <v>46373</v>
      </c>
      <c r="K147" s="70" t="n">
        <v>46380</v>
      </c>
      <c r="L147" s="92" t="n">
        <v>0</v>
      </c>
      <c r="M147" s="20" t="n">
        <v>50000</v>
      </c>
    </row>
    <row r="148" customFormat="false" ht="18" hidden="false" customHeight="true" outlineLevel="0" collapsed="false">
      <c r="A148" s="91" t="s">
        <v>1372</v>
      </c>
      <c r="B148" s="18" t="s">
        <v>1776</v>
      </c>
      <c r="C148" s="21" t="s">
        <v>1517</v>
      </c>
      <c r="D148" s="19" t="s">
        <v>1630</v>
      </c>
      <c r="E148" s="19" t="s">
        <v>1631</v>
      </c>
      <c r="F148" s="60" t="s">
        <v>1468</v>
      </c>
      <c r="G148" s="92" t="n">
        <v>70</v>
      </c>
      <c r="H148" s="90" t="n">
        <v>10</v>
      </c>
      <c r="I148" s="92" t="n">
        <f aca="false">IF(H148=0,0,G148/H148)</f>
        <v>7</v>
      </c>
      <c r="J148" s="70" t="n">
        <v>46373</v>
      </c>
      <c r="K148" s="70" t="n">
        <v>46380</v>
      </c>
      <c r="L148" s="92" t="n">
        <v>0</v>
      </c>
      <c r="M148" s="20" t="n">
        <v>0</v>
      </c>
    </row>
    <row r="149" customFormat="false" ht="18" hidden="false" customHeight="true" outlineLevel="0" collapsed="false">
      <c r="A149" s="91" t="s">
        <v>1777</v>
      </c>
      <c r="B149" s="18" t="s">
        <v>1778</v>
      </c>
      <c r="C149" s="21" t="s">
        <v>1529</v>
      </c>
      <c r="D149" s="19" t="s">
        <v>1637</v>
      </c>
      <c r="E149" s="19" t="s">
        <v>1631</v>
      </c>
      <c r="F149" s="60" t="s">
        <v>1455</v>
      </c>
      <c r="G149" s="92" t="n">
        <v>0</v>
      </c>
      <c r="H149" s="90" t="n">
        <v>10</v>
      </c>
      <c r="I149" s="92" t="n">
        <f aca="false">IF(H149=0,0,G149/H149)</f>
        <v>0</v>
      </c>
      <c r="J149" s="70" t="n">
        <v>46380</v>
      </c>
      <c r="K149" s="70" t="n">
        <v>46380</v>
      </c>
      <c r="L149" s="92" t="n">
        <v>0</v>
      </c>
      <c r="M149" s="20" t="n">
        <v>0</v>
      </c>
    </row>
    <row r="150" customFormat="false" ht="19.5" hidden="false" customHeight="true" outlineLevel="0" collapsed="false">
      <c r="A150" s="26"/>
      <c r="B150" s="26" t="s">
        <v>1779</v>
      </c>
      <c r="C150" s="26"/>
      <c r="D150" s="26"/>
      <c r="E150" s="26"/>
      <c r="F150" s="26"/>
      <c r="G150" s="26"/>
      <c r="H150" s="26"/>
      <c r="I150" s="26"/>
      <c r="J150" s="26"/>
      <c r="K150" s="26"/>
      <c r="L150" s="26"/>
      <c r="M150" s="41" t="n">
        <f aca="false">SUM(M69:M149)</f>
        <v>8110296.62</v>
      </c>
    </row>
    <row r="152" customFormat="false" ht="21" hidden="false" customHeight="true" outlineLevel="0" collapsed="false">
      <c r="A152" s="16" t="s">
        <v>1780</v>
      </c>
      <c r="B152" s="16"/>
      <c r="C152" s="16"/>
      <c r="D152" s="16"/>
      <c r="E152" s="16"/>
      <c r="F152" s="16"/>
      <c r="G152" s="16"/>
      <c r="H152" s="16"/>
      <c r="I152" s="16"/>
      <c r="J152" s="16"/>
      <c r="K152" s="16"/>
      <c r="L152" s="16"/>
      <c r="M152" s="16"/>
    </row>
    <row r="153" customFormat="false" ht="31.5" hidden="false" customHeight="true" outlineLevel="0" collapsed="false">
      <c r="A153" s="14" t="s">
        <v>1781</v>
      </c>
      <c r="B153" s="14" t="s">
        <v>1782</v>
      </c>
      <c r="C153" s="14" t="s">
        <v>1783</v>
      </c>
      <c r="D153" s="14" t="s">
        <v>1620</v>
      </c>
      <c r="E153" s="14" t="s">
        <v>1784</v>
      </c>
      <c r="F153" s="14" t="s">
        <v>1785</v>
      </c>
      <c r="G153" s="14" t="s">
        <v>1786</v>
      </c>
      <c r="H153" s="14"/>
      <c r="I153" s="14"/>
      <c r="J153" s="14"/>
      <c r="K153" s="14"/>
      <c r="L153" s="14"/>
      <c r="M153" s="14"/>
    </row>
    <row r="154" customFormat="false" ht="15.75" hidden="false" customHeight="true" outlineLevel="0" collapsed="false">
      <c r="A154" s="91" t="s">
        <v>1706</v>
      </c>
      <c r="B154" s="18" t="s">
        <v>1707</v>
      </c>
      <c r="C154" s="91" t="s">
        <v>1640</v>
      </c>
      <c r="D154" s="19" t="s">
        <v>1787</v>
      </c>
      <c r="E154" s="92" t="n">
        <v>0</v>
      </c>
      <c r="F154" s="92" t="n">
        <f aca="false">E154/10</f>
        <v>0</v>
      </c>
      <c r="G154" s="21" t="s">
        <v>1641</v>
      </c>
      <c r="H154" s="21"/>
      <c r="I154" s="21"/>
      <c r="J154" s="21"/>
      <c r="K154" s="21"/>
      <c r="L154" s="21"/>
      <c r="M154" s="21"/>
    </row>
    <row r="155" customFormat="false" ht="15.75" hidden="false" customHeight="true" outlineLevel="0" collapsed="false">
      <c r="A155" s="91" t="s">
        <v>1706</v>
      </c>
      <c r="B155" s="18" t="s">
        <v>1707</v>
      </c>
      <c r="C155" s="91" t="s">
        <v>1701</v>
      </c>
      <c r="D155" s="19" t="s">
        <v>1787</v>
      </c>
      <c r="E155" s="92" t="n">
        <v>0</v>
      </c>
      <c r="F155" s="92" t="n">
        <f aca="false">E155/10</f>
        <v>0</v>
      </c>
      <c r="G155" s="21" t="s">
        <v>1702</v>
      </c>
      <c r="H155" s="21"/>
      <c r="I155" s="21"/>
      <c r="J155" s="21"/>
      <c r="K155" s="21"/>
      <c r="L155" s="21"/>
      <c r="M155" s="21"/>
    </row>
    <row r="156" customFormat="false" ht="15.75" hidden="false" customHeight="true" outlineLevel="0" collapsed="false">
      <c r="A156" s="91" t="s">
        <v>1706</v>
      </c>
      <c r="B156" s="18" t="s">
        <v>1707</v>
      </c>
      <c r="C156" s="91" t="s">
        <v>1703</v>
      </c>
      <c r="D156" s="19" t="s">
        <v>1787</v>
      </c>
      <c r="E156" s="92" t="n">
        <v>0</v>
      </c>
      <c r="F156" s="92" t="n">
        <f aca="false">E156/10</f>
        <v>0</v>
      </c>
      <c r="G156" s="21" t="s">
        <v>1704</v>
      </c>
      <c r="H156" s="21"/>
      <c r="I156" s="21"/>
      <c r="J156" s="21"/>
      <c r="K156" s="21"/>
      <c r="L156" s="21"/>
      <c r="M156" s="21"/>
    </row>
    <row r="157" customFormat="false" ht="15.75" hidden="false" customHeight="true" outlineLevel="0" collapsed="false">
      <c r="A157" s="91" t="s">
        <v>1706</v>
      </c>
      <c r="B157" s="18" t="s">
        <v>1707</v>
      </c>
      <c r="C157" s="91" t="s">
        <v>1632</v>
      </c>
      <c r="D157" s="19" t="s">
        <v>1788</v>
      </c>
      <c r="E157" s="92" t="n">
        <v>0</v>
      </c>
      <c r="F157" s="92" t="n">
        <f aca="false">E157/10</f>
        <v>0</v>
      </c>
      <c r="G157" s="21" t="s">
        <v>1633</v>
      </c>
      <c r="H157" s="21"/>
      <c r="I157" s="21"/>
      <c r="J157" s="21"/>
      <c r="K157" s="21"/>
      <c r="L157" s="21"/>
      <c r="M157" s="21"/>
    </row>
    <row r="158" customFormat="false" ht="15.75" hidden="false" customHeight="true" outlineLevel="0" collapsed="false">
      <c r="A158" s="91" t="s">
        <v>1711</v>
      </c>
      <c r="B158" s="18" t="s">
        <v>1712</v>
      </c>
      <c r="C158" s="91" t="s">
        <v>1708</v>
      </c>
      <c r="D158" s="19" t="s">
        <v>1789</v>
      </c>
      <c r="E158" s="92" t="n">
        <v>30</v>
      </c>
      <c r="F158" s="92" t="n">
        <f aca="false">E158/10</f>
        <v>3</v>
      </c>
      <c r="G158" s="21" t="s">
        <v>1709</v>
      </c>
      <c r="H158" s="21"/>
      <c r="I158" s="21"/>
      <c r="J158" s="21"/>
      <c r="K158" s="21"/>
      <c r="L158" s="21"/>
      <c r="M158" s="21"/>
    </row>
    <row r="159" customFormat="false" ht="15.75" hidden="false" customHeight="true" outlineLevel="0" collapsed="false">
      <c r="A159" s="91" t="s">
        <v>1711</v>
      </c>
      <c r="B159" s="18" t="s">
        <v>1712</v>
      </c>
      <c r="C159" s="91" t="s">
        <v>1708</v>
      </c>
      <c r="D159" s="19" t="s">
        <v>1788</v>
      </c>
      <c r="E159" s="92" t="n">
        <v>30</v>
      </c>
      <c r="F159" s="92" t="n">
        <f aca="false">E159/10</f>
        <v>3</v>
      </c>
      <c r="G159" s="21" t="s">
        <v>1709</v>
      </c>
      <c r="H159" s="21"/>
      <c r="I159" s="21"/>
      <c r="J159" s="21"/>
      <c r="K159" s="21"/>
      <c r="L159" s="21"/>
      <c r="M159" s="21"/>
    </row>
    <row r="160" customFormat="false" ht="15.75" hidden="false" customHeight="true" outlineLevel="0" collapsed="false">
      <c r="A160" s="91" t="s">
        <v>1711</v>
      </c>
      <c r="B160" s="18" t="s">
        <v>1712</v>
      </c>
      <c r="C160" s="91" t="s">
        <v>1640</v>
      </c>
      <c r="D160" s="19" t="s">
        <v>1787</v>
      </c>
      <c r="E160" s="92" t="n">
        <v>0</v>
      </c>
      <c r="F160" s="92" t="n">
        <f aca="false">E160/10</f>
        <v>0</v>
      </c>
      <c r="G160" s="21" t="s">
        <v>1641</v>
      </c>
      <c r="H160" s="21"/>
      <c r="I160" s="21"/>
      <c r="J160" s="21"/>
      <c r="K160" s="21"/>
      <c r="L160" s="21"/>
      <c r="M160" s="21"/>
    </row>
    <row r="161" customFormat="false" ht="15.75" hidden="false" customHeight="true" outlineLevel="0" collapsed="false">
      <c r="A161" s="91" t="s">
        <v>1711</v>
      </c>
      <c r="B161" s="18" t="s">
        <v>1712</v>
      </c>
      <c r="C161" s="91" t="s">
        <v>1689</v>
      </c>
      <c r="D161" s="19" t="s">
        <v>1787</v>
      </c>
      <c r="E161" s="92" t="n">
        <v>0</v>
      </c>
      <c r="F161" s="92" t="n">
        <f aca="false">E161/10</f>
        <v>0</v>
      </c>
      <c r="G161" s="21" t="s">
        <v>1690</v>
      </c>
      <c r="H161" s="21"/>
      <c r="I161" s="21"/>
      <c r="J161" s="21"/>
      <c r="K161" s="21"/>
      <c r="L161" s="21"/>
      <c r="M161" s="21"/>
    </row>
    <row r="162" customFormat="false" ht="15.75" hidden="false" customHeight="true" outlineLevel="0" collapsed="false">
      <c r="A162" s="91" t="s">
        <v>1711</v>
      </c>
      <c r="B162" s="18" t="s">
        <v>1712</v>
      </c>
      <c r="C162" s="91" t="s">
        <v>1691</v>
      </c>
      <c r="D162" s="19" t="s">
        <v>1787</v>
      </c>
      <c r="E162" s="92" t="n">
        <v>0</v>
      </c>
      <c r="F162" s="92" t="n">
        <f aca="false">E162/10</f>
        <v>0</v>
      </c>
      <c r="G162" s="21" t="s">
        <v>1692</v>
      </c>
      <c r="H162" s="21"/>
      <c r="I162" s="21"/>
      <c r="J162" s="21"/>
      <c r="K162" s="21"/>
      <c r="L162" s="21"/>
      <c r="M162" s="21"/>
    </row>
    <row r="163" customFormat="false" ht="15.75" hidden="false" customHeight="true" outlineLevel="0" collapsed="false">
      <c r="A163" s="91" t="s">
        <v>1711</v>
      </c>
      <c r="B163" s="18" t="s">
        <v>1712</v>
      </c>
      <c r="C163" s="91" t="s">
        <v>1703</v>
      </c>
      <c r="D163" s="19" t="s">
        <v>1787</v>
      </c>
      <c r="E163" s="92" t="n">
        <v>0</v>
      </c>
      <c r="F163" s="92" t="n">
        <f aca="false">E163/10</f>
        <v>0</v>
      </c>
      <c r="G163" s="21" t="s">
        <v>1704</v>
      </c>
      <c r="H163" s="21"/>
      <c r="I163" s="21"/>
      <c r="J163" s="21"/>
      <c r="K163" s="21"/>
      <c r="L163" s="21"/>
      <c r="M163" s="21"/>
    </row>
    <row r="164" customFormat="false" ht="15.75" hidden="false" customHeight="true" outlineLevel="0" collapsed="false">
      <c r="A164" s="91" t="s">
        <v>1708</v>
      </c>
      <c r="B164" s="18" t="s">
        <v>1709</v>
      </c>
      <c r="C164" s="91" t="s">
        <v>1706</v>
      </c>
      <c r="D164" s="19" t="s">
        <v>1787</v>
      </c>
      <c r="E164" s="92" t="n">
        <v>0</v>
      </c>
      <c r="F164" s="92" t="n">
        <f aca="false">E164/10</f>
        <v>0</v>
      </c>
      <c r="G164" s="21" t="s">
        <v>1707</v>
      </c>
      <c r="H164" s="21"/>
      <c r="I164" s="21"/>
      <c r="J164" s="21"/>
      <c r="K164" s="21"/>
      <c r="L164" s="21"/>
      <c r="M164" s="21"/>
    </row>
    <row r="165" customFormat="false" ht="15.75" hidden="false" customHeight="true" outlineLevel="0" collapsed="false">
      <c r="A165" s="91" t="s">
        <v>1708</v>
      </c>
      <c r="B165" s="18" t="s">
        <v>1709</v>
      </c>
      <c r="C165" s="91" t="s">
        <v>1640</v>
      </c>
      <c r="D165" s="19" t="s">
        <v>1787</v>
      </c>
      <c r="E165" s="92" t="n">
        <v>0</v>
      </c>
      <c r="F165" s="92" t="n">
        <f aca="false">E165/10</f>
        <v>0</v>
      </c>
      <c r="G165" s="21" t="s">
        <v>1641</v>
      </c>
      <c r="H165" s="21"/>
      <c r="I165" s="21"/>
      <c r="J165" s="21"/>
      <c r="K165" s="21"/>
      <c r="L165" s="21"/>
      <c r="M165" s="21"/>
    </row>
    <row r="166" customFormat="false" ht="15.75" hidden="false" customHeight="true" outlineLevel="0" collapsed="false">
      <c r="A166" s="91" t="s">
        <v>1708</v>
      </c>
      <c r="B166" s="18" t="s">
        <v>1709</v>
      </c>
      <c r="C166" s="91" t="s">
        <v>1689</v>
      </c>
      <c r="D166" s="19" t="s">
        <v>1787</v>
      </c>
      <c r="E166" s="92" t="n">
        <v>0</v>
      </c>
      <c r="F166" s="92" t="n">
        <f aca="false">E166/10</f>
        <v>0</v>
      </c>
      <c r="G166" s="21" t="s">
        <v>1690</v>
      </c>
      <c r="H166" s="21"/>
      <c r="I166" s="21"/>
      <c r="J166" s="21"/>
      <c r="K166" s="21"/>
      <c r="L166" s="21"/>
      <c r="M166" s="21"/>
    </row>
    <row r="167" customFormat="false" ht="15.75" hidden="false" customHeight="true" outlineLevel="0" collapsed="false">
      <c r="A167" s="91" t="s">
        <v>1708</v>
      </c>
      <c r="B167" s="18" t="s">
        <v>1709</v>
      </c>
      <c r="C167" s="91" t="s">
        <v>1691</v>
      </c>
      <c r="D167" s="19" t="s">
        <v>1787</v>
      </c>
      <c r="E167" s="92" t="n">
        <v>0</v>
      </c>
      <c r="F167" s="92" t="n">
        <f aca="false">E167/10</f>
        <v>0</v>
      </c>
      <c r="G167" s="21" t="s">
        <v>1692</v>
      </c>
      <c r="H167" s="21"/>
      <c r="I167" s="21"/>
      <c r="J167" s="21"/>
      <c r="K167" s="21"/>
      <c r="L167" s="21"/>
      <c r="M167" s="21"/>
    </row>
    <row r="168" customFormat="false" ht="15.75" hidden="false" customHeight="true" outlineLevel="0" collapsed="false">
      <c r="A168" s="91" t="s">
        <v>1708</v>
      </c>
      <c r="B168" s="18" t="s">
        <v>1709</v>
      </c>
      <c r="C168" s="91" t="s">
        <v>1703</v>
      </c>
      <c r="D168" s="19" t="s">
        <v>1787</v>
      </c>
      <c r="E168" s="92" t="n">
        <v>0</v>
      </c>
      <c r="F168" s="92" t="n">
        <f aca="false">E168/10</f>
        <v>0</v>
      </c>
      <c r="G168" s="21" t="s">
        <v>1704</v>
      </c>
      <c r="H168" s="21"/>
      <c r="I168" s="21"/>
      <c r="J168" s="21"/>
      <c r="K168" s="21"/>
      <c r="L168" s="21"/>
      <c r="M168" s="21"/>
    </row>
    <row r="169" customFormat="false" ht="15.75" hidden="false" customHeight="true" outlineLevel="0" collapsed="false">
      <c r="A169" s="91" t="s">
        <v>1764</v>
      </c>
      <c r="B169" s="18" t="s">
        <v>1765</v>
      </c>
      <c r="C169" s="91" t="s">
        <v>1757</v>
      </c>
      <c r="D169" s="19" t="s">
        <v>1789</v>
      </c>
      <c r="E169" s="92" t="n">
        <v>0</v>
      </c>
      <c r="F169" s="92" t="n">
        <f aca="false">E169/10</f>
        <v>0</v>
      </c>
      <c r="G169" s="21" t="s">
        <v>1758</v>
      </c>
      <c r="H169" s="21"/>
      <c r="I169" s="21"/>
      <c r="J169" s="21"/>
      <c r="K169" s="21"/>
      <c r="L169" s="21"/>
      <c r="M169" s="21"/>
    </row>
    <row r="170" customFormat="false" ht="15.75" hidden="false" customHeight="true" outlineLevel="0" collapsed="false">
      <c r="A170" s="91" t="s">
        <v>1764</v>
      </c>
      <c r="B170" s="18" t="s">
        <v>1765</v>
      </c>
      <c r="C170" s="91" t="s">
        <v>1755</v>
      </c>
      <c r="D170" s="19" t="s">
        <v>1789</v>
      </c>
      <c r="E170" s="92" t="n">
        <v>0</v>
      </c>
      <c r="F170" s="92" t="n">
        <f aca="false">E170/10</f>
        <v>0</v>
      </c>
      <c r="G170" s="21" t="s">
        <v>1756</v>
      </c>
      <c r="H170" s="21"/>
      <c r="I170" s="21"/>
      <c r="J170" s="21"/>
      <c r="K170" s="21"/>
      <c r="L170" s="21"/>
      <c r="M170" s="21"/>
    </row>
    <row r="171" customFormat="false" ht="15.75" hidden="false" customHeight="true" outlineLevel="0" collapsed="false">
      <c r="A171" s="91" t="s">
        <v>1764</v>
      </c>
      <c r="B171" s="18" t="s">
        <v>1765</v>
      </c>
      <c r="C171" s="91" t="s">
        <v>1760</v>
      </c>
      <c r="D171" s="19" t="s">
        <v>1787</v>
      </c>
      <c r="E171" s="92" t="n">
        <v>0</v>
      </c>
      <c r="F171" s="92" t="n">
        <f aca="false">E171/10</f>
        <v>0</v>
      </c>
      <c r="G171" s="21" t="s">
        <v>1752</v>
      </c>
      <c r="H171" s="21"/>
      <c r="I171" s="21"/>
      <c r="J171" s="21"/>
      <c r="K171" s="21"/>
      <c r="L171" s="21"/>
      <c r="M171" s="21"/>
    </row>
    <row r="172" customFormat="false" ht="15.75" hidden="false" customHeight="true" outlineLevel="0" collapsed="false">
      <c r="A172" s="91" t="s">
        <v>1764</v>
      </c>
      <c r="B172" s="18" t="s">
        <v>1765</v>
      </c>
      <c r="C172" s="91" t="s">
        <v>1763</v>
      </c>
      <c r="D172" s="19" t="s">
        <v>1789</v>
      </c>
      <c r="E172" s="92" t="n">
        <v>0</v>
      </c>
      <c r="F172" s="92" t="n">
        <f aca="false">E172/10</f>
        <v>0</v>
      </c>
      <c r="G172" s="21" t="s">
        <v>1758</v>
      </c>
      <c r="H172" s="21"/>
      <c r="I172" s="21"/>
      <c r="J172" s="21"/>
      <c r="K172" s="21"/>
      <c r="L172" s="21"/>
      <c r="M172" s="21"/>
    </row>
    <row r="173" customFormat="false" ht="15.75" hidden="false" customHeight="true" outlineLevel="0" collapsed="false">
      <c r="A173" s="91" t="s">
        <v>1713</v>
      </c>
      <c r="B173" s="18" t="s">
        <v>1714</v>
      </c>
      <c r="C173" s="91" t="s">
        <v>1706</v>
      </c>
      <c r="D173" s="19" t="s">
        <v>1787</v>
      </c>
      <c r="E173" s="92" t="n">
        <v>0</v>
      </c>
      <c r="F173" s="92" t="n">
        <f aca="false">E173/10</f>
        <v>0</v>
      </c>
      <c r="G173" s="21" t="s">
        <v>1707</v>
      </c>
      <c r="H173" s="21"/>
      <c r="I173" s="21"/>
      <c r="J173" s="21"/>
      <c r="K173" s="21"/>
      <c r="L173" s="21"/>
      <c r="M173" s="21"/>
    </row>
    <row r="174" customFormat="false" ht="15.75" hidden="false" customHeight="true" outlineLevel="0" collapsed="false">
      <c r="A174" s="91" t="s">
        <v>1713</v>
      </c>
      <c r="B174" s="18" t="s">
        <v>1714</v>
      </c>
      <c r="C174" s="91" t="s">
        <v>1711</v>
      </c>
      <c r="D174" s="19" t="s">
        <v>1789</v>
      </c>
      <c r="E174" s="92" t="n">
        <v>10</v>
      </c>
      <c r="F174" s="92" t="n">
        <f aca="false">E174/10</f>
        <v>1</v>
      </c>
      <c r="G174" s="21" t="s">
        <v>1712</v>
      </c>
      <c r="H174" s="21"/>
      <c r="I174" s="21"/>
      <c r="J174" s="21"/>
      <c r="K174" s="21"/>
      <c r="L174" s="21"/>
      <c r="M174" s="21"/>
    </row>
    <row r="175" customFormat="false" ht="15.75" hidden="false" customHeight="true" outlineLevel="0" collapsed="false">
      <c r="A175" s="91" t="s">
        <v>1713</v>
      </c>
      <c r="B175" s="18" t="s">
        <v>1714</v>
      </c>
      <c r="C175" s="91" t="s">
        <v>1711</v>
      </c>
      <c r="D175" s="19" t="s">
        <v>1788</v>
      </c>
      <c r="E175" s="92" t="n">
        <v>0</v>
      </c>
      <c r="F175" s="92" t="n">
        <f aca="false">E175/10</f>
        <v>0</v>
      </c>
      <c r="G175" s="21" t="s">
        <v>1712</v>
      </c>
      <c r="H175" s="21"/>
      <c r="I175" s="21"/>
      <c r="J175" s="21"/>
      <c r="K175" s="21"/>
      <c r="L175" s="21"/>
      <c r="M175" s="21"/>
    </row>
    <row r="176" customFormat="false" ht="15.75" hidden="false" customHeight="true" outlineLevel="0" collapsed="false">
      <c r="A176" s="91" t="s">
        <v>1713</v>
      </c>
      <c r="B176" s="18" t="s">
        <v>1714</v>
      </c>
      <c r="C176" s="91" t="s">
        <v>1708</v>
      </c>
      <c r="D176" s="19" t="s">
        <v>1789</v>
      </c>
      <c r="E176" s="92" t="n">
        <v>10</v>
      </c>
      <c r="F176" s="92" t="n">
        <f aca="false">E176/10</f>
        <v>1</v>
      </c>
      <c r="G176" s="21" t="s">
        <v>1709</v>
      </c>
      <c r="H176" s="21"/>
      <c r="I176" s="21"/>
      <c r="J176" s="21"/>
      <c r="K176" s="21"/>
      <c r="L176" s="21"/>
      <c r="M176" s="21"/>
    </row>
    <row r="177" customFormat="false" ht="15.75" hidden="false" customHeight="true" outlineLevel="0" collapsed="false">
      <c r="A177" s="91" t="s">
        <v>1713</v>
      </c>
      <c r="B177" s="18" t="s">
        <v>1714</v>
      </c>
      <c r="C177" s="91" t="s">
        <v>1703</v>
      </c>
      <c r="D177" s="19" t="s">
        <v>1787</v>
      </c>
      <c r="E177" s="92" t="n">
        <v>0</v>
      </c>
      <c r="F177" s="92" t="n">
        <f aca="false">E177/10</f>
        <v>0</v>
      </c>
      <c r="G177" s="21" t="s">
        <v>1704</v>
      </c>
      <c r="H177" s="21"/>
      <c r="I177" s="21"/>
      <c r="J177" s="21"/>
      <c r="K177" s="21"/>
      <c r="L177" s="21"/>
      <c r="M177" s="21"/>
    </row>
    <row r="178" customFormat="false" ht="15.75" hidden="false" customHeight="true" outlineLevel="0" collapsed="false">
      <c r="A178" s="91" t="s">
        <v>1721</v>
      </c>
      <c r="B178" s="18" t="s">
        <v>1722</v>
      </c>
      <c r="C178" s="91" t="s">
        <v>1713</v>
      </c>
      <c r="D178" s="19" t="s">
        <v>1788</v>
      </c>
      <c r="E178" s="92" t="n">
        <v>10</v>
      </c>
      <c r="F178" s="92" t="n">
        <f aca="false">E178/10</f>
        <v>1</v>
      </c>
      <c r="G178" s="21" t="s">
        <v>1714</v>
      </c>
      <c r="H178" s="21"/>
      <c r="I178" s="21"/>
      <c r="J178" s="21"/>
      <c r="K178" s="21"/>
      <c r="L178" s="21"/>
      <c r="M178" s="21"/>
    </row>
    <row r="179" customFormat="false" ht="15.75" hidden="false" customHeight="true" outlineLevel="0" collapsed="false">
      <c r="A179" s="91" t="s">
        <v>1721</v>
      </c>
      <c r="B179" s="18" t="s">
        <v>1722</v>
      </c>
      <c r="C179" s="91" t="s">
        <v>1685</v>
      </c>
      <c r="D179" s="19" t="s">
        <v>1787</v>
      </c>
      <c r="E179" s="92" t="n">
        <v>0</v>
      </c>
      <c r="F179" s="92" t="n">
        <f aca="false">E179/10</f>
        <v>0</v>
      </c>
      <c r="G179" s="21" t="s">
        <v>1686</v>
      </c>
      <c r="H179" s="21"/>
      <c r="I179" s="21"/>
      <c r="J179" s="21"/>
      <c r="K179" s="21"/>
      <c r="L179" s="21"/>
      <c r="M179" s="21"/>
    </row>
    <row r="180" customFormat="false" ht="15.75" hidden="false" customHeight="true" outlineLevel="0" collapsed="false">
      <c r="A180" s="91" t="s">
        <v>1721</v>
      </c>
      <c r="B180" s="18" t="s">
        <v>1722</v>
      </c>
      <c r="C180" s="91" t="s">
        <v>1646</v>
      </c>
      <c r="D180" s="19" t="s">
        <v>1787</v>
      </c>
      <c r="E180" s="92" t="n">
        <v>0</v>
      </c>
      <c r="F180" s="92" t="n">
        <f aca="false">E180/10</f>
        <v>0</v>
      </c>
      <c r="G180" s="21" t="s">
        <v>1647</v>
      </c>
      <c r="H180" s="21"/>
      <c r="I180" s="21"/>
      <c r="J180" s="21"/>
      <c r="K180" s="21"/>
      <c r="L180" s="21"/>
      <c r="M180" s="21"/>
    </row>
    <row r="181" customFormat="false" ht="15.75" hidden="false" customHeight="true" outlineLevel="0" collapsed="false">
      <c r="A181" s="91" t="s">
        <v>1721</v>
      </c>
      <c r="B181" s="18" t="s">
        <v>1722</v>
      </c>
      <c r="C181" s="91" t="s">
        <v>1693</v>
      </c>
      <c r="D181" s="19" t="s">
        <v>1787</v>
      </c>
      <c r="E181" s="92" t="n">
        <v>0</v>
      </c>
      <c r="F181" s="92" t="n">
        <f aca="false">E181/10</f>
        <v>0</v>
      </c>
      <c r="G181" s="21" t="s">
        <v>1694</v>
      </c>
      <c r="H181" s="21"/>
      <c r="I181" s="21"/>
      <c r="J181" s="21"/>
      <c r="K181" s="21"/>
      <c r="L181" s="21"/>
      <c r="M181" s="21"/>
    </row>
    <row r="182" customFormat="false" ht="15.75" hidden="false" customHeight="true" outlineLevel="0" collapsed="false">
      <c r="A182" s="91" t="s">
        <v>1721</v>
      </c>
      <c r="B182" s="18" t="s">
        <v>1722</v>
      </c>
      <c r="C182" s="91" t="s">
        <v>1695</v>
      </c>
      <c r="D182" s="19" t="s">
        <v>1787</v>
      </c>
      <c r="E182" s="92" t="n">
        <v>0</v>
      </c>
      <c r="F182" s="92" t="n">
        <f aca="false">E182/10</f>
        <v>0</v>
      </c>
      <c r="G182" s="21" t="s">
        <v>1696</v>
      </c>
      <c r="H182" s="21"/>
      <c r="I182" s="21"/>
      <c r="J182" s="21"/>
      <c r="K182" s="21"/>
      <c r="L182" s="21"/>
      <c r="M182" s="21"/>
    </row>
    <row r="183" customFormat="false" ht="15.75" hidden="false" customHeight="true" outlineLevel="0" collapsed="false">
      <c r="A183" s="91" t="s">
        <v>1721</v>
      </c>
      <c r="B183" s="18" t="s">
        <v>1722</v>
      </c>
      <c r="C183" s="91" t="s">
        <v>1697</v>
      </c>
      <c r="D183" s="19" t="s">
        <v>1787</v>
      </c>
      <c r="E183" s="92" t="n">
        <v>0</v>
      </c>
      <c r="F183" s="92" t="n">
        <f aca="false">E183/10</f>
        <v>0</v>
      </c>
      <c r="G183" s="21" t="s">
        <v>1698</v>
      </c>
      <c r="H183" s="21"/>
      <c r="I183" s="21"/>
      <c r="J183" s="21"/>
      <c r="K183" s="21"/>
      <c r="L183" s="21"/>
      <c r="M183" s="21"/>
    </row>
    <row r="184" customFormat="false" ht="15.75" hidden="false" customHeight="true" outlineLevel="0" collapsed="false">
      <c r="A184" s="91" t="s">
        <v>1721</v>
      </c>
      <c r="B184" s="18" t="s">
        <v>1722</v>
      </c>
      <c r="C184" s="91" t="s">
        <v>1699</v>
      </c>
      <c r="D184" s="19" t="s">
        <v>1787</v>
      </c>
      <c r="E184" s="92" t="n">
        <v>0</v>
      </c>
      <c r="F184" s="92" t="n">
        <f aca="false">E184/10</f>
        <v>0</v>
      </c>
      <c r="G184" s="21" t="s">
        <v>1700</v>
      </c>
      <c r="H184" s="21"/>
      <c r="I184" s="21"/>
      <c r="J184" s="21"/>
      <c r="K184" s="21"/>
      <c r="L184" s="21"/>
      <c r="M184" s="21"/>
    </row>
    <row r="185" customFormat="false" ht="15.75" hidden="false" customHeight="true" outlineLevel="0" collapsed="false">
      <c r="A185" s="91" t="s">
        <v>1721</v>
      </c>
      <c r="B185" s="18" t="s">
        <v>1722</v>
      </c>
      <c r="C185" s="91" t="s">
        <v>1701</v>
      </c>
      <c r="D185" s="19" t="s">
        <v>1787</v>
      </c>
      <c r="E185" s="92" t="n">
        <v>0</v>
      </c>
      <c r="F185" s="92" t="n">
        <f aca="false">E185/10</f>
        <v>0</v>
      </c>
      <c r="G185" s="21" t="s">
        <v>1702</v>
      </c>
      <c r="H185" s="21"/>
      <c r="I185" s="21"/>
      <c r="J185" s="21"/>
      <c r="K185" s="21"/>
      <c r="L185" s="21"/>
      <c r="M185" s="21"/>
    </row>
    <row r="186" customFormat="false" ht="15.75" hidden="false" customHeight="true" outlineLevel="0" collapsed="false">
      <c r="A186" s="91" t="s">
        <v>1721</v>
      </c>
      <c r="B186" s="18" t="s">
        <v>1722</v>
      </c>
      <c r="C186" s="91" t="s">
        <v>1703</v>
      </c>
      <c r="D186" s="19" t="s">
        <v>1787</v>
      </c>
      <c r="E186" s="92" t="n">
        <v>0</v>
      </c>
      <c r="F186" s="92" t="n">
        <f aca="false">E186/10</f>
        <v>0</v>
      </c>
      <c r="G186" s="21" t="s">
        <v>1704</v>
      </c>
      <c r="H186" s="21"/>
      <c r="I186" s="21"/>
      <c r="J186" s="21"/>
      <c r="K186" s="21"/>
      <c r="L186" s="21"/>
      <c r="M186" s="21"/>
    </row>
    <row r="187" customFormat="false" ht="15.75" hidden="false" customHeight="true" outlineLevel="0" collapsed="false">
      <c r="A187" s="91" t="s">
        <v>1721</v>
      </c>
      <c r="B187" s="18" t="s">
        <v>1722</v>
      </c>
      <c r="C187" s="91" t="s">
        <v>1715</v>
      </c>
      <c r="D187" s="19" t="s">
        <v>1789</v>
      </c>
      <c r="E187" s="92" t="n">
        <v>20</v>
      </c>
      <c r="F187" s="92" t="n">
        <f aca="false">E187/10</f>
        <v>2</v>
      </c>
      <c r="G187" s="21" t="s">
        <v>1716</v>
      </c>
      <c r="H187" s="21"/>
      <c r="I187" s="21"/>
      <c r="J187" s="21"/>
      <c r="K187" s="21"/>
      <c r="L187" s="21"/>
      <c r="M187" s="21"/>
    </row>
    <row r="188" customFormat="false" ht="15.75" hidden="false" customHeight="true" outlineLevel="0" collapsed="false">
      <c r="A188" s="91" t="s">
        <v>1721</v>
      </c>
      <c r="B188" s="18" t="s">
        <v>1722</v>
      </c>
      <c r="C188" s="91" t="s">
        <v>1715</v>
      </c>
      <c r="D188" s="19" t="s">
        <v>1788</v>
      </c>
      <c r="E188" s="92" t="n">
        <v>30</v>
      </c>
      <c r="F188" s="92" t="n">
        <f aca="false">E188/10</f>
        <v>3</v>
      </c>
      <c r="G188" s="21" t="s">
        <v>1716</v>
      </c>
      <c r="H188" s="21"/>
      <c r="I188" s="21"/>
      <c r="J188" s="21"/>
      <c r="K188" s="21"/>
      <c r="L188" s="21"/>
      <c r="M188" s="21"/>
    </row>
    <row r="189" customFormat="false" ht="15.75" hidden="false" customHeight="true" outlineLevel="0" collapsed="false">
      <c r="A189" s="91" t="s">
        <v>1721</v>
      </c>
      <c r="B189" s="18" t="s">
        <v>1722</v>
      </c>
      <c r="C189" s="91" t="s">
        <v>1719</v>
      </c>
      <c r="D189" s="19" t="s">
        <v>1788</v>
      </c>
      <c r="E189" s="92" t="n">
        <v>20</v>
      </c>
      <c r="F189" s="92" t="n">
        <f aca="false">E189/10</f>
        <v>2</v>
      </c>
      <c r="G189" s="21" t="s">
        <v>1720</v>
      </c>
      <c r="H189" s="21"/>
      <c r="I189" s="21"/>
      <c r="J189" s="21"/>
      <c r="K189" s="21"/>
      <c r="L189" s="21"/>
      <c r="M189" s="21"/>
    </row>
    <row r="190" customFormat="false" ht="15.75" hidden="false" customHeight="true" outlineLevel="0" collapsed="false">
      <c r="A190" s="91" t="s">
        <v>1721</v>
      </c>
      <c r="B190" s="18" t="s">
        <v>1722</v>
      </c>
      <c r="C190" s="91" t="s">
        <v>1719</v>
      </c>
      <c r="D190" s="19" t="s">
        <v>1789</v>
      </c>
      <c r="E190" s="92" t="n">
        <v>10</v>
      </c>
      <c r="F190" s="92" t="n">
        <f aca="false">E190/10</f>
        <v>1</v>
      </c>
      <c r="G190" s="21" t="s">
        <v>1720</v>
      </c>
      <c r="H190" s="21"/>
      <c r="I190" s="21"/>
      <c r="J190" s="21"/>
      <c r="K190" s="21"/>
      <c r="L190" s="21"/>
      <c r="M190" s="21"/>
    </row>
    <row r="191" customFormat="false" ht="15.75" hidden="false" customHeight="true" outlineLevel="0" collapsed="false">
      <c r="A191" s="91" t="s">
        <v>1732</v>
      </c>
      <c r="B191" s="18" t="s">
        <v>1733</v>
      </c>
      <c r="C191" s="91" t="s">
        <v>1721</v>
      </c>
      <c r="D191" s="19" t="s">
        <v>1787</v>
      </c>
      <c r="E191" s="92" t="n">
        <v>0</v>
      </c>
      <c r="F191" s="92" t="n">
        <f aca="false">E191/10</f>
        <v>0</v>
      </c>
      <c r="G191" s="21" t="s">
        <v>1722</v>
      </c>
      <c r="H191" s="21"/>
      <c r="I191" s="21"/>
      <c r="J191" s="21"/>
      <c r="K191" s="21"/>
      <c r="L191" s="21"/>
      <c r="M191" s="21"/>
    </row>
    <row r="192" customFormat="false" ht="15.75" hidden="false" customHeight="true" outlineLevel="0" collapsed="false">
      <c r="A192" s="91" t="s">
        <v>1732</v>
      </c>
      <c r="B192" s="18" t="s">
        <v>1733</v>
      </c>
      <c r="C192" s="91" t="s">
        <v>1646</v>
      </c>
      <c r="D192" s="19" t="s">
        <v>1787</v>
      </c>
      <c r="E192" s="92" t="n">
        <v>0</v>
      </c>
      <c r="F192" s="92" t="n">
        <f aca="false">E192/10</f>
        <v>0</v>
      </c>
      <c r="G192" s="21" t="s">
        <v>1647</v>
      </c>
      <c r="H192" s="21"/>
      <c r="I192" s="21"/>
      <c r="J192" s="21"/>
      <c r="K192" s="21"/>
      <c r="L192" s="21"/>
      <c r="M192" s="21"/>
    </row>
    <row r="193" customFormat="false" ht="15.75" hidden="false" customHeight="true" outlineLevel="0" collapsed="false">
      <c r="A193" s="91" t="s">
        <v>1732</v>
      </c>
      <c r="B193" s="18" t="s">
        <v>1733</v>
      </c>
      <c r="C193" s="91" t="s">
        <v>1701</v>
      </c>
      <c r="D193" s="19" t="s">
        <v>1787</v>
      </c>
      <c r="E193" s="92" t="n">
        <v>0</v>
      </c>
      <c r="F193" s="92" t="n">
        <f aca="false">E193/10</f>
        <v>0</v>
      </c>
      <c r="G193" s="21" t="s">
        <v>1702</v>
      </c>
      <c r="H193" s="21"/>
      <c r="I193" s="21"/>
      <c r="J193" s="21"/>
      <c r="K193" s="21"/>
      <c r="L193" s="21"/>
      <c r="M193" s="21"/>
    </row>
    <row r="194" customFormat="false" ht="15.75" hidden="false" customHeight="true" outlineLevel="0" collapsed="false">
      <c r="A194" s="91" t="s">
        <v>1732</v>
      </c>
      <c r="B194" s="18" t="s">
        <v>1733</v>
      </c>
      <c r="C194" s="91" t="s">
        <v>1726</v>
      </c>
      <c r="D194" s="19" t="s">
        <v>1788</v>
      </c>
      <c r="E194" s="92" t="n">
        <v>20</v>
      </c>
      <c r="F194" s="92" t="n">
        <f aca="false">E194/10</f>
        <v>2</v>
      </c>
      <c r="G194" s="21" t="s">
        <v>1727</v>
      </c>
      <c r="H194" s="21"/>
      <c r="I194" s="21"/>
      <c r="J194" s="21"/>
      <c r="K194" s="21"/>
      <c r="L194" s="21"/>
      <c r="M194" s="21"/>
    </row>
    <row r="195" customFormat="false" ht="15.75" hidden="false" customHeight="true" outlineLevel="0" collapsed="false">
      <c r="A195" s="91" t="s">
        <v>1732</v>
      </c>
      <c r="B195" s="18" t="s">
        <v>1733</v>
      </c>
      <c r="C195" s="91" t="s">
        <v>1726</v>
      </c>
      <c r="D195" s="19" t="s">
        <v>1789</v>
      </c>
      <c r="E195" s="92" t="n">
        <v>40</v>
      </c>
      <c r="F195" s="92" t="n">
        <f aca="false">E195/10</f>
        <v>4</v>
      </c>
      <c r="G195" s="21" t="s">
        <v>1727</v>
      </c>
      <c r="H195" s="21"/>
      <c r="I195" s="21"/>
      <c r="J195" s="21"/>
      <c r="K195" s="21"/>
      <c r="L195" s="21"/>
      <c r="M195" s="21"/>
    </row>
    <row r="196" customFormat="false" ht="15.75" hidden="false" customHeight="true" outlineLevel="0" collapsed="false">
      <c r="A196" s="91" t="s">
        <v>1732</v>
      </c>
      <c r="B196" s="18" t="s">
        <v>1733</v>
      </c>
      <c r="C196" s="91" t="s">
        <v>1730</v>
      </c>
      <c r="D196" s="19" t="s">
        <v>1788</v>
      </c>
      <c r="E196" s="92" t="n">
        <v>10</v>
      </c>
      <c r="F196" s="92" t="n">
        <f aca="false">E196/10</f>
        <v>1</v>
      </c>
      <c r="G196" s="21" t="s">
        <v>1731</v>
      </c>
      <c r="H196" s="21"/>
      <c r="I196" s="21"/>
      <c r="J196" s="21"/>
      <c r="K196" s="21"/>
      <c r="L196" s="21"/>
      <c r="M196" s="21"/>
    </row>
    <row r="197" customFormat="false" ht="15.75" hidden="false" customHeight="true" outlineLevel="0" collapsed="false">
      <c r="A197" s="91" t="s">
        <v>1744</v>
      </c>
      <c r="B197" s="18" t="s">
        <v>1745</v>
      </c>
      <c r="C197" s="91" t="s">
        <v>1734</v>
      </c>
      <c r="D197" s="19" t="s">
        <v>1787</v>
      </c>
      <c r="E197" s="92" t="n">
        <v>0</v>
      </c>
      <c r="F197" s="92" t="n">
        <f aca="false">E197/10</f>
        <v>0</v>
      </c>
      <c r="G197" s="21" t="s">
        <v>1735</v>
      </c>
      <c r="H197" s="21"/>
      <c r="I197" s="21"/>
      <c r="J197" s="21"/>
      <c r="K197" s="21"/>
      <c r="L197" s="21"/>
      <c r="M197" s="21"/>
    </row>
    <row r="198" customFormat="false" ht="15.75" hidden="false" customHeight="true" outlineLevel="0" collapsed="false">
      <c r="A198" s="91" t="s">
        <v>1751</v>
      </c>
      <c r="B198" s="18" t="s">
        <v>1752</v>
      </c>
      <c r="C198" s="91" t="s">
        <v>1744</v>
      </c>
      <c r="D198" s="19" t="s">
        <v>1787</v>
      </c>
      <c r="E198" s="92" t="n">
        <v>0</v>
      </c>
      <c r="F198" s="92" t="n">
        <f aca="false">E198/10</f>
        <v>0</v>
      </c>
      <c r="G198" s="21" t="s">
        <v>1745</v>
      </c>
      <c r="H198" s="21"/>
      <c r="I198" s="21"/>
      <c r="J198" s="21"/>
      <c r="K198" s="21"/>
      <c r="L198" s="21"/>
      <c r="M198" s="21"/>
    </row>
    <row r="199" customFormat="false" ht="15.75" hidden="false" customHeight="true" outlineLevel="0" collapsed="false">
      <c r="A199" s="91" t="s">
        <v>1734</v>
      </c>
      <c r="B199" s="18" t="s">
        <v>1735</v>
      </c>
      <c r="C199" s="91" t="s">
        <v>1732</v>
      </c>
      <c r="D199" s="19" t="s">
        <v>1788</v>
      </c>
      <c r="E199" s="92" t="n">
        <v>20</v>
      </c>
      <c r="F199" s="92" t="n">
        <f aca="false">E199/10</f>
        <v>2</v>
      </c>
      <c r="G199" s="21" t="s">
        <v>1733</v>
      </c>
      <c r="H199" s="21"/>
      <c r="I199" s="21"/>
      <c r="J199" s="21"/>
      <c r="K199" s="21"/>
      <c r="L199" s="21"/>
      <c r="M199" s="21"/>
    </row>
    <row r="200" customFormat="false" ht="15.75" hidden="false" customHeight="true" outlineLevel="0" collapsed="false">
      <c r="A200" s="91" t="s">
        <v>1734</v>
      </c>
      <c r="B200" s="18" t="s">
        <v>1735</v>
      </c>
      <c r="C200" s="91" t="s">
        <v>1732</v>
      </c>
      <c r="D200" s="19" t="s">
        <v>1789</v>
      </c>
      <c r="E200" s="92" t="n">
        <v>50</v>
      </c>
      <c r="F200" s="92" t="n">
        <f aca="false">E200/10</f>
        <v>5</v>
      </c>
      <c r="G200" s="21" t="s">
        <v>1733</v>
      </c>
      <c r="H200" s="21"/>
      <c r="I200" s="21"/>
      <c r="J200" s="21"/>
      <c r="K200" s="21"/>
      <c r="L200" s="21"/>
      <c r="M200" s="21"/>
    </row>
    <row r="201" customFormat="false" ht="15.75" hidden="false" customHeight="true" outlineLevel="0" collapsed="false">
      <c r="A201" s="91" t="s">
        <v>1753</v>
      </c>
      <c r="B201" s="18" t="s">
        <v>1754</v>
      </c>
      <c r="C201" s="91" t="s">
        <v>1751</v>
      </c>
      <c r="D201" s="19" t="s">
        <v>1789</v>
      </c>
      <c r="E201" s="92" t="n">
        <v>20</v>
      </c>
      <c r="F201" s="92" t="n">
        <f aca="false">E201/10</f>
        <v>2</v>
      </c>
      <c r="G201" s="21" t="s">
        <v>1752</v>
      </c>
      <c r="H201" s="21"/>
      <c r="I201" s="21"/>
      <c r="J201" s="21"/>
      <c r="K201" s="21"/>
      <c r="L201" s="21"/>
      <c r="M201" s="21"/>
    </row>
    <row r="202" customFormat="false" ht="15.75" hidden="false" customHeight="true" outlineLevel="0" collapsed="false">
      <c r="A202" s="91" t="s">
        <v>1757</v>
      </c>
      <c r="B202" s="18" t="s">
        <v>1758</v>
      </c>
      <c r="C202" s="91" t="s">
        <v>1751</v>
      </c>
      <c r="D202" s="19" t="s">
        <v>1787</v>
      </c>
      <c r="E202" s="92" t="n">
        <v>0</v>
      </c>
      <c r="F202" s="92" t="n">
        <f aca="false">E202/10</f>
        <v>0</v>
      </c>
      <c r="G202" s="21" t="s">
        <v>1752</v>
      </c>
      <c r="H202" s="21"/>
      <c r="I202" s="21"/>
      <c r="J202" s="21"/>
      <c r="K202" s="21"/>
      <c r="L202" s="21"/>
      <c r="M202" s="21"/>
    </row>
    <row r="203" customFormat="false" ht="15.75" hidden="false" customHeight="true" outlineLevel="0" collapsed="false">
      <c r="A203" s="91" t="s">
        <v>1755</v>
      </c>
      <c r="B203" s="18" t="s">
        <v>1756</v>
      </c>
      <c r="C203" s="91" t="s">
        <v>1751</v>
      </c>
      <c r="D203" s="19" t="s">
        <v>1789</v>
      </c>
      <c r="E203" s="92" t="n">
        <v>20</v>
      </c>
      <c r="F203" s="92" t="n">
        <f aca="false">E203/10</f>
        <v>2</v>
      </c>
      <c r="G203" s="21" t="s">
        <v>1752</v>
      </c>
      <c r="H203" s="21"/>
      <c r="I203" s="21"/>
      <c r="J203" s="21"/>
      <c r="K203" s="21"/>
      <c r="L203" s="21"/>
      <c r="M203" s="21"/>
    </row>
    <row r="204" customFormat="false" ht="15.75" hidden="false" customHeight="true" outlineLevel="0" collapsed="false">
      <c r="A204" s="91" t="s">
        <v>1755</v>
      </c>
      <c r="B204" s="18" t="s">
        <v>1756</v>
      </c>
      <c r="C204" s="91" t="s">
        <v>1753</v>
      </c>
      <c r="D204" s="19" t="s">
        <v>1789</v>
      </c>
      <c r="E204" s="92" t="n">
        <v>0</v>
      </c>
      <c r="F204" s="92" t="n">
        <f aca="false">E204/10</f>
        <v>0</v>
      </c>
      <c r="G204" s="21" t="s">
        <v>1754</v>
      </c>
      <c r="H204" s="21"/>
      <c r="I204" s="21"/>
      <c r="J204" s="21"/>
      <c r="K204" s="21"/>
      <c r="L204" s="21"/>
      <c r="M204" s="21"/>
    </row>
    <row r="205" customFormat="false" ht="15.75" hidden="false" customHeight="true" outlineLevel="0" collapsed="false">
      <c r="A205" s="91" t="s">
        <v>1740</v>
      </c>
      <c r="B205" s="18" t="s">
        <v>1722</v>
      </c>
      <c r="C205" s="91" t="s">
        <v>1706</v>
      </c>
      <c r="D205" s="19" t="s">
        <v>1787</v>
      </c>
      <c r="E205" s="92" t="n">
        <v>0</v>
      </c>
      <c r="F205" s="92" t="n">
        <f aca="false">E205/10</f>
        <v>0</v>
      </c>
      <c r="G205" s="21" t="s">
        <v>1707</v>
      </c>
      <c r="H205" s="21"/>
      <c r="I205" s="21"/>
      <c r="J205" s="21"/>
      <c r="K205" s="21"/>
      <c r="L205" s="21"/>
      <c r="M205" s="21"/>
    </row>
    <row r="206" customFormat="false" ht="15.75" hidden="false" customHeight="true" outlineLevel="0" collapsed="false">
      <c r="A206" s="91" t="s">
        <v>1740</v>
      </c>
      <c r="B206" s="18" t="s">
        <v>1722</v>
      </c>
      <c r="C206" s="91" t="s">
        <v>1711</v>
      </c>
      <c r="D206" s="19" t="s">
        <v>1787</v>
      </c>
      <c r="E206" s="92" t="n">
        <v>0</v>
      </c>
      <c r="F206" s="92" t="n">
        <f aca="false">E206/10</f>
        <v>0</v>
      </c>
      <c r="G206" s="21" t="s">
        <v>1712</v>
      </c>
      <c r="H206" s="21"/>
      <c r="I206" s="21"/>
      <c r="J206" s="21"/>
      <c r="K206" s="21"/>
      <c r="L206" s="21"/>
      <c r="M206" s="21"/>
    </row>
    <row r="207" customFormat="false" ht="15.75" hidden="false" customHeight="true" outlineLevel="0" collapsed="false">
      <c r="A207" s="91" t="s">
        <v>1740</v>
      </c>
      <c r="B207" s="18" t="s">
        <v>1722</v>
      </c>
      <c r="C207" s="91" t="s">
        <v>1708</v>
      </c>
      <c r="D207" s="19" t="s">
        <v>1787</v>
      </c>
      <c r="E207" s="92" t="n">
        <v>0</v>
      </c>
      <c r="F207" s="92" t="n">
        <f aca="false">E207/10</f>
        <v>0</v>
      </c>
      <c r="G207" s="21" t="s">
        <v>1709</v>
      </c>
      <c r="H207" s="21"/>
      <c r="I207" s="21"/>
      <c r="J207" s="21"/>
      <c r="K207" s="21"/>
      <c r="L207" s="21"/>
      <c r="M207" s="21"/>
    </row>
    <row r="208" customFormat="false" ht="15.75" hidden="false" customHeight="true" outlineLevel="0" collapsed="false">
      <c r="A208" s="91" t="s">
        <v>1740</v>
      </c>
      <c r="B208" s="18" t="s">
        <v>1722</v>
      </c>
      <c r="C208" s="91" t="s">
        <v>1713</v>
      </c>
      <c r="D208" s="19" t="s">
        <v>1787</v>
      </c>
      <c r="E208" s="92" t="n">
        <v>0</v>
      </c>
      <c r="F208" s="92" t="n">
        <f aca="false">E208/10</f>
        <v>0</v>
      </c>
      <c r="G208" s="21" t="s">
        <v>1714</v>
      </c>
      <c r="H208" s="21"/>
      <c r="I208" s="21"/>
      <c r="J208" s="21"/>
      <c r="K208" s="21"/>
      <c r="L208" s="21"/>
      <c r="M208" s="21"/>
    </row>
    <row r="209" customFormat="false" ht="15.75" hidden="false" customHeight="true" outlineLevel="0" collapsed="false">
      <c r="A209" s="91" t="s">
        <v>1740</v>
      </c>
      <c r="B209" s="18" t="s">
        <v>1722</v>
      </c>
      <c r="C209" s="91" t="s">
        <v>1646</v>
      </c>
      <c r="D209" s="19" t="s">
        <v>1787</v>
      </c>
      <c r="E209" s="92" t="n">
        <v>0</v>
      </c>
      <c r="F209" s="92" t="n">
        <f aca="false">E209/10</f>
        <v>0</v>
      </c>
      <c r="G209" s="21" t="s">
        <v>1647</v>
      </c>
      <c r="H209" s="21"/>
      <c r="I209" s="21"/>
      <c r="J209" s="21"/>
      <c r="K209" s="21"/>
      <c r="L209" s="21"/>
      <c r="M209" s="21"/>
    </row>
    <row r="210" customFormat="false" ht="15.75" hidden="false" customHeight="true" outlineLevel="0" collapsed="false">
      <c r="A210" s="91" t="s">
        <v>1740</v>
      </c>
      <c r="B210" s="18" t="s">
        <v>1722</v>
      </c>
      <c r="C210" s="91" t="s">
        <v>1701</v>
      </c>
      <c r="D210" s="19" t="s">
        <v>1787</v>
      </c>
      <c r="E210" s="92" t="n">
        <v>0</v>
      </c>
      <c r="F210" s="92" t="n">
        <f aca="false">E210/10</f>
        <v>0</v>
      </c>
      <c r="G210" s="21" t="s">
        <v>1702</v>
      </c>
      <c r="H210" s="21"/>
      <c r="I210" s="21"/>
      <c r="J210" s="21"/>
      <c r="K210" s="21"/>
      <c r="L210" s="21"/>
      <c r="M210" s="21"/>
    </row>
    <row r="211" customFormat="false" ht="15.75" hidden="false" customHeight="true" outlineLevel="0" collapsed="false">
      <c r="A211" s="91" t="s">
        <v>1740</v>
      </c>
      <c r="B211" s="18" t="s">
        <v>1722</v>
      </c>
      <c r="C211" s="91" t="s">
        <v>1703</v>
      </c>
      <c r="D211" s="19" t="s">
        <v>1787</v>
      </c>
      <c r="E211" s="92" t="n">
        <v>0</v>
      </c>
      <c r="F211" s="92" t="n">
        <f aca="false">E211/10</f>
        <v>0</v>
      </c>
      <c r="G211" s="21" t="s">
        <v>1704</v>
      </c>
      <c r="H211" s="21"/>
      <c r="I211" s="21"/>
      <c r="J211" s="21"/>
      <c r="K211" s="21"/>
      <c r="L211" s="21"/>
      <c r="M211" s="21"/>
    </row>
    <row r="212" customFormat="false" ht="15.75" hidden="false" customHeight="true" outlineLevel="0" collapsed="false">
      <c r="A212" s="91" t="s">
        <v>1740</v>
      </c>
      <c r="B212" s="18" t="s">
        <v>1722</v>
      </c>
      <c r="C212" s="91" t="s">
        <v>1736</v>
      </c>
      <c r="D212" s="19" t="s">
        <v>1788</v>
      </c>
      <c r="E212" s="92" t="n">
        <v>20</v>
      </c>
      <c r="F212" s="92" t="n">
        <f aca="false">E212/10</f>
        <v>2</v>
      </c>
      <c r="G212" s="21" t="s">
        <v>1737</v>
      </c>
      <c r="H212" s="21"/>
      <c r="I212" s="21"/>
      <c r="J212" s="21"/>
      <c r="K212" s="21"/>
      <c r="L212" s="21"/>
      <c r="M212" s="21"/>
    </row>
    <row r="213" customFormat="false" ht="15.75" hidden="false" customHeight="true" outlineLevel="0" collapsed="false">
      <c r="A213" s="91" t="s">
        <v>1740</v>
      </c>
      <c r="B213" s="18" t="s">
        <v>1722</v>
      </c>
      <c r="C213" s="91" t="s">
        <v>1741</v>
      </c>
      <c r="D213" s="19" t="s">
        <v>1788</v>
      </c>
      <c r="E213" s="92" t="n">
        <v>0</v>
      </c>
      <c r="F213" s="92" t="n">
        <f aca="false">E213/10</f>
        <v>0</v>
      </c>
      <c r="G213" s="21" t="s">
        <v>1742</v>
      </c>
      <c r="H213" s="21"/>
      <c r="I213" s="21"/>
      <c r="J213" s="21"/>
      <c r="K213" s="21"/>
      <c r="L213" s="21"/>
      <c r="M213" s="21"/>
    </row>
    <row r="214" customFormat="false" ht="15.75" hidden="false" customHeight="true" outlineLevel="0" collapsed="false">
      <c r="A214" s="91" t="s">
        <v>1743</v>
      </c>
      <c r="B214" s="18" t="s">
        <v>1733</v>
      </c>
      <c r="C214" s="91" t="s">
        <v>1740</v>
      </c>
      <c r="D214" s="19" t="s">
        <v>1787</v>
      </c>
      <c r="E214" s="92" t="n">
        <v>0</v>
      </c>
      <c r="F214" s="92" t="n">
        <f aca="false">E214/10</f>
        <v>0</v>
      </c>
      <c r="G214" s="21" t="s">
        <v>1722</v>
      </c>
      <c r="H214" s="21"/>
      <c r="I214" s="21"/>
      <c r="J214" s="21"/>
      <c r="K214" s="21"/>
      <c r="L214" s="21"/>
      <c r="M214" s="21"/>
    </row>
    <row r="215" customFormat="false" ht="15.75" hidden="false" customHeight="true" outlineLevel="0" collapsed="false">
      <c r="A215" s="91" t="s">
        <v>1743</v>
      </c>
      <c r="B215" s="18" t="s">
        <v>1733</v>
      </c>
      <c r="C215" s="91" t="s">
        <v>1646</v>
      </c>
      <c r="D215" s="19" t="s">
        <v>1787</v>
      </c>
      <c r="E215" s="92" t="n">
        <v>0</v>
      </c>
      <c r="F215" s="92" t="n">
        <f aca="false">E215/10</f>
        <v>0</v>
      </c>
      <c r="G215" s="21" t="s">
        <v>1647</v>
      </c>
      <c r="H215" s="21"/>
      <c r="I215" s="21"/>
      <c r="J215" s="21"/>
      <c r="K215" s="21"/>
      <c r="L215" s="21"/>
      <c r="M215" s="21"/>
    </row>
    <row r="216" customFormat="false" ht="15.75" hidden="false" customHeight="true" outlineLevel="0" collapsed="false">
      <c r="A216" s="91" t="s">
        <v>1759</v>
      </c>
      <c r="B216" s="18" t="s">
        <v>1745</v>
      </c>
      <c r="C216" s="91" t="s">
        <v>1746</v>
      </c>
      <c r="D216" s="19" t="s">
        <v>1787</v>
      </c>
      <c r="E216" s="92" t="n">
        <v>0</v>
      </c>
      <c r="F216" s="92" t="n">
        <f aca="false">E216/10</f>
        <v>0</v>
      </c>
      <c r="G216" s="21" t="s">
        <v>1735</v>
      </c>
      <c r="H216" s="21"/>
      <c r="I216" s="21"/>
      <c r="J216" s="21"/>
      <c r="K216" s="21"/>
      <c r="L216" s="21"/>
      <c r="M216" s="21"/>
    </row>
    <row r="217" customFormat="false" ht="15.75" hidden="false" customHeight="true" outlineLevel="0" collapsed="false">
      <c r="A217" s="91" t="s">
        <v>1760</v>
      </c>
      <c r="B217" s="18" t="s">
        <v>1752</v>
      </c>
      <c r="C217" s="91" t="s">
        <v>1759</v>
      </c>
      <c r="D217" s="19" t="s">
        <v>1787</v>
      </c>
      <c r="E217" s="92" t="n">
        <v>0</v>
      </c>
      <c r="F217" s="92" t="n">
        <f aca="false">E217/10</f>
        <v>0</v>
      </c>
      <c r="G217" s="21" t="s">
        <v>1745</v>
      </c>
      <c r="H217" s="21"/>
      <c r="I217" s="21"/>
      <c r="J217" s="21"/>
      <c r="K217" s="21"/>
      <c r="L217" s="21"/>
      <c r="M217" s="21"/>
    </row>
    <row r="218" customFormat="false" ht="15.75" hidden="false" customHeight="true" outlineLevel="0" collapsed="false">
      <c r="A218" s="91" t="s">
        <v>1746</v>
      </c>
      <c r="B218" s="18" t="s">
        <v>1735</v>
      </c>
      <c r="C218" s="91" t="s">
        <v>1743</v>
      </c>
      <c r="D218" s="19" t="s">
        <v>1789</v>
      </c>
      <c r="E218" s="92" t="n">
        <v>50</v>
      </c>
      <c r="F218" s="92" t="n">
        <f aca="false">E218/10</f>
        <v>5</v>
      </c>
      <c r="G218" s="21" t="s">
        <v>1733</v>
      </c>
      <c r="H218" s="21"/>
      <c r="I218" s="21"/>
      <c r="J218" s="21"/>
      <c r="K218" s="21"/>
      <c r="L218" s="21"/>
      <c r="M218" s="21"/>
    </row>
    <row r="219" customFormat="false" ht="15.75" hidden="false" customHeight="true" outlineLevel="0" collapsed="false">
      <c r="A219" s="91" t="s">
        <v>1746</v>
      </c>
      <c r="B219" s="18" t="s">
        <v>1735</v>
      </c>
      <c r="C219" s="91" t="s">
        <v>1743</v>
      </c>
      <c r="D219" s="19" t="s">
        <v>1788</v>
      </c>
      <c r="E219" s="92" t="n">
        <v>20</v>
      </c>
      <c r="F219" s="92" t="n">
        <f aca="false">E219/10</f>
        <v>2</v>
      </c>
      <c r="G219" s="21" t="s">
        <v>1733</v>
      </c>
      <c r="H219" s="21"/>
      <c r="I219" s="21"/>
      <c r="J219" s="21"/>
      <c r="K219" s="21"/>
      <c r="L219" s="21"/>
      <c r="M219" s="21"/>
    </row>
    <row r="220" customFormat="false" ht="15.75" hidden="false" customHeight="true" outlineLevel="0" collapsed="false">
      <c r="A220" s="91" t="s">
        <v>1763</v>
      </c>
      <c r="B220" s="18" t="s">
        <v>1758</v>
      </c>
      <c r="C220" s="91" t="s">
        <v>1760</v>
      </c>
      <c r="D220" s="19" t="s">
        <v>1787</v>
      </c>
      <c r="E220" s="92" t="n">
        <v>0</v>
      </c>
      <c r="F220" s="92" t="n">
        <f aca="false">E220/10</f>
        <v>0</v>
      </c>
      <c r="G220" s="21" t="s">
        <v>1752</v>
      </c>
      <c r="H220" s="21"/>
      <c r="I220" s="21"/>
      <c r="J220" s="21"/>
      <c r="K220" s="21"/>
      <c r="L220" s="21"/>
      <c r="M220" s="21"/>
    </row>
    <row r="221" customFormat="false" ht="15.75" hidden="false" customHeight="true" outlineLevel="0" collapsed="false">
      <c r="A221" s="91" t="s">
        <v>1763</v>
      </c>
      <c r="B221" s="18" t="s">
        <v>1758</v>
      </c>
      <c r="C221" s="91" t="s">
        <v>1761</v>
      </c>
      <c r="D221" s="19" t="s">
        <v>1788</v>
      </c>
      <c r="E221" s="92" t="n">
        <v>30</v>
      </c>
      <c r="F221" s="92" t="n">
        <f aca="false">E221/10</f>
        <v>3</v>
      </c>
      <c r="G221" s="21" t="s">
        <v>1754</v>
      </c>
      <c r="H221" s="21"/>
      <c r="I221" s="21"/>
      <c r="J221" s="21"/>
      <c r="K221" s="21"/>
      <c r="L221" s="21"/>
      <c r="M221" s="21"/>
    </row>
    <row r="222" customFormat="false" ht="15.75" hidden="false" customHeight="true" outlineLevel="0" collapsed="false">
      <c r="A222" s="91" t="s">
        <v>1763</v>
      </c>
      <c r="B222" s="18" t="s">
        <v>1758</v>
      </c>
      <c r="C222" s="91" t="s">
        <v>1693</v>
      </c>
      <c r="D222" s="19" t="s">
        <v>1787</v>
      </c>
      <c r="E222" s="92" t="n">
        <v>0</v>
      </c>
      <c r="F222" s="92" t="n">
        <f aca="false">E222/10</f>
        <v>0</v>
      </c>
      <c r="G222" s="21" t="s">
        <v>1694</v>
      </c>
      <c r="H222" s="21"/>
      <c r="I222" s="21"/>
      <c r="J222" s="21"/>
      <c r="K222" s="21"/>
      <c r="L222" s="21"/>
      <c r="M222" s="21"/>
    </row>
    <row r="223" customFormat="false" ht="15.75" hidden="false" customHeight="true" outlineLevel="0" collapsed="false">
      <c r="A223" s="91" t="s">
        <v>1763</v>
      </c>
      <c r="B223" s="18" t="s">
        <v>1758</v>
      </c>
      <c r="C223" s="91" t="s">
        <v>1695</v>
      </c>
      <c r="D223" s="19" t="s">
        <v>1787</v>
      </c>
      <c r="E223" s="92" t="n">
        <v>0</v>
      </c>
      <c r="F223" s="92" t="n">
        <f aca="false">E223/10</f>
        <v>0</v>
      </c>
      <c r="G223" s="21" t="s">
        <v>1696</v>
      </c>
      <c r="H223" s="21"/>
      <c r="I223" s="21"/>
      <c r="J223" s="21"/>
      <c r="K223" s="21"/>
      <c r="L223" s="21"/>
      <c r="M223" s="21"/>
    </row>
    <row r="224" customFormat="false" ht="15.75" hidden="false" customHeight="true" outlineLevel="0" collapsed="false">
      <c r="A224" s="91" t="s">
        <v>1763</v>
      </c>
      <c r="B224" s="18" t="s">
        <v>1758</v>
      </c>
      <c r="C224" s="91" t="s">
        <v>1724</v>
      </c>
      <c r="D224" s="19" t="s">
        <v>1787</v>
      </c>
      <c r="E224" s="92" t="n">
        <v>0</v>
      </c>
      <c r="F224" s="92" t="n">
        <f aca="false">E224/10</f>
        <v>0</v>
      </c>
      <c r="G224" s="21" t="s">
        <v>1725</v>
      </c>
      <c r="H224" s="21"/>
      <c r="I224" s="21"/>
      <c r="J224" s="21"/>
      <c r="K224" s="21"/>
      <c r="L224" s="21"/>
      <c r="M224" s="21"/>
    </row>
    <row r="225" customFormat="false" ht="15.75" hidden="false" customHeight="true" outlineLevel="0" collapsed="false">
      <c r="A225" s="91" t="s">
        <v>1763</v>
      </c>
      <c r="B225" s="18" t="s">
        <v>1758</v>
      </c>
      <c r="C225" s="91" t="s">
        <v>1749</v>
      </c>
      <c r="D225" s="19" t="s">
        <v>1787</v>
      </c>
      <c r="E225" s="92" t="n">
        <v>0</v>
      </c>
      <c r="F225" s="92" t="n">
        <f aca="false">E225/10</f>
        <v>0</v>
      </c>
      <c r="G225" s="21" t="s">
        <v>1750</v>
      </c>
      <c r="H225" s="21"/>
      <c r="I225" s="21"/>
      <c r="J225" s="21"/>
      <c r="K225" s="21"/>
      <c r="L225" s="21"/>
      <c r="M225" s="21"/>
    </row>
    <row r="226" customFormat="false" ht="15.75" hidden="false" customHeight="true" outlineLevel="0" collapsed="false">
      <c r="A226" s="91" t="s">
        <v>1761</v>
      </c>
      <c r="B226" s="18" t="s">
        <v>1754</v>
      </c>
      <c r="C226" s="91" t="s">
        <v>1760</v>
      </c>
      <c r="D226" s="19" t="s">
        <v>1789</v>
      </c>
      <c r="E226" s="92" t="n">
        <v>20</v>
      </c>
      <c r="F226" s="92" t="n">
        <f aca="false">E226/10</f>
        <v>2</v>
      </c>
      <c r="G226" s="21" t="s">
        <v>1752</v>
      </c>
      <c r="H226" s="21"/>
      <c r="I226" s="21"/>
      <c r="J226" s="21"/>
      <c r="K226" s="21"/>
      <c r="L226" s="21"/>
      <c r="M226" s="21"/>
    </row>
    <row r="227" customFormat="false" ht="15.75" hidden="false" customHeight="true" outlineLevel="0" collapsed="false">
      <c r="A227" s="91" t="s">
        <v>1762</v>
      </c>
      <c r="B227" s="18" t="s">
        <v>1756</v>
      </c>
      <c r="C227" s="91" t="s">
        <v>1760</v>
      </c>
      <c r="D227" s="19" t="s">
        <v>1789</v>
      </c>
      <c r="E227" s="92" t="n">
        <v>20</v>
      </c>
      <c r="F227" s="92" t="n">
        <f aca="false">E227/10</f>
        <v>2</v>
      </c>
      <c r="G227" s="21" t="s">
        <v>1752</v>
      </c>
      <c r="H227" s="21"/>
      <c r="I227" s="21"/>
      <c r="J227" s="21"/>
      <c r="K227" s="21"/>
      <c r="L227" s="21"/>
      <c r="M227" s="21"/>
    </row>
    <row r="228" customFormat="false" ht="15.75" hidden="false" customHeight="true" outlineLevel="0" collapsed="false">
      <c r="A228" s="91" t="s">
        <v>1762</v>
      </c>
      <c r="B228" s="18" t="s">
        <v>1756</v>
      </c>
      <c r="C228" s="91" t="s">
        <v>1761</v>
      </c>
      <c r="D228" s="19" t="s">
        <v>1789</v>
      </c>
      <c r="E228" s="92" t="n">
        <v>0</v>
      </c>
      <c r="F228" s="92" t="n">
        <f aca="false">E228/10</f>
        <v>0</v>
      </c>
      <c r="G228" s="21" t="s">
        <v>1754</v>
      </c>
      <c r="H228" s="21"/>
      <c r="I228" s="21"/>
      <c r="J228" s="21"/>
      <c r="K228" s="21"/>
      <c r="L228" s="21"/>
      <c r="M228" s="21"/>
    </row>
    <row r="229" customFormat="false" ht="15.75" hidden="false" customHeight="true" outlineLevel="0" collapsed="false">
      <c r="A229" s="91" t="s">
        <v>1419</v>
      </c>
      <c r="B229" s="18" t="s">
        <v>1766</v>
      </c>
      <c r="C229" s="91" t="s">
        <v>1764</v>
      </c>
      <c r="D229" s="19" t="s">
        <v>1787</v>
      </c>
      <c r="E229" s="92" t="n">
        <v>0</v>
      </c>
      <c r="F229" s="92" t="n">
        <f aca="false">E229/10</f>
        <v>0</v>
      </c>
      <c r="G229" s="21" t="s">
        <v>1765</v>
      </c>
      <c r="H229" s="21"/>
      <c r="I229" s="21"/>
      <c r="J229" s="21"/>
      <c r="K229" s="21"/>
      <c r="L229" s="21"/>
      <c r="M229" s="21"/>
    </row>
    <row r="230" customFormat="false" ht="15.75" hidden="false" customHeight="true" outlineLevel="0" collapsed="false">
      <c r="A230" s="91" t="s">
        <v>1419</v>
      </c>
      <c r="B230" s="18" t="s">
        <v>1766</v>
      </c>
      <c r="C230" s="91" t="s">
        <v>1755</v>
      </c>
      <c r="D230" s="19" t="s">
        <v>1787</v>
      </c>
      <c r="E230" s="92" t="n">
        <v>0</v>
      </c>
      <c r="F230" s="92" t="n">
        <f aca="false">E230/10</f>
        <v>0</v>
      </c>
      <c r="G230" s="21" t="s">
        <v>1756</v>
      </c>
      <c r="H230" s="21"/>
      <c r="I230" s="21"/>
      <c r="J230" s="21"/>
      <c r="K230" s="21"/>
      <c r="L230" s="21"/>
      <c r="M230" s="21"/>
    </row>
    <row r="231" customFormat="false" ht="15.75" hidden="false" customHeight="true" outlineLevel="0" collapsed="false">
      <c r="A231" s="91" t="s">
        <v>1419</v>
      </c>
      <c r="B231" s="18" t="s">
        <v>1766</v>
      </c>
      <c r="C231" s="91" t="s">
        <v>1763</v>
      </c>
      <c r="D231" s="19" t="s">
        <v>1787</v>
      </c>
      <c r="E231" s="92" t="n">
        <v>0</v>
      </c>
      <c r="F231" s="92" t="n">
        <f aca="false">E231/10</f>
        <v>0</v>
      </c>
      <c r="G231" s="21" t="s">
        <v>1758</v>
      </c>
      <c r="H231" s="21"/>
      <c r="I231" s="21"/>
      <c r="J231" s="21"/>
      <c r="K231" s="21"/>
      <c r="L231" s="21"/>
      <c r="M231" s="21"/>
    </row>
    <row r="232" customFormat="false" ht="15.75" hidden="false" customHeight="true" outlineLevel="0" collapsed="false">
      <c r="A232" s="91" t="s">
        <v>1767</v>
      </c>
      <c r="B232" s="18" t="s">
        <v>1768</v>
      </c>
      <c r="C232" s="91" t="s">
        <v>1764</v>
      </c>
      <c r="D232" s="19" t="s">
        <v>1787</v>
      </c>
      <c r="E232" s="92" t="n">
        <v>0</v>
      </c>
      <c r="F232" s="92" t="n">
        <f aca="false">E232/10</f>
        <v>0</v>
      </c>
      <c r="G232" s="21" t="s">
        <v>1765</v>
      </c>
      <c r="H232" s="21"/>
      <c r="I232" s="21"/>
      <c r="J232" s="21"/>
      <c r="K232" s="21"/>
      <c r="L232" s="21"/>
      <c r="M232" s="21"/>
    </row>
    <row r="233" customFormat="false" ht="15.75" hidden="false" customHeight="true" outlineLevel="0" collapsed="false">
      <c r="A233" s="91" t="s">
        <v>1767</v>
      </c>
      <c r="B233" s="18" t="s">
        <v>1768</v>
      </c>
      <c r="C233" s="91" t="s">
        <v>1757</v>
      </c>
      <c r="D233" s="19" t="s">
        <v>1787</v>
      </c>
      <c r="E233" s="92" t="n">
        <v>0</v>
      </c>
      <c r="F233" s="92" t="n">
        <f aca="false">E233/10</f>
        <v>0</v>
      </c>
      <c r="G233" s="21" t="s">
        <v>1758</v>
      </c>
      <c r="H233" s="21"/>
      <c r="I233" s="21"/>
      <c r="J233" s="21"/>
      <c r="K233" s="21"/>
      <c r="L233" s="21"/>
      <c r="M233" s="21"/>
    </row>
    <row r="234" customFormat="false" ht="15.75" hidden="false" customHeight="true" outlineLevel="0" collapsed="false">
      <c r="A234" s="91" t="s">
        <v>1767</v>
      </c>
      <c r="B234" s="18" t="s">
        <v>1768</v>
      </c>
      <c r="C234" s="91" t="s">
        <v>1755</v>
      </c>
      <c r="D234" s="19" t="s">
        <v>1787</v>
      </c>
      <c r="E234" s="92" t="n">
        <v>0</v>
      </c>
      <c r="F234" s="92" t="n">
        <f aca="false">E234/10</f>
        <v>0</v>
      </c>
      <c r="G234" s="21" t="s">
        <v>1756</v>
      </c>
      <c r="H234" s="21"/>
      <c r="I234" s="21"/>
      <c r="J234" s="21"/>
      <c r="K234" s="21"/>
      <c r="L234" s="21"/>
      <c r="M234" s="21"/>
    </row>
    <row r="235" customFormat="false" ht="15.75" hidden="false" customHeight="true" outlineLevel="0" collapsed="false">
      <c r="A235" s="91" t="s">
        <v>1767</v>
      </c>
      <c r="B235" s="18" t="s">
        <v>1768</v>
      </c>
      <c r="C235" s="91" t="s">
        <v>1419</v>
      </c>
      <c r="D235" s="19" t="s">
        <v>1787</v>
      </c>
      <c r="E235" s="92" t="n">
        <v>0</v>
      </c>
      <c r="F235" s="92" t="n">
        <f aca="false">E235/10</f>
        <v>0</v>
      </c>
      <c r="G235" s="21" t="s">
        <v>1766</v>
      </c>
      <c r="H235" s="21"/>
      <c r="I235" s="21"/>
      <c r="J235" s="21"/>
      <c r="K235" s="21"/>
      <c r="L235" s="21"/>
      <c r="M235" s="21"/>
    </row>
    <row r="236" customFormat="false" ht="15.75" hidden="false" customHeight="true" outlineLevel="0" collapsed="false">
      <c r="A236" s="91" t="s">
        <v>1769</v>
      </c>
      <c r="B236" s="18" t="s">
        <v>1770</v>
      </c>
      <c r="C236" s="91" t="s">
        <v>1757</v>
      </c>
      <c r="D236" s="19" t="s">
        <v>1787</v>
      </c>
      <c r="E236" s="92" t="n">
        <v>0</v>
      </c>
      <c r="F236" s="92" t="n">
        <f aca="false">E236/10</f>
        <v>0</v>
      </c>
      <c r="G236" s="21" t="s">
        <v>1758</v>
      </c>
      <c r="H236" s="21"/>
      <c r="I236" s="21"/>
      <c r="J236" s="21"/>
      <c r="K236" s="21"/>
      <c r="L236" s="21"/>
      <c r="M236" s="21"/>
    </row>
    <row r="237" customFormat="false" ht="15.75" hidden="false" customHeight="true" outlineLevel="0" collapsed="false">
      <c r="A237" s="91" t="s">
        <v>1769</v>
      </c>
      <c r="B237" s="18" t="s">
        <v>1770</v>
      </c>
      <c r="C237" s="91" t="s">
        <v>1763</v>
      </c>
      <c r="D237" s="19" t="s">
        <v>1787</v>
      </c>
      <c r="E237" s="92" t="n">
        <v>0</v>
      </c>
      <c r="F237" s="92" t="n">
        <f aca="false">E237/10</f>
        <v>0</v>
      </c>
      <c r="G237" s="21" t="s">
        <v>1758</v>
      </c>
      <c r="H237" s="21"/>
      <c r="I237" s="21"/>
      <c r="J237" s="21"/>
      <c r="K237" s="21"/>
      <c r="L237" s="21"/>
      <c r="M237" s="21"/>
    </row>
    <row r="238" customFormat="false" ht="15.75" hidden="false" customHeight="true" outlineLevel="0" collapsed="false">
      <c r="A238" s="91" t="s">
        <v>1769</v>
      </c>
      <c r="B238" s="18" t="s">
        <v>1770</v>
      </c>
      <c r="C238" s="91" t="s">
        <v>1761</v>
      </c>
      <c r="D238" s="19" t="s">
        <v>1787</v>
      </c>
      <c r="E238" s="92" t="n">
        <v>0</v>
      </c>
      <c r="F238" s="92" t="n">
        <f aca="false">E238/10</f>
        <v>0</v>
      </c>
      <c r="G238" s="21" t="s">
        <v>1754</v>
      </c>
      <c r="H238" s="21"/>
      <c r="I238" s="21"/>
      <c r="J238" s="21"/>
      <c r="K238" s="21"/>
      <c r="L238" s="21"/>
      <c r="M238" s="21"/>
    </row>
    <row r="239" customFormat="false" ht="15.75" hidden="false" customHeight="true" outlineLevel="0" collapsed="false">
      <c r="A239" s="91" t="s">
        <v>1769</v>
      </c>
      <c r="B239" s="18" t="s">
        <v>1770</v>
      </c>
      <c r="C239" s="91" t="s">
        <v>1762</v>
      </c>
      <c r="D239" s="19" t="s">
        <v>1787</v>
      </c>
      <c r="E239" s="92" t="n">
        <v>0</v>
      </c>
      <c r="F239" s="92" t="n">
        <f aca="false">E239/10</f>
        <v>0</v>
      </c>
      <c r="G239" s="21" t="s">
        <v>1756</v>
      </c>
      <c r="H239" s="21"/>
      <c r="I239" s="21"/>
      <c r="J239" s="21"/>
      <c r="K239" s="21"/>
      <c r="L239" s="21"/>
      <c r="M239" s="21"/>
    </row>
    <row r="240" customFormat="false" ht="15.75" hidden="false" customHeight="true" outlineLevel="0" collapsed="false">
      <c r="A240" s="91" t="s">
        <v>1769</v>
      </c>
      <c r="B240" s="18" t="s">
        <v>1770</v>
      </c>
      <c r="C240" s="91" t="s">
        <v>1419</v>
      </c>
      <c r="D240" s="19" t="s">
        <v>1787</v>
      </c>
      <c r="E240" s="92" t="n">
        <v>0</v>
      </c>
      <c r="F240" s="92" t="n">
        <f aca="false">E240/10</f>
        <v>0</v>
      </c>
      <c r="G240" s="21" t="s">
        <v>1766</v>
      </c>
      <c r="H240" s="21"/>
      <c r="I240" s="21"/>
      <c r="J240" s="21"/>
      <c r="K240" s="21"/>
      <c r="L240" s="21"/>
      <c r="M240" s="21"/>
    </row>
    <row r="241" customFormat="false" ht="15.75" hidden="false" customHeight="true" outlineLevel="0" collapsed="false">
      <c r="A241" s="91" t="s">
        <v>1769</v>
      </c>
      <c r="B241" s="18" t="s">
        <v>1770</v>
      </c>
      <c r="C241" s="91" t="s">
        <v>1699</v>
      </c>
      <c r="D241" s="19" t="s">
        <v>1787</v>
      </c>
      <c r="E241" s="92" t="n">
        <v>0</v>
      </c>
      <c r="F241" s="92" t="n">
        <f aca="false">E241/10</f>
        <v>0</v>
      </c>
      <c r="G241" s="21" t="s">
        <v>1700</v>
      </c>
      <c r="H241" s="21"/>
      <c r="I241" s="21"/>
      <c r="J241" s="21"/>
      <c r="K241" s="21"/>
      <c r="L241" s="21"/>
      <c r="M241" s="21"/>
    </row>
    <row r="242" customFormat="false" ht="15.75" hidden="false" customHeight="true" outlineLevel="0" collapsed="false">
      <c r="A242" s="91" t="s">
        <v>1769</v>
      </c>
      <c r="B242" s="18" t="s">
        <v>1770</v>
      </c>
      <c r="C242" s="91" t="s">
        <v>1703</v>
      </c>
      <c r="D242" s="19" t="s">
        <v>1787</v>
      </c>
      <c r="E242" s="92" t="n">
        <v>0</v>
      </c>
      <c r="F242" s="92" t="n">
        <f aca="false">E242/10</f>
        <v>0</v>
      </c>
      <c r="G242" s="21" t="s">
        <v>1704</v>
      </c>
      <c r="H242" s="21"/>
      <c r="I242" s="21"/>
      <c r="J242" s="21"/>
      <c r="K242" s="21"/>
      <c r="L242" s="21"/>
      <c r="M242" s="21"/>
    </row>
    <row r="243" customFormat="false" ht="15.75" hidden="false" customHeight="true" outlineLevel="0" collapsed="false">
      <c r="A243" s="91" t="s">
        <v>1203</v>
      </c>
      <c r="B243" s="18" t="s">
        <v>1775</v>
      </c>
      <c r="C243" s="91" t="s">
        <v>1763</v>
      </c>
      <c r="D243" s="19" t="s">
        <v>1787</v>
      </c>
      <c r="E243" s="92" t="n">
        <v>0</v>
      </c>
      <c r="F243" s="92" t="n">
        <f aca="false">E243/10</f>
        <v>0</v>
      </c>
      <c r="G243" s="21" t="s">
        <v>1758</v>
      </c>
      <c r="H243" s="21"/>
      <c r="I243" s="21"/>
      <c r="J243" s="21"/>
      <c r="K243" s="21"/>
      <c r="L243" s="21"/>
      <c r="M243" s="21"/>
    </row>
    <row r="244" customFormat="false" ht="15.75" hidden="false" customHeight="true" outlineLevel="0" collapsed="false">
      <c r="A244" s="91" t="s">
        <v>1203</v>
      </c>
      <c r="B244" s="18" t="s">
        <v>1775</v>
      </c>
      <c r="C244" s="91" t="s">
        <v>1767</v>
      </c>
      <c r="D244" s="19" t="s">
        <v>1787</v>
      </c>
      <c r="E244" s="92" t="n">
        <v>0</v>
      </c>
      <c r="F244" s="92" t="n">
        <f aca="false">E244/10</f>
        <v>0</v>
      </c>
      <c r="G244" s="21" t="s">
        <v>1768</v>
      </c>
      <c r="H244" s="21"/>
      <c r="I244" s="21"/>
      <c r="J244" s="21"/>
      <c r="K244" s="21"/>
      <c r="L244" s="21"/>
      <c r="M244" s="21"/>
    </row>
    <row r="245" customFormat="false" ht="15.75" hidden="false" customHeight="true" outlineLevel="0" collapsed="false">
      <c r="A245" s="91" t="s">
        <v>1203</v>
      </c>
      <c r="B245" s="18" t="s">
        <v>1775</v>
      </c>
      <c r="C245" s="91" t="s">
        <v>1769</v>
      </c>
      <c r="D245" s="19" t="s">
        <v>1787</v>
      </c>
      <c r="E245" s="92" t="n">
        <v>0</v>
      </c>
      <c r="F245" s="92" t="n">
        <f aca="false">E245/10</f>
        <v>0</v>
      </c>
      <c r="G245" s="21" t="s">
        <v>1770</v>
      </c>
      <c r="H245" s="21"/>
      <c r="I245" s="21"/>
      <c r="J245" s="21"/>
      <c r="K245" s="21"/>
      <c r="L245" s="21"/>
      <c r="M245" s="21"/>
    </row>
    <row r="246" customFormat="false" ht="15.75" hidden="false" customHeight="true" outlineLevel="0" collapsed="false">
      <c r="A246" s="91" t="s">
        <v>1203</v>
      </c>
      <c r="B246" s="18" t="s">
        <v>1775</v>
      </c>
      <c r="C246" s="91" t="s">
        <v>1703</v>
      </c>
      <c r="D246" s="19" t="s">
        <v>1787</v>
      </c>
      <c r="E246" s="92" t="n">
        <v>0</v>
      </c>
      <c r="F246" s="92" t="n">
        <f aca="false">E246/10</f>
        <v>0</v>
      </c>
      <c r="G246" s="21" t="s">
        <v>1704</v>
      </c>
      <c r="H246" s="21"/>
      <c r="I246" s="21"/>
      <c r="J246" s="21"/>
      <c r="K246" s="21"/>
      <c r="L246" s="21"/>
      <c r="M246" s="21"/>
    </row>
    <row r="247" customFormat="false" ht="15.75" hidden="false" customHeight="true" outlineLevel="0" collapsed="false">
      <c r="A247" s="91" t="s">
        <v>1372</v>
      </c>
      <c r="B247" s="18" t="s">
        <v>1776</v>
      </c>
      <c r="C247" s="91" t="s">
        <v>1764</v>
      </c>
      <c r="D247" s="19" t="s">
        <v>1787</v>
      </c>
      <c r="E247" s="92" t="n">
        <v>0</v>
      </c>
      <c r="F247" s="92" t="n">
        <f aca="false">E247/10</f>
        <v>0</v>
      </c>
      <c r="G247" s="21" t="s">
        <v>1765</v>
      </c>
      <c r="H247" s="21"/>
      <c r="I247" s="21"/>
      <c r="J247" s="21"/>
      <c r="K247" s="21"/>
      <c r="L247" s="21"/>
      <c r="M247" s="21"/>
    </row>
    <row r="248" customFormat="false" ht="15.75" hidden="false" customHeight="true" outlineLevel="0" collapsed="false">
      <c r="A248" s="91" t="s">
        <v>1372</v>
      </c>
      <c r="B248" s="18" t="s">
        <v>1776</v>
      </c>
      <c r="C248" s="91" t="s">
        <v>1763</v>
      </c>
      <c r="D248" s="19" t="s">
        <v>1787</v>
      </c>
      <c r="E248" s="92" t="n">
        <v>0</v>
      </c>
      <c r="F248" s="92" t="n">
        <f aca="false">E248/10</f>
        <v>0</v>
      </c>
      <c r="G248" s="21" t="s">
        <v>1758</v>
      </c>
      <c r="H248" s="21"/>
      <c r="I248" s="21"/>
      <c r="J248" s="21"/>
      <c r="K248" s="21"/>
      <c r="L248" s="21"/>
      <c r="M248" s="21"/>
    </row>
    <row r="249" customFormat="false" ht="15.75" hidden="false" customHeight="true" outlineLevel="0" collapsed="false">
      <c r="A249" s="91" t="s">
        <v>1372</v>
      </c>
      <c r="B249" s="18" t="s">
        <v>1776</v>
      </c>
      <c r="C249" s="91" t="s">
        <v>1767</v>
      </c>
      <c r="D249" s="19" t="s">
        <v>1787</v>
      </c>
      <c r="E249" s="92" t="n">
        <v>0</v>
      </c>
      <c r="F249" s="92" t="n">
        <f aca="false">E249/10</f>
        <v>0</v>
      </c>
      <c r="G249" s="21" t="s">
        <v>1768</v>
      </c>
      <c r="H249" s="21"/>
      <c r="I249" s="21"/>
      <c r="J249" s="21"/>
      <c r="K249" s="21"/>
      <c r="L249" s="21"/>
      <c r="M249" s="21"/>
    </row>
    <row r="250" customFormat="false" ht="15.75" hidden="false" customHeight="true" outlineLevel="0" collapsed="false">
      <c r="A250" s="91" t="s">
        <v>1372</v>
      </c>
      <c r="B250" s="18" t="s">
        <v>1776</v>
      </c>
      <c r="C250" s="91" t="s">
        <v>1769</v>
      </c>
      <c r="D250" s="19" t="s">
        <v>1787</v>
      </c>
      <c r="E250" s="92" t="n">
        <v>0</v>
      </c>
      <c r="F250" s="92" t="n">
        <f aca="false">E250/10</f>
        <v>0</v>
      </c>
      <c r="G250" s="21" t="s">
        <v>1770</v>
      </c>
      <c r="H250" s="21"/>
      <c r="I250" s="21"/>
      <c r="J250" s="21"/>
      <c r="K250" s="21"/>
      <c r="L250" s="21"/>
      <c r="M250" s="21"/>
    </row>
    <row r="251" customFormat="false" ht="15.75" hidden="false" customHeight="true" outlineLevel="0" collapsed="false">
      <c r="A251" s="91" t="s">
        <v>1372</v>
      </c>
      <c r="B251" s="18" t="s">
        <v>1776</v>
      </c>
      <c r="C251" s="91" t="s">
        <v>1203</v>
      </c>
      <c r="D251" s="19" t="s">
        <v>1789</v>
      </c>
      <c r="E251" s="92" t="n">
        <v>0</v>
      </c>
      <c r="F251" s="92" t="n">
        <f aca="false">E251/10</f>
        <v>0</v>
      </c>
      <c r="G251" s="21" t="s">
        <v>1775</v>
      </c>
      <c r="H251" s="21"/>
      <c r="I251" s="21"/>
      <c r="J251" s="21"/>
      <c r="K251" s="21"/>
      <c r="L251" s="21"/>
      <c r="M251" s="21"/>
    </row>
    <row r="252" customFormat="false" ht="15.75" hidden="false" customHeight="true" outlineLevel="0" collapsed="false">
      <c r="A252" s="91" t="s">
        <v>1372</v>
      </c>
      <c r="B252" s="18" t="s">
        <v>1776</v>
      </c>
      <c r="C252" s="91" t="s">
        <v>1703</v>
      </c>
      <c r="D252" s="19" t="s">
        <v>1787</v>
      </c>
      <c r="E252" s="92" t="n">
        <v>0</v>
      </c>
      <c r="F252" s="92" t="n">
        <f aca="false">E252/10</f>
        <v>0</v>
      </c>
      <c r="G252" s="21" t="s">
        <v>1704</v>
      </c>
      <c r="H252" s="21"/>
      <c r="I252" s="21"/>
      <c r="J252" s="21"/>
      <c r="K252" s="21"/>
      <c r="L252" s="21"/>
      <c r="M252" s="21"/>
    </row>
    <row r="253" customFormat="false" ht="15.75" hidden="false" customHeight="true" outlineLevel="0" collapsed="false">
      <c r="A253" s="91" t="s">
        <v>1678</v>
      </c>
      <c r="B253" s="18" t="s">
        <v>1679</v>
      </c>
      <c r="C253" s="91" t="s">
        <v>1674</v>
      </c>
      <c r="D253" s="19" t="s">
        <v>1787</v>
      </c>
      <c r="E253" s="92" t="n">
        <v>0</v>
      </c>
      <c r="F253" s="92" t="n">
        <f aca="false">E253/10</f>
        <v>0</v>
      </c>
      <c r="G253" s="21" t="s">
        <v>1675</v>
      </c>
      <c r="H253" s="21"/>
      <c r="I253" s="21"/>
      <c r="J253" s="21"/>
      <c r="K253" s="21"/>
      <c r="L253" s="21"/>
      <c r="M253" s="21"/>
    </row>
    <row r="254" customFormat="false" ht="15.75" hidden="false" customHeight="true" outlineLevel="0" collapsed="false">
      <c r="A254" s="91" t="s">
        <v>1685</v>
      </c>
      <c r="B254" s="18" t="s">
        <v>1686</v>
      </c>
      <c r="C254" s="91" t="s">
        <v>1678</v>
      </c>
      <c r="D254" s="19" t="s">
        <v>1787</v>
      </c>
      <c r="E254" s="92" t="n">
        <v>0</v>
      </c>
      <c r="F254" s="92" t="n">
        <f aca="false">E254/10</f>
        <v>0</v>
      </c>
      <c r="G254" s="21" t="s">
        <v>1679</v>
      </c>
      <c r="H254" s="21"/>
      <c r="I254" s="21"/>
      <c r="J254" s="21"/>
      <c r="K254" s="21"/>
      <c r="L254" s="21"/>
      <c r="M254" s="21"/>
    </row>
    <row r="255" customFormat="false" ht="15.75" hidden="false" customHeight="true" outlineLevel="0" collapsed="false">
      <c r="A255" s="91" t="s">
        <v>1628</v>
      </c>
      <c r="B255" s="18" t="s">
        <v>1629</v>
      </c>
      <c r="C255" s="91" t="s">
        <v>1632</v>
      </c>
      <c r="D255" s="19" t="s">
        <v>1788</v>
      </c>
      <c r="E255" s="92" t="n">
        <v>0</v>
      </c>
      <c r="F255" s="92" t="n">
        <f aca="false">E255/10</f>
        <v>0</v>
      </c>
      <c r="G255" s="21" t="s">
        <v>1633</v>
      </c>
      <c r="H255" s="21"/>
      <c r="I255" s="21"/>
      <c r="J255" s="21"/>
      <c r="K255" s="21"/>
      <c r="L255" s="21"/>
      <c r="M255" s="21"/>
    </row>
    <row r="256" customFormat="false" ht="15.75" hidden="false" customHeight="true" outlineLevel="0" collapsed="false">
      <c r="A256" s="91" t="s">
        <v>1628</v>
      </c>
      <c r="B256" s="18" t="s">
        <v>1629</v>
      </c>
      <c r="C256" s="91" t="s">
        <v>1635</v>
      </c>
      <c r="D256" s="19" t="s">
        <v>1787</v>
      </c>
      <c r="E256" s="92" t="n">
        <v>0</v>
      </c>
      <c r="F256" s="92" t="n">
        <f aca="false">E256/10</f>
        <v>0</v>
      </c>
      <c r="G256" s="21" t="s">
        <v>1636</v>
      </c>
      <c r="H256" s="21"/>
      <c r="I256" s="21"/>
      <c r="J256" s="21"/>
      <c r="K256" s="21"/>
      <c r="L256" s="21"/>
      <c r="M256" s="21"/>
    </row>
    <row r="257" customFormat="false" ht="15.75" hidden="false" customHeight="true" outlineLevel="0" collapsed="false">
      <c r="A257" s="91" t="s">
        <v>1638</v>
      </c>
      <c r="B257" s="18" t="s">
        <v>1639</v>
      </c>
      <c r="C257" s="91" t="s">
        <v>1628</v>
      </c>
      <c r="D257" s="19" t="s">
        <v>1787</v>
      </c>
      <c r="E257" s="92" t="n">
        <v>0</v>
      </c>
      <c r="F257" s="92" t="n">
        <f aca="false">E257/10</f>
        <v>0</v>
      </c>
      <c r="G257" s="21" t="s">
        <v>1629</v>
      </c>
      <c r="H257" s="21"/>
      <c r="I257" s="21"/>
      <c r="J257" s="21"/>
      <c r="K257" s="21"/>
      <c r="L257" s="21"/>
      <c r="M257" s="21"/>
    </row>
    <row r="258" customFormat="false" ht="15.75" hidden="false" customHeight="true" outlineLevel="0" collapsed="false">
      <c r="A258" s="91" t="s">
        <v>1640</v>
      </c>
      <c r="B258" s="18" t="s">
        <v>1641</v>
      </c>
      <c r="C258" s="91" t="s">
        <v>1628</v>
      </c>
      <c r="D258" s="19" t="s">
        <v>1787</v>
      </c>
      <c r="E258" s="92" t="n">
        <v>0</v>
      </c>
      <c r="F258" s="92" t="n">
        <f aca="false">E258/10</f>
        <v>0</v>
      </c>
      <c r="G258" s="21" t="s">
        <v>1629</v>
      </c>
      <c r="H258" s="21"/>
      <c r="I258" s="21"/>
      <c r="J258" s="21"/>
      <c r="K258" s="21"/>
      <c r="L258" s="21"/>
      <c r="M258" s="21"/>
    </row>
    <row r="259" customFormat="false" ht="15.75" hidden="false" customHeight="true" outlineLevel="0" collapsed="false">
      <c r="A259" s="91" t="s">
        <v>1640</v>
      </c>
      <c r="B259" s="18" t="s">
        <v>1641</v>
      </c>
      <c r="C259" s="91" t="s">
        <v>1635</v>
      </c>
      <c r="D259" s="19" t="s">
        <v>1787</v>
      </c>
      <c r="E259" s="92" t="n">
        <v>0</v>
      </c>
      <c r="F259" s="92" t="n">
        <f aca="false">E259/10</f>
        <v>0</v>
      </c>
      <c r="G259" s="21" t="s">
        <v>1636</v>
      </c>
      <c r="H259" s="21"/>
      <c r="I259" s="21"/>
      <c r="J259" s="21"/>
      <c r="K259" s="21"/>
      <c r="L259" s="21"/>
      <c r="M259" s="21"/>
    </row>
    <row r="260" customFormat="false" ht="15.75" hidden="false" customHeight="true" outlineLevel="0" collapsed="false">
      <c r="A260" s="91" t="s">
        <v>1642</v>
      </c>
      <c r="B260" s="18" t="s">
        <v>1643</v>
      </c>
      <c r="C260" s="91" t="s">
        <v>1628</v>
      </c>
      <c r="D260" s="19" t="s">
        <v>1787</v>
      </c>
      <c r="E260" s="92" t="n">
        <v>0</v>
      </c>
      <c r="F260" s="92" t="n">
        <f aca="false">E260/10</f>
        <v>0</v>
      </c>
      <c r="G260" s="21" t="s">
        <v>1629</v>
      </c>
      <c r="H260" s="21"/>
      <c r="I260" s="21"/>
      <c r="J260" s="21"/>
      <c r="K260" s="21"/>
      <c r="L260" s="21"/>
      <c r="M260" s="21"/>
    </row>
    <row r="261" customFormat="false" ht="15.75" hidden="false" customHeight="true" outlineLevel="0" collapsed="false">
      <c r="A261" s="91" t="s">
        <v>1642</v>
      </c>
      <c r="B261" s="18" t="s">
        <v>1643</v>
      </c>
      <c r="C261" s="91" t="s">
        <v>1635</v>
      </c>
      <c r="D261" s="19" t="s">
        <v>1787</v>
      </c>
      <c r="E261" s="92" t="n">
        <v>0</v>
      </c>
      <c r="F261" s="92" t="n">
        <f aca="false">E261/10</f>
        <v>0</v>
      </c>
      <c r="G261" s="21" t="s">
        <v>1636</v>
      </c>
      <c r="H261" s="21"/>
      <c r="I261" s="21"/>
      <c r="J261" s="21"/>
      <c r="K261" s="21"/>
      <c r="L261" s="21"/>
      <c r="M261" s="21"/>
    </row>
    <row r="262" customFormat="false" ht="15.75" hidden="false" customHeight="true" outlineLevel="0" collapsed="false">
      <c r="A262" s="91" t="s">
        <v>1644</v>
      </c>
      <c r="B262" s="18" t="s">
        <v>1645</v>
      </c>
      <c r="C262" s="91" t="s">
        <v>1640</v>
      </c>
      <c r="D262" s="19" t="s">
        <v>1787</v>
      </c>
      <c r="E262" s="92" t="n">
        <v>0</v>
      </c>
      <c r="F262" s="92" t="n">
        <f aca="false">E262/10</f>
        <v>0</v>
      </c>
      <c r="G262" s="21" t="s">
        <v>1641</v>
      </c>
      <c r="H262" s="21"/>
      <c r="I262" s="21"/>
      <c r="J262" s="21"/>
      <c r="K262" s="21"/>
      <c r="L262" s="21"/>
      <c r="M262" s="21"/>
    </row>
    <row r="263" customFormat="false" ht="15.75" hidden="false" customHeight="true" outlineLevel="0" collapsed="false">
      <c r="A263" s="91" t="s">
        <v>1646</v>
      </c>
      <c r="B263" s="18" t="s">
        <v>1647</v>
      </c>
      <c r="C263" s="91" t="s">
        <v>1640</v>
      </c>
      <c r="D263" s="19" t="s">
        <v>1787</v>
      </c>
      <c r="E263" s="92" t="n">
        <v>0</v>
      </c>
      <c r="F263" s="92" t="n">
        <f aca="false">E263/10</f>
        <v>0</v>
      </c>
      <c r="G263" s="21" t="s">
        <v>1641</v>
      </c>
      <c r="H263" s="21"/>
      <c r="I263" s="21"/>
      <c r="J263" s="21"/>
      <c r="K263" s="21"/>
      <c r="L263" s="21"/>
      <c r="M263" s="21"/>
    </row>
    <row r="264" customFormat="false" ht="15.75" hidden="false" customHeight="true" outlineLevel="0" collapsed="false">
      <c r="A264" s="91" t="s">
        <v>1646</v>
      </c>
      <c r="B264" s="18" t="s">
        <v>1647</v>
      </c>
      <c r="C264" s="91" t="s">
        <v>1642</v>
      </c>
      <c r="D264" s="19" t="s">
        <v>1787</v>
      </c>
      <c r="E264" s="92" t="n">
        <v>0</v>
      </c>
      <c r="F264" s="92" t="n">
        <f aca="false">E264/10</f>
        <v>0</v>
      </c>
      <c r="G264" s="21" t="s">
        <v>1643</v>
      </c>
      <c r="H264" s="21"/>
      <c r="I264" s="21"/>
      <c r="J264" s="21"/>
      <c r="K264" s="21"/>
      <c r="L264" s="21"/>
      <c r="M264" s="21"/>
    </row>
    <row r="265" customFormat="false" ht="15.75" hidden="false" customHeight="true" outlineLevel="0" collapsed="false">
      <c r="A265" s="91" t="s">
        <v>1648</v>
      </c>
      <c r="B265" s="18" t="s">
        <v>1649</v>
      </c>
      <c r="C265" s="91" t="s">
        <v>1628</v>
      </c>
      <c r="D265" s="19" t="s">
        <v>1787</v>
      </c>
      <c r="E265" s="92" t="n">
        <v>0</v>
      </c>
      <c r="F265" s="92" t="n">
        <f aca="false">E265/10</f>
        <v>0</v>
      </c>
      <c r="G265" s="21" t="s">
        <v>1629</v>
      </c>
      <c r="H265" s="21"/>
      <c r="I265" s="21"/>
      <c r="J265" s="21"/>
      <c r="K265" s="21"/>
      <c r="L265" s="21"/>
      <c r="M265" s="21"/>
    </row>
    <row r="266" customFormat="false" ht="15.75" hidden="false" customHeight="true" outlineLevel="0" collapsed="false">
      <c r="A266" s="91" t="s">
        <v>1648</v>
      </c>
      <c r="B266" s="18" t="s">
        <v>1649</v>
      </c>
      <c r="C266" s="91" t="s">
        <v>1638</v>
      </c>
      <c r="D266" s="19" t="s">
        <v>1787</v>
      </c>
      <c r="E266" s="92" t="n">
        <v>0</v>
      </c>
      <c r="F266" s="92" t="n">
        <f aca="false">E266/10</f>
        <v>0</v>
      </c>
      <c r="G266" s="21" t="s">
        <v>1639</v>
      </c>
      <c r="H266" s="21"/>
      <c r="I266" s="21"/>
      <c r="J266" s="21"/>
      <c r="K266" s="21"/>
      <c r="L266" s="21"/>
      <c r="M266" s="21"/>
    </row>
    <row r="267" customFormat="false" ht="15.75" hidden="false" customHeight="true" outlineLevel="0" collapsed="false">
      <c r="A267" s="91" t="s">
        <v>1648</v>
      </c>
      <c r="B267" s="18" t="s">
        <v>1649</v>
      </c>
      <c r="C267" s="91" t="s">
        <v>1635</v>
      </c>
      <c r="D267" s="19" t="s">
        <v>1787</v>
      </c>
      <c r="E267" s="92" t="n">
        <v>0</v>
      </c>
      <c r="F267" s="92" t="n">
        <f aca="false">E267/10</f>
        <v>0</v>
      </c>
      <c r="G267" s="21" t="s">
        <v>1636</v>
      </c>
      <c r="H267" s="21"/>
      <c r="I267" s="21"/>
      <c r="J267" s="21"/>
      <c r="K267" s="21"/>
      <c r="L267" s="21"/>
      <c r="M267" s="21"/>
    </row>
    <row r="268" customFormat="false" ht="15.75" hidden="false" customHeight="true" outlineLevel="0" collapsed="false">
      <c r="A268" s="91" t="s">
        <v>1650</v>
      </c>
      <c r="B268" s="18" t="s">
        <v>1651</v>
      </c>
      <c r="C268" s="91" t="s">
        <v>1628</v>
      </c>
      <c r="D268" s="19" t="s">
        <v>1787</v>
      </c>
      <c r="E268" s="92" t="n">
        <v>0</v>
      </c>
      <c r="F268" s="92" t="n">
        <f aca="false">E268/10</f>
        <v>0</v>
      </c>
      <c r="G268" s="21" t="s">
        <v>1629</v>
      </c>
      <c r="H268" s="21"/>
      <c r="I268" s="21"/>
      <c r="J268" s="21"/>
      <c r="K268" s="21"/>
      <c r="L268" s="21"/>
      <c r="M268" s="21"/>
    </row>
    <row r="269" customFormat="false" ht="15.75" hidden="false" customHeight="true" outlineLevel="0" collapsed="false">
      <c r="A269" s="91" t="s">
        <v>1650</v>
      </c>
      <c r="B269" s="18" t="s">
        <v>1651</v>
      </c>
      <c r="C269" s="91" t="s">
        <v>1638</v>
      </c>
      <c r="D269" s="19" t="s">
        <v>1787</v>
      </c>
      <c r="E269" s="92" t="n">
        <v>0</v>
      </c>
      <c r="F269" s="92" t="n">
        <f aca="false">E269/10</f>
        <v>0</v>
      </c>
      <c r="G269" s="21" t="s">
        <v>1639</v>
      </c>
      <c r="H269" s="21"/>
      <c r="I269" s="21"/>
      <c r="J269" s="21"/>
      <c r="K269" s="21"/>
      <c r="L269" s="21"/>
      <c r="M269" s="21"/>
    </row>
    <row r="270" customFormat="false" ht="15.75" hidden="false" customHeight="true" outlineLevel="0" collapsed="false">
      <c r="A270" s="91" t="s">
        <v>1650</v>
      </c>
      <c r="B270" s="18" t="s">
        <v>1651</v>
      </c>
      <c r="C270" s="91" t="s">
        <v>1635</v>
      </c>
      <c r="D270" s="19" t="s">
        <v>1787</v>
      </c>
      <c r="E270" s="92" t="n">
        <v>0</v>
      </c>
      <c r="F270" s="92" t="n">
        <f aca="false">E270/10</f>
        <v>0</v>
      </c>
      <c r="G270" s="21" t="s">
        <v>1636</v>
      </c>
      <c r="H270" s="21"/>
      <c r="I270" s="21"/>
      <c r="J270" s="21"/>
      <c r="K270" s="21"/>
      <c r="L270" s="21"/>
      <c r="M270" s="21"/>
    </row>
    <row r="271" customFormat="false" ht="15.75" hidden="false" customHeight="true" outlineLevel="0" collapsed="false">
      <c r="A271" s="91" t="s">
        <v>1652</v>
      </c>
      <c r="B271" s="18" t="s">
        <v>1653</v>
      </c>
      <c r="C271" s="91" t="s">
        <v>1628</v>
      </c>
      <c r="D271" s="19" t="s">
        <v>1787</v>
      </c>
      <c r="E271" s="92" t="n">
        <v>0</v>
      </c>
      <c r="F271" s="92" t="n">
        <f aca="false">E271/10</f>
        <v>0</v>
      </c>
      <c r="G271" s="21" t="s">
        <v>1629</v>
      </c>
      <c r="H271" s="21"/>
      <c r="I271" s="21"/>
      <c r="J271" s="21"/>
      <c r="K271" s="21"/>
      <c r="L271" s="21"/>
      <c r="M271" s="21"/>
    </row>
    <row r="272" customFormat="false" ht="15.75" hidden="false" customHeight="true" outlineLevel="0" collapsed="false">
      <c r="A272" s="91" t="s">
        <v>1652</v>
      </c>
      <c r="B272" s="18" t="s">
        <v>1653</v>
      </c>
      <c r="C272" s="91" t="s">
        <v>1638</v>
      </c>
      <c r="D272" s="19" t="s">
        <v>1787</v>
      </c>
      <c r="E272" s="92" t="n">
        <v>0</v>
      </c>
      <c r="F272" s="92" t="n">
        <f aca="false">E272/10</f>
        <v>0</v>
      </c>
      <c r="G272" s="21" t="s">
        <v>1639</v>
      </c>
      <c r="H272" s="21"/>
      <c r="I272" s="21"/>
      <c r="J272" s="21"/>
      <c r="K272" s="21"/>
      <c r="L272" s="21"/>
      <c r="M272" s="21"/>
    </row>
    <row r="273" customFormat="false" ht="15.75" hidden="false" customHeight="true" outlineLevel="0" collapsed="false">
      <c r="A273" s="91" t="s">
        <v>1652</v>
      </c>
      <c r="B273" s="18" t="s">
        <v>1653</v>
      </c>
      <c r="C273" s="91" t="s">
        <v>1635</v>
      </c>
      <c r="D273" s="19" t="s">
        <v>1787</v>
      </c>
      <c r="E273" s="92" t="n">
        <v>0</v>
      </c>
      <c r="F273" s="92" t="n">
        <f aca="false">E273/10</f>
        <v>0</v>
      </c>
      <c r="G273" s="21" t="s">
        <v>1636</v>
      </c>
      <c r="H273" s="21"/>
      <c r="I273" s="21"/>
      <c r="J273" s="21"/>
      <c r="K273" s="21"/>
      <c r="L273" s="21"/>
      <c r="M273" s="21"/>
    </row>
    <row r="274" customFormat="false" ht="15.75" hidden="false" customHeight="true" outlineLevel="0" collapsed="false">
      <c r="A274" s="91" t="s">
        <v>1654</v>
      </c>
      <c r="B274" s="18" t="s">
        <v>1655</v>
      </c>
      <c r="C274" s="91" t="s">
        <v>1628</v>
      </c>
      <c r="D274" s="19" t="s">
        <v>1787</v>
      </c>
      <c r="E274" s="92" t="n">
        <v>0</v>
      </c>
      <c r="F274" s="92" t="n">
        <f aca="false">E274/10</f>
        <v>0</v>
      </c>
      <c r="G274" s="21" t="s">
        <v>1629</v>
      </c>
      <c r="H274" s="21"/>
      <c r="I274" s="21"/>
      <c r="J274" s="21"/>
      <c r="K274" s="21"/>
      <c r="L274" s="21"/>
      <c r="M274" s="21"/>
    </row>
    <row r="275" customFormat="false" ht="15.75" hidden="false" customHeight="true" outlineLevel="0" collapsed="false">
      <c r="A275" s="91" t="s">
        <v>1654</v>
      </c>
      <c r="B275" s="18" t="s">
        <v>1655</v>
      </c>
      <c r="C275" s="91" t="s">
        <v>1638</v>
      </c>
      <c r="D275" s="19" t="s">
        <v>1787</v>
      </c>
      <c r="E275" s="92" t="n">
        <v>0</v>
      </c>
      <c r="F275" s="92" t="n">
        <f aca="false">E275/10</f>
        <v>0</v>
      </c>
      <c r="G275" s="21" t="s">
        <v>1639</v>
      </c>
      <c r="H275" s="21"/>
      <c r="I275" s="21"/>
      <c r="J275" s="21"/>
      <c r="K275" s="21"/>
      <c r="L275" s="21"/>
      <c r="M275" s="21"/>
    </row>
    <row r="276" customFormat="false" ht="15.75" hidden="false" customHeight="true" outlineLevel="0" collapsed="false">
      <c r="A276" s="91" t="s">
        <v>1654</v>
      </c>
      <c r="B276" s="18" t="s">
        <v>1655</v>
      </c>
      <c r="C276" s="91" t="s">
        <v>1635</v>
      </c>
      <c r="D276" s="19" t="s">
        <v>1787</v>
      </c>
      <c r="E276" s="92" t="n">
        <v>0</v>
      </c>
      <c r="F276" s="92" t="n">
        <f aca="false">E276/10</f>
        <v>0</v>
      </c>
      <c r="G276" s="21" t="s">
        <v>1636</v>
      </c>
      <c r="H276" s="21"/>
      <c r="I276" s="21"/>
      <c r="J276" s="21"/>
      <c r="K276" s="21"/>
      <c r="L276" s="21"/>
      <c r="M276" s="21"/>
    </row>
    <row r="277" customFormat="false" ht="15.75" hidden="false" customHeight="true" outlineLevel="0" collapsed="false">
      <c r="A277" s="91" t="s">
        <v>1656</v>
      </c>
      <c r="B277" s="18" t="s">
        <v>1657</v>
      </c>
      <c r="C277" s="91" t="s">
        <v>1628</v>
      </c>
      <c r="D277" s="19" t="s">
        <v>1787</v>
      </c>
      <c r="E277" s="92" t="n">
        <v>0</v>
      </c>
      <c r="F277" s="92" t="n">
        <f aca="false">E277/10</f>
        <v>0</v>
      </c>
      <c r="G277" s="21" t="s">
        <v>1629</v>
      </c>
      <c r="H277" s="21"/>
      <c r="I277" s="21"/>
      <c r="J277" s="21"/>
      <c r="K277" s="21"/>
      <c r="L277" s="21"/>
      <c r="M277" s="21"/>
    </row>
    <row r="278" customFormat="false" ht="15.75" hidden="false" customHeight="true" outlineLevel="0" collapsed="false">
      <c r="A278" s="91" t="s">
        <v>1656</v>
      </c>
      <c r="B278" s="18" t="s">
        <v>1657</v>
      </c>
      <c r="C278" s="91" t="s">
        <v>1638</v>
      </c>
      <c r="D278" s="19" t="s">
        <v>1787</v>
      </c>
      <c r="E278" s="92" t="n">
        <v>0</v>
      </c>
      <c r="F278" s="92" t="n">
        <f aca="false">E278/10</f>
        <v>0</v>
      </c>
      <c r="G278" s="21" t="s">
        <v>1639</v>
      </c>
      <c r="H278" s="21"/>
      <c r="I278" s="21"/>
      <c r="J278" s="21"/>
      <c r="K278" s="21"/>
      <c r="L278" s="21"/>
      <c r="M278" s="21"/>
    </row>
    <row r="279" customFormat="false" ht="15.75" hidden="false" customHeight="true" outlineLevel="0" collapsed="false">
      <c r="A279" s="91" t="s">
        <v>1656</v>
      </c>
      <c r="B279" s="18" t="s">
        <v>1657</v>
      </c>
      <c r="C279" s="91" t="s">
        <v>1635</v>
      </c>
      <c r="D279" s="19" t="s">
        <v>1787</v>
      </c>
      <c r="E279" s="92" t="n">
        <v>0</v>
      </c>
      <c r="F279" s="92" t="n">
        <f aca="false">E279/10</f>
        <v>0</v>
      </c>
      <c r="G279" s="21" t="s">
        <v>1636</v>
      </c>
      <c r="H279" s="21"/>
      <c r="I279" s="21"/>
      <c r="J279" s="21"/>
      <c r="K279" s="21"/>
      <c r="L279" s="21"/>
      <c r="M279" s="21"/>
    </row>
    <row r="280" customFormat="false" ht="15.75" hidden="false" customHeight="true" outlineLevel="0" collapsed="false">
      <c r="A280" s="91" t="s">
        <v>1658</v>
      </c>
      <c r="B280" s="18" t="s">
        <v>1659</v>
      </c>
      <c r="C280" s="91" t="s">
        <v>1628</v>
      </c>
      <c r="D280" s="19" t="s">
        <v>1787</v>
      </c>
      <c r="E280" s="92" t="n">
        <v>0</v>
      </c>
      <c r="F280" s="92" t="n">
        <f aca="false">E280/10</f>
        <v>0</v>
      </c>
      <c r="G280" s="21" t="s">
        <v>1629</v>
      </c>
      <c r="H280" s="21"/>
      <c r="I280" s="21"/>
      <c r="J280" s="21"/>
      <c r="K280" s="21"/>
      <c r="L280" s="21"/>
      <c r="M280" s="21"/>
    </row>
    <row r="281" customFormat="false" ht="15.75" hidden="false" customHeight="true" outlineLevel="0" collapsed="false">
      <c r="A281" s="91" t="s">
        <v>1658</v>
      </c>
      <c r="B281" s="18" t="s">
        <v>1659</v>
      </c>
      <c r="C281" s="91" t="s">
        <v>1638</v>
      </c>
      <c r="D281" s="19" t="s">
        <v>1787</v>
      </c>
      <c r="E281" s="92" t="n">
        <v>0</v>
      </c>
      <c r="F281" s="92" t="n">
        <f aca="false">E281/10</f>
        <v>0</v>
      </c>
      <c r="G281" s="21" t="s">
        <v>1639</v>
      </c>
      <c r="H281" s="21"/>
      <c r="I281" s="21"/>
      <c r="J281" s="21"/>
      <c r="K281" s="21"/>
      <c r="L281" s="21"/>
      <c r="M281" s="21"/>
    </row>
    <row r="282" customFormat="false" ht="15.75" hidden="false" customHeight="true" outlineLevel="0" collapsed="false">
      <c r="A282" s="91" t="s">
        <v>1658</v>
      </c>
      <c r="B282" s="18" t="s">
        <v>1659</v>
      </c>
      <c r="C282" s="91" t="s">
        <v>1635</v>
      </c>
      <c r="D282" s="19" t="s">
        <v>1787</v>
      </c>
      <c r="E282" s="92" t="n">
        <v>0</v>
      </c>
      <c r="F282" s="92" t="n">
        <f aca="false">E282/10</f>
        <v>0</v>
      </c>
      <c r="G282" s="21" t="s">
        <v>1636</v>
      </c>
      <c r="H282" s="21"/>
      <c r="I282" s="21"/>
      <c r="J282" s="21"/>
      <c r="K282" s="21"/>
      <c r="L282" s="21"/>
      <c r="M282" s="21"/>
    </row>
    <row r="283" customFormat="false" ht="15.75" hidden="false" customHeight="true" outlineLevel="0" collapsed="false">
      <c r="A283" s="91" t="s">
        <v>1660</v>
      </c>
      <c r="B283" s="18" t="s">
        <v>1661</v>
      </c>
      <c r="C283" s="91" t="s">
        <v>1628</v>
      </c>
      <c r="D283" s="19" t="s">
        <v>1787</v>
      </c>
      <c r="E283" s="92" t="n">
        <v>0</v>
      </c>
      <c r="F283" s="92" t="n">
        <f aca="false">E283/10</f>
        <v>0</v>
      </c>
      <c r="G283" s="21" t="s">
        <v>1629</v>
      </c>
      <c r="H283" s="21"/>
      <c r="I283" s="21"/>
      <c r="J283" s="21"/>
      <c r="K283" s="21"/>
      <c r="L283" s="21"/>
      <c r="M283" s="21"/>
    </row>
    <row r="284" customFormat="false" ht="15.75" hidden="false" customHeight="true" outlineLevel="0" collapsed="false">
      <c r="A284" s="91" t="s">
        <v>1660</v>
      </c>
      <c r="B284" s="18" t="s">
        <v>1661</v>
      </c>
      <c r="C284" s="91" t="s">
        <v>1638</v>
      </c>
      <c r="D284" s="19" t="s">
        <v>1787</v>
      </c>
      <c r="E284" s="92" t="n">
        <v>0</v>
      </c>
      <c r="F284" s="92" t="n">
        <f aca="false">E284/10</f>
        <v>0</v>
      </c>
      <c r="G284" s="21" t="s">
        <v>1639</v>
      </c>
      <c r="H284" s="21"/>
      <c r="I284" s="21"/>
      <c r="J284" s="21"/>
      <c r="K284" s="21"/>
      <c r="L284" s="21"/>
      <c r="M284" s="21"/>
    </row>
    <row r="285" customFormat="false" ht="15.75" hidden="false" customHeight="true" outlineLevel="0" collapsed="false">
      <c r="A285" s="91" t="s">
        <v>1660</v>
      </c>
      <c r="B285" s="18" t="s">
        <v>1661</v>
      </c>
      <c r="C285" s="91" t="s">
        <v>1635</v>
      </c>
      <c r="D285" s="19" t="s">
        <v>1787</v>
      </c>
      <c r="E285" s="92" t="n">
        <v>0</v>
      </c>
      <c r="F285" s="92" t="n">
        <f aca="false">E285/10</f>
        <v>0</v>
      </c>
      <c r="G285" s="21" t="s">
        <v>1636</v>
      </c>
      <c r="H285" s="21"/>
      <c r="I285" s="21"/>
      <c r="J285" s="21"/>
      <c r="K285" s="21"/>
      <c r="L285" s="21"/>
      <c r="M285" s="21"/>
    </row>
    <row r="286" customFormat="false" ht="15.75" hidden="false" customHeight="true" outlineLevel="0" collapsed="false">
      <c r="A286" s="91" t="s">
        <v>1662</v>
      </c>
      <c r="B286" s="18" t="s">
        <v>1663</v>
      </c>
      <c r="C286" s="91" t="s">
        <v>1628</v>
      </c>
      <c r="D286" s="19" t="s">
        <v>1787</v>
      </c>
      <c r="E286" s="92" t="n">
        <v>0</v>
      </c>
      <c r="F286" s="92" t="n">
        <f aca="false">E286/10</f>
        <v>0</v>
      </c>
      <c r="G286" s="21" t="s">
        <v>1629</v>
      </c>
      <c r="H286" s="21"/>
      <c r="I286" s="21"/>
      <c r="J286" s="21"/>
      <c r="K286" s="21"/>
      <c r="L286" s="21"/>
      <c r="M286" s="21"/>
    </row>
    <row r="287" customFormat="false" ht="15.75" hidden="false" customHeight="true" outlineLevel="0" collapsed="false">
      <c r="A287" s="91" t="s">
        <v>1662</v>
      </c>
      <c r="B287" s="18" t="s">
        <v>1663</v>
      </c>
      <c r="C287" s="91" t="s">
        <v>1638</v>
      </c>
      <c r="D287" s="19" t="s">
        <v>1787</v>
      </c>
      <c r="E287" s="92" t="n">
        <v>0</v>
      </c>
      <c r="F287" s="92" t="n">
        <f aca="false">E287/10</f>
        <v>0</v>
      </c>
      <c r="G287" s="21" t="s">
        <v>1639</v>
      </c>
      <c r="H287" s="21"/>
      <c r="I287" s="21"/>
      <c r="J287" s="21"/>
      <c r="K287" s="21"/>
      <c r="L287" s="21"/>
      <c r="M287" s="21"/>
    </row>
    <row r="288" customFormat="false" ht="15.75" hidden="false" customHeight="true" outlineLevel="0" collapsed="false">
      <c r="A288" s="91" t="s">
        <v>1662</v>
      </c>
      <c r="B288" s="18" t="s">
        <v>1663</v>
      </c>
      <c r="C288" s="91" t="s">
        <v>1660</v>
      </c>
      <c r="D288" s="19" t="s">
        <v>1788</v>
      </c>
      <c r="E288" s="92" t="n">
        <v>0</v>
      </c>
      <c r="F288" s="92" t="n">
        <f aca="false">E288/10</f>
        <v>0</v>
      </c>
      <c r="G288" s="21" t="s">
        <v>1661</v>
      </c>
      <c r="H288" s="21"/>
      <c r="I288" s="21"/>
      <c r="J288" s="21"/>
      <c r="K288" s="21"/>
      <c r="L288" s="21"/>
      <c r="M288" s="21"/>
    </row>
    <row r="289" customFormat="false" ht="15.75" hidden="false" customHeight="true" outlineLevel="0" collapsed="false">
      <c r="A289" s="91" t="s">
        <v>1662</v>
      </c>
      <c r="B289" s="18" t="s">
        <v>1663</v>
      </c>
      <c r="C289" s="91" t="s">
        <v>1635</v>
      </c>
      <c r="D289" s="19" t="s">
        <v>1787</v>
      </c>
      <c r="E289" s="92" t="n">
        <v>0</v>
      </c>
      <c r="F289" s="92" t="n">
        <f aca="false">E289/10</f>
        <v>0</v>
      </c>
      <c r="G289" s="21" t="s">
        <v>1636</v>
      </c>
      <c r="H289" s="21"/>
      <c r="I289" s="21"/>
      <c r="J289" s="21"/>
      <c r="K289" s="21"/>
      <c r="L289" s="21"/>
      <c r="M289" s="21"/>
    </row>
    <row r="290" customFormat="false" ht="15.75" hidden="false" customHeight="true" outlineLevel="0" collapsed="false">
      <c r="A290" s="91" t="s">
        <v>1683</v>
      </c>
      <c r="B290" s="18" t="s">
        <v>1684</v>
      </c>
      <c r="C290" s="91" t="s">
        <v>1656</v>
      </c>
      <c r="D290" s="19" t="s">
        <v>1787</v>
      </c>
      <c r="E290" s="92" t="n">
        <v>0</v>
      </c>
      <c r="F290" s="92" t="n">
        <f aca="false">E290/10</f>
        <v>0</v>
      </c>
      <c r="G290" s="21" t="s">
        <v>1657</v>
      </c>
      <c r="H290" s="21"/>
      <c r="I290" s="21"/>
      <c r="J290" s="21"/>
      <c r="K290" s="21"/>
      <c r="L290" s="21"/>
      <c r="M290" s="21"/>
    </row>
    <row r="291" customFormat="false" ht="15.75" hidden="false" customHeight="true" outlineLevel="0" collapsed="false">
      <c r="A291" s="91" t="s">
        <v>1687</v>
      </c>
      <c r="B291" s="18" t="s">
        <v>1688</v>
      </c>
      <c r="C291" s="91" t="s">
        <v>1648</v>
      </c>
      <c r="D291" s="19" t="s">
        <v>1787</v>
      </c>
      <c r="E291" s="92" t="n">
        <v>0</v>
      </c>
      <c r="F291" s="92" t="n">
        <f aca="false">E291/10</f>
        <v>0</v>
      </c>
      <c r="G291" s="21" t="s">
        <v>1649</v>
      </c>
      <c r="H291" s="21"/>
      <c r="I291" s="21"/>
      <c r="J291" s="21"/>
      <c r="K291" s="21"/>
      <c r="L291" s="21"/>
      <c r="M291" s="21"/>
    </row>
    <row r="292" customFormat="false" ht="15.75" hidden="false" customHeight="true" outlineLevel="0" collapsed="false">
      <c r="A292" s="91" t="s">
        <v>1689</v>
      </c>
      <c r="B292" s="18" t="s">
        <v>1690</v>
      </c>
      <c r="C292" s="91" t="s">
        <v>1652</v>
      </c>
      <c r="D292" s="19" t="s">
        <v>1787</v>
      </c>
      <c r="E292" s="92" t="n">
        <v>0</v>
      </c>
      <c r="F292" s="92" t="n">
        <f aca="false">E292/10</f>
        <v>0</v>
      </c>
      <c r="G292" s="21" t="s">
        <v>1653</v>
      </c>
      <c r="H292" s="21"/>
      <c r="I292" s="21"/>
      <c r="J292" s="21"/>
      <c r="K292" s="21"/>
      <c r="L292" s="21"/>
      <c r="M292" s="21"/>
    </row>
    <row r="293" customFormat="false" ht="15.75" hidden="false" customHeight="true" outlineLevel="0" collapsed="false">
      <c r="A293" s="91" t="s">
        <v>1691</v>
      </c>
      <c r="B293" s="18" t="s">
        <v>1692</v>
      </c>
      <c r="C293" s="91" t="s">
        <v>1654</v>
      </c>
      <c r="D293" s="19" t="s">
        <v>1787</v>
      </c>
      <c r="E293" s="92" t="n">
        <v>0</v>
      </c>
      <c r="F293" s="92" t="n">
        <f aca="false">E293/10</f>
        <v>0</v>
      </c>
      <c r="G293" s="21" t="s">
        <v>1655</v>
      </c>
      <c r="H293" s="21"/>
      <c r="I293" s="21"/>
      <c r="J293" s="21"/>
      <c r="K293" s="21"/>
      <c r="L293" s="21"/>
      <c r="M293" s="21"/>
    </row>
    <row r="294" customFormat="false" ht="15.75" hidden="false" customHeight="true" outlineLevel="0" collapsed="false">
      <c r="A294" s="91" t="s">
        <v>1693</v>
      </c>
      <c r="B294" s="18" t="s">
        <v>1694</v>
      </c>
      <c r="C294" s="91" t="s">
        <v>1658</v>
      </c>
      <c r="D294" s="19" t="s">
        <v>1787</v>
      </c>
      <c r="E294" s="92" t="n">
        <v>0</v>
      </c>
      <c r="F294" s="92" t="n">
        <f aca="false">E294/10</f>
        <v>0</v>
      </c>
      <c r="G294" s="21" t="s">
        <v>1659</v>
      </c>
      <c r="H294" s="21"/>
      <c r="I294" s="21"/>
      <c r="J294" s="21"/>
      <c r="K294" s="21"/>
      <c r="L294" s="21"/>
      <c r="M294" s="21"/>
    </row>
    <row r="295" customFormat="false" ht="15.75" hidden="false" customHeight="true" outlineLevel="0" collapsed="false">
      <c r="A295" s="91" t="s">
        <v>1695</v>
      </c>
      <c r="B295" s="18" t="s">
        <v>1696</v>
      </c>
      <c r="C295" s="91" t="s">
        <v>1660</v>
      </c>
      <c r="D295" s="19" t="s">
        <v>1787</v>
      </c>
      <c r="E295" s="92" t="n">
        <v>0</v>
      </c>
      <c r="F295" s="92" t="n">
        <f aca="false">E295/10</f>
        <v>0</v>
      </c>
      <c r="G295" s="21" t="s">
        <v>1661</v>
      </c>
      <c r="H295" s="21"/>
      <c r="I295" s="21"/>
      <c r="J295" s="21"/>
      <c r="K295" s="21"/>
      <c r="L295" s="21"/>
      <c r="M295" s="21"/>
    </row>
    <row r="296" customFormat="false" ht="15.75" hidden="false" customHeight="true" outlineLevel="0" collapsed="false">
      <c r="A296" s="91" t="s">
        <v>1697</v>
      </c>
      <c r="B296" s="18" t="s">
        <v>1698</v>
      </c>
      <c r="C296" s="91" t="s">
        <v>1650</v>
      </c>
      <c r="D296" s="19" t="s">
        <v>1787</v>
      </c>
      <c r="E296" s="92" t="n">
        <v>0</v>
      </c>
      <c r="F296" s="92" t="n">
        <f aca="false">E296/10</f>
        <v>0</v>
      </c>
      <c r="G296" s="21" t="s">
        <v>1651</v>
      </c>
      <c r="H296" s="21"/>
      <c r="I296" s="21"/>
      <c r="J296" s="21"/>
      <c r="K296" s="21"/>
      <c r="L296" s="21"/>
      <c r="M296" s="21"/>
    </row>
    <row r="297" customFormat="false" ht="15.75" hidden="false" customHeight="true" outlineLevel="0" collapsed="false">
      <c r="A297" s="91" t="s">
        <v>1699</v>
      </c>
      <c r="B297" s="18" t="s">
        <v>1700</v>
      </c>
      <c r="C297" s="91" t="s">
        <v>1662</v>
      </c>
      <c r="D297" s="19" t="s">
        <v>1787</v>
      </c>
      <c r="E297" s="92" t="n">
        <v>0</v>
      </c>
      <c r="F297" s="92" t="n">
        <f aca="false">E297/10</f>
        <v>0</v>
      </c>
      <c r="G297" s="21" t="s">
        <v>1663</v>
      </c>
      <c r="H297" s="21"/>
      <c r="I297" s="21"/>
      <c r="J297" s="21"/>
      <c r="K297" s="21"/>
      <c r="L297" s="21"/>
      <c r="M297" s="21"/>
    </row>
    <row r="298" customFormat="false" ht="15.75" hidden="false" customHeight="true" outlineLevel="0" collapsed="false">
      <c r="A298" s="91" t="s">
        <v>1701</v>
      </c>
      <c r="B298" s="18" t="s">
        <v>1702</v>
      </c>
      <c r="C298" s="91" t="s">
        <v>1640</v>
      </c>
      <c r="D298" s="19" t="s">
        <v>1787</v>
      </c>
      <c r="E298" s="92" t="n">
        <v>0</v>
      </c>
      <c r="F298" s="92" t="n">
        <f aca="false">E298/10</f>
        <v>0</v>
      </c>
      <c r="G298" s="21" t="s">
        <v>1641</v>
      </c>
      <c r="H298" s="21"/>
      <c r="I298" s="21"/>
      <c r="J298" s="21"/>
      <c r="K298" s="21"/>
      <c r="L298" s="21"/>
      <c r="M298" s="21"/>
    </row>
    <row r="299" customFormat="false" ht="15.75" hidden="false" customHeight="true" outlineLevel="0" collapsed="false">
      <c r="A299" s="91" t="s">
        <v>1701</v>
      </c>
      <c r="B299" s="18" t="s">
        <v>1702</v>
      </c>
      <c r="C299" s="91" t="s">
        <v>1642</v>
      </c>
      <c r="D299" s="19" t="s">
        <v>1787</v>
      </c>
      <c r="E299" s="92" t="n">
        <v>0</v>
      </c>
      <c r="F299" s="92" t="n">
        <f aca="false">E299/10</f>
        <v>0</v>
      </c>
      <c r="G299" s="21" t="s">
        <v>1643</v>
      </c>
      <c r="H299" s="21"/>
      <c r="I299" s="21"/>
      <c r="J299" s="21"/>
      <c r="K299" s="21"/>
      <c r="L299" s="21"/>
      <c r="M299" s="21"/>
    </row>
    <row r="300" customFormat="false" ht="15.75" hidden="false" customHeight="true" outlineLevel="0" collapsed="false">
      <c r="A300" s="91" t="s">
        <v>1701</v>
      </c>
      <c r="B300" s="18" t="s">
        <v>1702</v>
      </c>
      <c r="C300" s="91" t="s">
        <v>1644</v>
      </c>
      <c r="D300" s="19" t="s">
        <v>1787</v>
      </c>
      <c r="E300" s="92" t="n">
        <v>0</v>
      </c>
      <c r="F300" s="92" t="n">
        <f aca="false">E300/10</f>
        <v>0</v>
      </c>
      <c r="G300" s="21" t="s">
        <v>1645</v>
      </c>
      <c r="H300" s="21"/>
      <c r="I300" s="21"/>
      <c r="J300" s="21"/>
      <c r="K300" s="21"/>
      <c r="L300" s="21"/>
      <c r="M300" s="21"/>
    </row>
    <row r="301" customFormat="false" ht="15.75" hidden="false" customHeight="true" outlineLevel="0" collapsed="false">
      <c r="A301" s="91" t="s">
        <v>1701</v>
      </c>
      <c r="B301" s="18" t="s">
        <v>1702</v>
      </c>
      <c r="C301" s="91" t="s">
        <v>1646</v>
      </c>
      <c r="D301" s="19" t="s">
        <v>1787</v>
      </c>
      <c r="E301" s="92" t="n">
        <v>0</v>
      </c>
      <c r="F301" s="92" t="n">
        <f aca="false">E301/10</f>
        <v>0</v>
      </c>
      <c r="G301" s="21" t="s">
        <v>1647</v>
      </c>
      <c r="H301" s="21"/>
      <c r="I301" s="21"/>
      <c r="J301" s="21"/>
      <c r="K301" s="21"/>
      <c r="L301" s="21"/>
      <c r="M301" s="21"/>
    </row>
    <row r="302" customFormat="false" ht="15.75" hidden="false" customHeight="true" outlineLevel="0" collapsed="false">
      <c r="A302" s="91" t="s">
        <v>1701</v>
      </c>
      <c r="B302" s="18" t="s">
        <v>1702</v>
      </c>
      <c r="C302" s="91" t="s">
        <v>1658</v>
      </c>
      <c r="D302" s="19" t="s">
        <v>1787</v>
      </c>
      <c r="E302" s="92" t="n">
        <v>0</v>
      </c>
      <c r="F302" s="92" t="n">
        <f aca="false">E302/10</f>
        <v>0</v>
      </c>
      <c r="G302" s="21" t="s">
        <v>1659</v>
      </c>
      <c r="H302" s="21"/>
      <c r="I302" s="21"/>
      <c r="J302" s="21"/>
      <c r="K302" s="21"/>
      <c r="L302" s="21"/>
      <c r="M302" s="21"/>
    </row>
    <row r="303" customFormat="false" ht="15.75" hidden="false" customHeight="true" outlineLevel="0" collapsed="false">
      <c r="A303" s="91" t="s">
        <v>1701</v>
      </c>
      <c r="B303" s="18" t="s">
        <v>1702</v>
      </c>
      <c r="C303" s="91" t="s">
        <v>1660</v>
      </c>
      <c r="D303" s="19" t="s">
        <v>1787</v>
      </c>
      <c r="E303" s="92" t="n">
        <v>0</v>
      </c>
      <c r="F303" s="92" t="n">
        <f aca="false">E303/10</f>
        <v>0</v>
      </c>
      <c r="G303" s="21" t="s">
        <v>1661</v>
      </c>
      <c r="H303" s="21"/>
      <c r="I303" s="21"/>
      <c r="J303" s="21"/>
      <c r="K303" s="21"/>
      <c r="L303" s="21"/>
      <c r="M303" s="21"/>
    </row>
    <row r="304" customFormat="false" ht="15.75" hidden="false" customHeight="true" outlineLevel="0" collapsed="false">
      <c r="A304" s="91" t="s">
        <v>1701</v>
      </c>
      <c r="B304" s="18" t="s">
        <v>1702</v>
      </c>
      <c r="C304" s="91" t="s">
        <v>1691</v>
      </c>
      <c r="D304" s="19" t="s">
        <v>1787</v>
      </c>
      <c r="E304" s="92" t="n">
        <v>0</v>
      </c>
      <c r="F304" s="92" t="n">
        <f aca="false">E304/10</f>
        <v>0</v>
      </c>
      <c r="G304" s="21" t="s">
        <v>1692</v>
      </c>
      <c r="H304" s="21"/>
      <c r="I304" s="21"/>
      <c r="J304" s="21"/>
      <c r="K304" s="21"/>
      <c r="L304" s="21"/>
      <c r="M304" s="21"/>
    </row>
    <row r="305" customFormat="false" ht="15.75" hidden="false" customHeight="true" outlineLevel="0" collapsed="false">
      <c r="A305" s="91" t="s">
        <v>1703</v>
      </c>
      <c r="B305" s="18" t="s">
        <v>1704</v>
      </c>
      <c r="C305" s="91" t="s">
        <v>1683</v>
      </c>
      <c r="D305" s="19" t="s">
        <v>1787</v>
      </c>
      <c r="E305" s="92" t="n">
        <v>0</v>
      </c>
      <c r="F305" s="92" t="n">
        <f aca="false">E305/10</f>
        <v>0</v>
      </c>
      <c r="G305" s="21" t="s">
        <v>1684</v>
      </c>
      <c r="H305" s="21"/>
      <c r="I305" s="21"/>
      <c r="J305" s="21"/>
      <c r="K305" s="21"/>
      <c r="L305" s="21"/>
      <c r="M305" s="21"/>
    </row>
    <row r="306" customFormat="false" ht="15.75" hidden="false" customHeight="true" outlineLevel="0" collapsed="false">
      <c r="A306" s="91" t="s">
        <v>1703</v>
      </c>
      <c r="B306" s="18" t="s">
        <v>1704</v>
      </c>
      <c r="C306" s="91" t="s">
        <v>1687</v>
      </c>
      <c r="D306" s="19" t="s">
        <v>1787</v>
      </c>
      <c r="E306" s="92" t="n">
        <v>0</v>
      </c>
      <c r="F306" s="92" t="n">
        <f aca="false">E306/10</f>
        <v>0</v>
      </c>
      <c r="G306" s="21" t="s">
        <v>1688</v>
      </c>
      <c r="H306" s="21"/>
      <c r="I306" s="21"/>
      <c r="J306" s="21"/>
      <c r="K306" s="21"/>
      <c r="L306" s="21"/>
      <c r="M306" s="21"/>
    </row>
    <row r="307" customFormat="false" ht="15.75" hidden="false" customHeight="true" outlineLevel="0" collapsed="false">
      <c r="A307" s="91" t="s">
        <v>1703</v>
      </c>
      <c r="B307" s="18" t="s">
        <v>1704</v>
      </c>
      <c r="C307" s="91" t="s">
        <v>1689</v>
      </c>
      <c r="D307" s="19" t="s">
        <v>1787</v>
      </c>
      <c r="E307" s="92" t="n">
        <v>0</v>
      </c>
      <c r="F307" s="92" t="n">
        <f aca="false">E307/10</f>
        <v>0</v>
      </c>
      <c r="G307" s="21" t="s">
        <v>1690</v>
      </c>
      <c r="H307" s="21"/>
      <c r="I307" s="21"/>
      <c r="J307" s="21"/>
      <c r="K307" s="21"/>
      <c r="L307" s="21"/>
      <c r="M307" s="21"/>
    </row>
    <row r="308" customFormat="false" ht="15.75" hidden="false" customHeight="true" outlineLevel="0" collapsed="false">
      <c r="A308" s="91" t="s">
        <v>1703</v>
      </c>
      <c r="B308" s="18" t="s">
        <v>1704</v>
      </c>
      <c r="C308" s="91" t="s">
        <v>1691</v>
      </c>
      <c r="D308" s="19" t="s">
        <v>1787</v>
      </c>
      <c r="E308" s="92" t="n">
        <v>0</v>
      </c>
      <c r="F308" s="92" t="n">
        <f aca="false">E308/10</f>
        <v>0</v>
      </c>
      <c r="G308" s="21" t="s">
        <v>1692</v>
      </c>
      <c r="H308" s="21"/>
      <c r="I308" s="21"/>
      <c r="J308" s="21"/>
      <c r="K308" s="21"/>
      <c r="L308" s="21"/>
      <c r="M308" s="21"/>
    </row>
    <row r="309" customFormat="false" ht="15.75" hidden="false" customHeight="true" outlineLevel="0" collapsed="false">
      <c r="A309" s="91" t="s">
        <v>1777</v>
      </c>
      <c r="B309" s="18" t="s">
        <v>1778</v>
      </c>
      <c r="C309" s="91" t="s">
        <v>1764</v>
      </c>
      <c r="D309" s="19" t="s">
        <v>1789</v>
      </c>
      <c r="E309" s="92" t="n">
        <v>0</v>
      </c>
      <c r="F309" s="92" t="n">
        <f aca="false">E309/10</f>
        <v>0</v>
      </c>
      <c r="G309" s="21" t="s">
        <v>1765</v>
      </c>
      <c r="H309" s="21"/>
      <c r="I309" s="21"/>
      <c r="J309" s="21"/>
      <c r="K309" s="21"/>
      <c r="L309" s="21"/>
      <c r="M309" s="21"/>
    </row>
    <row r="310" customFormat="false" ht="15.75" hidden="false" customHeight="true" outlineLevel="0" collapsed="false">
      <c r="A310" s="91" t="s">
        <v>1777</v>
      </c>
      <c r="B310" s="18" t="s">
        <v>1778</v>
      </c>
      <c r="C310" s="91" t="s">
        <v>1769</v>
      </c>
      <c r="D310" s="19" t="s">
        <v>1789</v>
      </c>
      <c r="E310" s="92" t="n">
        <v>0</v>
      </c>
      <c r="F310" s="92" t="n">
        <f aca="false">E310/10</f>
        <v>0</v>
      </c>
      <c r="G310" s="21" t="s">
        <v>1770</v>
      </c>
      <c r="H310" s="21"/>
      <c r="I310" s="21"/>
      <c r="J310" s="21"/>
      <c r="K310" s="21"/>
      <c r="L310" s="21"/>
      <c r="M310" s="21"/>
    </row>
    <row r="311" customFormat="false" ht="15.75" hidden="false" customHeight="true" outlineLevel="0" collapsed="false">
      <c r="A311" s="91" t="s">
        <v>1777</v>
      </c>
      <c r="B311" s="18" t="s">
        <v>1778</v>
      </c>
      <c r="C311" s="91" t="s">
        <v>1203</v>
      </c>
      <c r="D311" s="19" t="s">
        <v>1789</v>
      </c>
      <c r="E311" s="92" t="n">
        <v>0</v>
      </c>
      <c r="F311" s="92" t="n">
        <f aca="false">E311/10</f>
        <v>0</v>
      </c>
      <c r="G311" s="21" t="s">
        <v>1775</v>
      </c>
      <c r="H311" s="21"/>
      <c r="I311" s="21"/>
      <c r="J311" s="21"/>
      <c r="K311" s="21"/>
      <c r="L311" s="21"/>
      <c r="M311" s="21"/>
    </row>
    <row r="312" customFormat="false" ht="15.75" hidden="false" customHeight="true" outlineLevel="0" collapsed="false">
      <c r="A312" s="91" t="s">
        <v>1777</v>
      </c>
      <c r="B312" s="18" t="s">
        <v>1778</v>
      </c>
      <c r="C312" s="91" t="s">
        <v>1372</v>
      </c>
      <c r="D312" s="19" t="s">
        <v>1789</v>
      </c>
      <c r="E312" s="92" t="n">
        <v>0</v>
      </c>
      <c r="F312" s="92" t="n">
        <f aca="false">E312/10</f>
        <v>0</v>
      </c>
      <c r="G312" s="21" t="s">
        <v>1776</v>
      </c>
      <c r="H312" s="21"/>
      <c r="I312" s="21"/>
      <c r="J312" s="21"/>
      <c r="K312" s="21"/>
      <c r="L312" s="21"/>
      <c r="M312" s="21"/>
    </row>
    <row r="313" customFormat="false" ht="15.75" hidden="false" customHeight="true" outlineLevel="0" collapsed="false">
      <c r="A313" s="91" t="s">
        <v>1777</v>
      </c>
      <c r="B313" s="18" t="s">
        <v>1778</v>
      </c>
      <c r="C313" s="91" t="s">
        <v>1771</v>
      </c>
      <c r="D313" s="19" t="s">
        <v>1789</v>
      </c>
      <c r="E313" s="92" t="n">
        <v>0</v>
      </c>
      <c r="F313" s="92" t="n">
        <f aca="false">E313/10</f>
        <v>0</v>
      </c>
      <c r="G313" s="21" t="s">
        <v>1772</v>
      </c>
      <c r="H313" s="21"/>
      <c r="I313" s="21"/>
      <c r="J313" s="21"/>
      <c r="K313" s="21"/>
      <c r="L313" s="21"/>
      <c r="M313" s="21"/>
    </row>
    <row r="314" customFormat="false" ht="15.75" hidden="false" customHeight="true" outlineLevel="0" collapsed="false">
      <c r="A314" s="91" t="s">
        <v>1777</v>
      </c>
      <c r="B314" s="18" t="s">
        <v>1778</v>
      </c>
      <c r="C314" s="91" t="s">
        <v>1773</v>
      </c>
      <c r="D314" s="19" t="s">
        <v>1789</v>
      </c>
      <c r="E314" s="92" t="n">
        <v>0</v>
      </c>
      <c r="F314" s="92" t="n">
        <f aca="false">E314/10</f>
        <v>0</v>
      </c>
      <c r="G314" s="21" t="s">
        <v>1774</v>
      </c>
      <c r="H314" s="21"/>
      <c r="I314" s="21"/>
      <c r="J314" s="21"/>
      <c r="K314" s="21"/>
      <c r="L314" s="21"/>
      <c r="M314" s="21"/>
    </row>
    <row r="315" customFormat="false" ht="15.75" hidden="false" customHeight="true" outlineLevel="0" collapsed="false">
      <c r="A315" s="91" t="s">
        <v>1635</v>
      </c>
      <c r="B315" s="18" t="s">
        <v>1636</v>
      </c>
      <c r="C315" s="91" t="s">
        <v>1632</v>
      </c>
      <c r="D315" s="19" t="s">
        <v>1790</v>
      </c>
      <c r="E315" s="92" t="n">
        <v>0</v>
      </c>
      <c r="F315" s="92" t="n">
        <f aca="false">E315/10</f>
        <v>0</v>
      </c>
      <c r="G315" s="21" t="s">
        <v>1633</v>
      </c>
      <c r="H315" s="21"/>
      <c r="I315" s="21"/>
      <c r="J315" s="21"/>
      <c r="K315" s="21"/>
      <c r="L315" s="21"/>
      <c r="M315" s="21"/>
    </row>
    <row r="316" customFormat="false" ht="15.75" hidden="false" customHeight="true" outlineLevel="0" collapsed="false">
      <c r="A316" s="91" t="s">
        <v>1771</v>
      </c>
      <c r="B316" s="18" t="s">
        <v>1772</v>
      </c>
      <c r="C316" s="91" t="s">
        <v>1767</v>
      </c>
      <c r="D316" s="19" t="s">
        <v>1789</v>
      </c>
      <c r="E316" s="92" t="n">
        <v>0</v>
      </c>
      <c r="F316" s="92" t="n">
        <f aca="false">E316/10</f>
        <v>0</v>
      </c>
      <c r="G316" s="21" t="s">
        <v>1768</v>
      </c>
      <c r="H316" s="21"/>
      <c r="I316" s="21"/>
      <c r="J316" s="21"/>
      <c r="K316" s="21"/>
      <c r="L316" s="21"/>
      <c r="M316" s="21"/>
    </row>
    <row r="317" customFormat="false" ht="15.75" hidden="false" customHeight="true" outlineLevel="0" collapsed="false">
      <c r="A317" s="91" t="s">
        <v>1773</v>
      </c>
      <c r="B317" s="18" t="s">
        <v>1774</v>
      </c>
      <c r="C317" s="91" t="s">
        <v>1764</v>
      </c>
      <c r="D317" s="19" t="s">
        <v>1789</v>
      </c>
      <c r="E317" s="92" t="n">
        <v>0</v>
      </c>
      <c r="F317" s="92" t="n">
        <f aca="false">E317/10</f>
        <v>0</v>
      </c>
      <c r="G317" s="21" t="s">
        <v>1765</v>
      </c>
      <c r="H317" s="21"/>
      <c r="I317" s="21"/>
      <c r="J317" s="21"/>
      <c r="K317" s="21"/>
      <c r="L317" s="21"/>
      <c r="M317" s="21"/>
    </row>
    <row r="318" customFormat="false" ht="15.75" hidden="false" customHeight="true" outlineLevel="0" collapsed="false">
      <c r="A318" s="91" t="s">
        <v>1773</v>
      </c>
      <c r="B318" s="18" t="s">
        <v>1774</v>
      </c>
      <c r="C318" s="91" t="s">
        <v>1769</v>
      </c>
      <c r="D318" s="19" t="s">
        <v>1789</v>
      </c>
      <c r="E318" s="92" t="n">
        <v>0</v>
      </c>
      <c r="F318" s="92" t="n">
        <f aca="false">E318/10</f>
        <v>0</v>
      </c>
      <c r="G318" s="21" t="s">
        <v>1770</v>
      </c>
      <c r="H318" s="21"/>
      <c r="I318" s="21"/>
      <c r="J318" s="21"/>
      <c r="K318" s="21"/>
      <c r="L318" s="21"/>
      <c r="M318" s="21"/>
    </row>
    <row r="319" customFormat="false" ht="15.75" hidden="false" customHeight="true" outlineLevel="0" collapsed="false">
      <c r="A319" s="91" t="s">
        <v>1664</v>
      </c>
      <c r="B319" s="18" t="s">
        <v>1665</v>
      </c>
      <c r="C319" s="91" t="s">
        <v>1628</v>
      </c>
      <c r="D319" s="19" t="s">
        <v>1787</v>
      </c>
      <c r="E319" s="92" t="n">
        <v>0</v>
      </c>
      <c r="F319" s="92" t="n">
        <f aca="false">E319/10</f>
        <v>0</v>
      </c>
      <c r="G319" s="21" t="s">
        <v>1629</v>
      </c>
      <c r="H319" s="21"/>
      <c r="I319" s="21"/>
      <c r="J319" s="21"/>
      <c r="K319" s="21"/>
      <c r="L319" s="21"/>
      <c r="M319" s="21"/>
    </row>
    <row r="320" customFormat="false" ht="15.75" hidden="false" customHeight="true" outlineLevel="0" collapsed="false">
      <c r="A320" s="91" t="s">
        <v>1664</v>
      </c>
      <c r="B320" s="18" t="s">
        <v>1665</v>
      </c>
      <c r="C320" s="91" t="s">
        <v>1638</v>
      </c>
      <c r="D320" s="19" t="s">
        <v>1787</v>
      </c>
      <c r="E320" s="92" t="n">
        <v>0</v>
      </c>
      <c r="F320" s="92" t="n">
        <f aca="false">E320/10</f>
        <v>0</v>
      </c>
      <c r="G320" s="21" t="s">
        <v>1639</v>
      </c>
      <c r="H320" s="21"/>
      <c r="I320" s="21"/>
      <c r="J320" s="21"/>
      <c r="K320" s="21"/>
      <c r="L320" s="21"/>
      <c r="M320" s="21"/>
    </row>
    <row r="321" customFormat="false" ht="15.75" hidden="false" customHeight="true" outlineLevel="0" collapsed="false">
      <c r="A321" s="91" t="s">
        <v>1666</v>
      </c>
      <c r="B321" s="18" t="s">
        <v>1667</v>
      </c>
      <c r="C321" s="91" t="s">
        <v>1635</v>
      </c>
      <c r="D321" s="19" t="s">
        <v>1787</v>
      </c>
      <c r="E321" s="92" t="n">
        <v>0</v>
      </c>
      <c r="F321" s="92" t="n">
        <f aca="false">E321/10</f>
        <v>0</v>
      </c>
      <c r="G321" s="21" t="s">
        <v>1636</v>
      </c>
      <c r="H321" s="21"/>
      <c r="I321" s="21"/>
      <c r="J321" s="21"/>
      <c r="K321" s="21"/>
      <c r="L321" s="21"/>
      <c r="M321" s="21"/>
    </row>
    <row r="322" customFormat="false" ht="15.75" hidden="false" customHeight="true" outlineLevel="0" collapsed="false">
      <c r="A322" s="91" t="s">
        <v>1666</v>
      </c>
      <c r="B322" s="18" t="s">
        <v>1667</v>
      </c>
      <c r="C322" s="91" t="s">
        <v>1664</v>
      </c>
      <c r="D322" s="19" t="s">
        <v>1788</v>
      </c>
      <c r="E322" s="92" t="n">
        <v>0</v>
      </c>
      <c r="F322" s="92" t="n">
        <f aca="false">E322/10</f>
        <v>0</v>
      </c>
      <c r="G322" s="21" t="s">
        <v>1665</v>
      </c>
      <c r="H322" s="21"/>
      <c r="I322" s="21"/>
      <c r="J322" s="21"/>
      <c r="K322" s="21"/>
      <c r="L322" s="21"/>
      <c r="M322" s="21"/>
    </row>
    <row r="323" customFormat="false" ht="15.75" hidden="false" customHeight="true" outlineLevel="0" collapsed="false">
      <c r="A323" s="91" t="s">
        <v>1670</v>
      </c>
      <c r="B323" s="18" t="s">
        <v>1671</v>
      </c>
      <c r="C323" s="91" t="s">
        <v>1664</v>
      </c>
      <c r="D323" s="19" t="s">
        <v>1787</v>
      </c>
      <c r="E323" s="92" t="n">
        <v>0</v>
      </c>
      <c r="F323" s="92" t="n">
        <f aca="false">E323/10</f>
        <v>0</v>
      </c>
      <c r="G323" s="21" t="s">
        <v>1665</v>
      </c>
      <c r="H323" s="21"/>
      <c r="I323" s="21"/>
      <c r="J323" s="21"/>
      <c r="K323" s="21"/>
      <c r="L323" s="21"/>
      <c r="M323" s="21"/>
    </row>
    <row r="324" customFormat="false" ht="15.75" hidden="false" customHeight="true" outlineLevel="0" collapsed="false">
      <c r="A324" s="91" t="s">
        <v>1672</v>
      </c>
      <c r="B324" s="18" t="s">
        <v>1673</v>
      </c>
      <c r="C324" s="91" t="s">
        <v>1666</v>
      </c>
      <c r="D324" s="19" t="s">
        <v>1787</v>
      </c>
      <c r="E324" s="92" t="n">
        <v>0</v>
      </c>
      <c r="F324" s="92" t="n">
        <f aca="false">E324/10</f>
        <v>0</v>
      </c>
      <c r="G324" s="21" t="s">
        <v>1667</v>
      </c>
      <c r="H324" s="21"/>
      <c r="I324" s="21"/>
      <c r="J324" s="21"/>
      <c r="K324" s="21"/>
      <c r="L324" s="21"/>
      <c r="M324" s="21"/>
    </row>
    <row r="325" customFormat="false" ht="15.75" hidden="false" customHeight="true" outlineLevel="0" collapsed="false">
      <c r="A325" s="91" t="s">
        <v>1674</v>
      </c>
      <c r="B325" s="18" t="s">
        <v>1675</v>
      </c>
      <c r="C325" s="91" t="s">
        <v>1670</v>
      </c>
      <c r="D325" s="19" t="s">
        <v>1787</v>
      </c>
      <c r="E325" s="92" t="n">
        <v>0</v>
      </c>
      <c r="F325" s="92" t="n">
        <f aca="false">E325/10</f>
        <v>0</v>
      </c>
      <c r="G325" s="21" t="s">
        <v>1671</v>
      </c>
      <c r="H325" s="21"/>
      <c r="I325" s="21"/>
      <c r="J325" s="21"/>
      <c r="K325" s="21"/>
      <c r="L325" s="21"/>
      <c r="M325" s="21"/>
    </row>
    <row r="326" customFormat="false" ht="15.75" hidden="false" customHeight="true" outlineLevel="0" collapsed="false">
      <c r="A326" s="91" t="s">
        <v>1674</v>
      </c>
      <c r="B326" s="18" t="s">
        <v>1675</v>
      </c>
      <c r="C326" s="91" t="s">
        <v>1672</v>
      </c>
      <c r="D326" s="19" t="s">
        <v>1787</v>
      </c>
      <c r="E326" s="92" t="n">
        <v>0</v>
      </c>
      <c r="F326" s="92" t="n">
        <f aca="false">E326/10</f>
        <v>0</v>
      </c>
      <c r="G326" s="21" t="s">
        <v>1673</v>
      </c>
      <c r="H326" s="21"/>
      <c r="I326" s="21"/>
      <c r="J326" s="21"/>
      <c r="K326" s="21"/>
      <c r="L326" s="21"/>
      <c r="M326" s="21"/>
    </row>
    <row r="327" customFormat="false" ht="15.75" hidden="false" customHeight="true" outlineLevel="0" collapsed="false">
      <c r="A327" s="91" t="s">
        <v>1680</v>
      </c>
      <c r="B327" s="18" t="s">
        <v>1681</v>
      </c>
      <c r="C327" s="91" t="s">
        <v>1674</v>
      </c>
      <c r="D327" s="19" t="s">
        <v>1787</v>
      </c>
      <c r="E327" s="92" t="n">
        <v>0</v>
      </c>
      <c r="F327" s="92" t="n">
        <f aca="false">E327/10</f>
        <v>0</v>
      </c>
      <c r="G327" s="21" t="s">
        <v>1675</v>
      </c>
      <c r="H327" s="21"/>
      <c r="I327" s="21"/>
      <c r="J327" s="21"/>
      <c r="K327" s="21"/>
      <c r="L327" s="21"/>
      <c r="M327" s="21"/>
    </row>
    <row r="328" customFormat="false" ht="15.75" hidden="false" customHeight="true" outlineLevel="0" collapsed="false">
      <c r="A328" s="91" t="s">
        <v>1682</v>
      </c>
      <c r="B328" s="18" t="s">
        <v>1681</v>
      </c>
      <c r="C328" s="91" t="s">
        <v>1674</v>
      </c>
      <c r="D328" s="19" t="s">
        <v>1787</v>
      </c>
      <c r="E328" s="92" t="n">
        <v>0</v>
      </c>
      <c r="F328" s="92" t="n">
        <f aca="false">E328/10</f>
        <v>0</v>
      </c>
      <c r="G328" s="21" t="s">
        <v>1675</v>
      </c>
      <c r="H328" s="21"/>
      <c r="I328" s="21"/>
      <c r="J328" s="21"/>
      <c r="K328" s="21"/>
      <c r="L328" s="21"/>
      <c r="M328" s="21"/>
    </row>
    <row r="329" customFormat="false" ht="15.75" hidden="false" customHeight="true" outlineLevel="0" collapsed="false">
      <c r="A329" s="91" t="s">
        <v>1668</v>
      </c>
      <c r="B329" s="18" t="s">
        <v>1669</v>
      </c>
      <c r="C329" s="91" t="s">
        <v>1638</v>
      </c>
      <c r="D329" s="19" t="s">
        <v>1787</v>
      </c>
      <c r="E329" s="92" t="n">
        <v>0</v>
      </c>
      <c r="F329" s="92" t="n">
        <f aca="false">E329/10</f>
        <v>0</v>
      </c>
      <c r="G329" s="21" t="s">
        <v>1639</v>
      </c>
      <c r="H329" s="21"/>
      <c r="I329" s="21"/>
      <c r="J329" s="21"/>
      <c r="K329" s="21"/>
      <c r="L329" s="21"/>
      <c r="M329" s="21"/>
    </row>
    <row r="330" customFormat="false" ht="15.75" hidden="false" customHeight="true" outlineLevel="0" collapsed="false">
      <c r="A330" s="91" t="s">
        <v>1668</v>
      </c>
      <c r="B330" s="18" t="s">
        <v>1669</v>
      </c>
      <c r="C330" s="91" t="s">
        <v>1632</v>
      </c>
      <c r="D330" s="19" t="s">
        <v>1788</v>
      </c>
      <c r="E330" s="92" t="n">
        <v>0</v>
      </c>
      <c r="F330" s="92" t="n">
        <f aca="false">E330/10</f>
        <v>0</v>
      </c>
      <c r="G330" s="21" t="s">
        <v>1633</v>
      </c>
      <c r="H330" s="21"/>
      <c r="I330" s="21"/>
      <c r="J330" s="21"/>
      <c r="K330" s="21"/>
      <c r="L330" s="21"/>
      <c r="M330" s="21"/>
    </row>
    <row r="331" customFormat="false" ht="15.75" hidden="false" customHeight="true" outlineLevel="0" collapsed="false">
      <c r="A331" s="91" t="s">
        <v>1668</v>
      </c>
      <c r="B331" s="18" t="s">
        <v>1669</v>
      </c>
      <c r="C331" s="91" t="s">
        <v>1635</v>
      </c>
      <c r="D331" s="19" t="s">
        <v>1787</v>
      </c>
      <c r="E331" s="92" t="n">
        <v>0</v>
      </c>
      <c r="F331" s="92" t="n">
        <f aca="false">E331/10</f>
        <v>0</v>
      </c>
      <c r="G331" s="21" t="s">
        <v>1636</v>
      </c>
      <c r="H331" s="21"/>
      <c r="I331" s="21"/>
      <c r="J331" s="21"/>
      <c r="K331" s="21"/>
      <c r="L331" s="21"/>
      <c r="M331" s="21"/>
    </row>
    <row r="332" customFormat="false" ht="15.75" hidden="false" customHeight="true" outlineLevel="0" collapsed="false">
      <c r="A332" s="91" t="s">
        <v>1676</v>
      </c>
      <c r="B332" s="18" t="s">
        <v>1677</v>
      </c>
      <c r="C332" s="91" t="s">
        <v>1668</v>
      </c>
      <c r="D332" s="19" t="s">
        <v>1787</v>
      </c>
      <c r="E332" s="92" t="n">
        <v>0</v>
      </c>
      <c r="F332" s="92" t="n">
        <f aca="false">E332/10</f>
        <v>0</v>
      </c>
      <c r="G332" s="21" t="s">
        <v>1669</v>
      </c>
      <c r="H332" s="21"/>
      <c r="I332" s="21"/>
      <c r="J332" s="21"/>
      <c r="K332" s="21"/>
      <c r="L332" s="21"/>
      <c r="M332" s="21"/>
    </row>
    <row r="333" customFormat="false" ht="15.75" hidden="false" customHeight="true" outlineLevel="0" collapsed="false">
      <c r="A333" s="91" t="s">
        <v>1705</v>
      </c>
      <c r="B333" s="18" t="s">
        <v>1667</v>
      </c>
      <c r="C333" s="91" t="s">
        <v>1668</v>
      </c>
      <c r="D333" s="19" t="s">
        <v>1787</v>
      </c>
      <c r="E333" s="92" t="n">
        <v>0</v>
      </c>
      <c r="F333" s="92" t="n">
        <f aca="false">E333/10</f>
        <v>0</v>
      </c>
      <c r="G333" s="21" t="s">
        <v>1669</v>
      </c>
      <c r="H333" s="21"/>
      <c r="I333" s="21"/>
      <c r="J333" s="21"/>
      <c r="K333" s="21"/>
      <c r="L333" s="21"/>
      <c r="M333" s="21"/>
    </row>
    <row r="334" customFormat="false" ht="15.75" hidden="false" customHeight="true" outlineLevel="0" collapsed="false">
      <c r="A334" s="91" t="s">
        <v>1705</v>
      </c>
      <c r="B334" s="18" t="s">
        <v>1667</v>
      </c>
      <c r="C334" s="91" t="s">
        <v>1676</v>
      </c>
      <c r="D334" s="19" t="s">
        <v>1787</v>
      </c>
      <c r="E334" s="92" t="n">
        <v>0</v>
      </c>
      <c r="F334" s="92" t="n">
        <f aca="false">E334/10</f>
        <v>0</v>
      </c>
      <c r="G334" s="21" t="s">
        <v>1677</v>
      </c>
      <c r="H334" s="21"/>
      <c r="I334" s="21"/>
      <c r="J334" s="21"/>
      <c r="K334" s="21"/>
      <c r="L334" s="21"/>
      <c r="M334" s="21"/>
    </row>
    <row r="335" customFormat="false" ht="15.75" hidden="false" customHeight="true" outlineLevel="0" collapsed="false">
      <c r="A335" s="91" t="s">
        <v>1715</v>
      </c>
      <c r="B335" s="18" t="s">
        <v>1716</v>
      </c>
      <c r="C335" s="91" t="s">
        <v>1682</v>
      </c>
      <c r="D335" s="19" t="s">
        <v>1788</v>
      </c>
      <c r="E335" s="92" t="n">
        <v>270</v>
      </c>
      <c r="F335" s="92" t="n">
        <f aca="false">E335/10</f>
        <v>27</v>
      </c>
      <c r="G335" s="21" t="s">
        <v>1681</v>
      </c>
      <c r="H335" s="21"/>
      <c r="I335" s="21"/>
      <c r="J335" s="21"/>
      <c r="K335" s="21"/>
      <c r="L335" s="21"/>
      <c r="M335" s="21"/>
    </row>
    <row r="336" customFormat="false" ht="15.75" hidden="false" customHeight="true" outlineLevel="0" collapsed="false">
      <c r="A336" s="91" t="s">
        <v>1717</v>
      </c>
      <c r="B336" s="18" t="s">
        <v>1718</v>
      </c>
      <c r="C336" s="91" t="s">
        <v>1715</v>
      </c>
      <c r="D336" s="19" t="s">
        <v>1788</v>
      </c>
      <c r="E336" s="92" t="n">
        <v>0</v>
      </c>
      <c r="F336" s="92" t="n">
        <f aca="false">E336/10</f>
        <v>0</v>
      </c>
      <c r="G336" s="21" t="s">
        <v>1716</v>
      </c>
      <c r="H336" s="21"/>
      <c r="I336" s="21"/>
      <c r="J336" s="21"/>
      <c r="K336" s="21"/>
      <c r="L336" s="21"/>
      <c r="M336" s="21"/>
    </row>
    <row r="337" customFormat="false" ht="15.75" hidden="false" customHeight="true" outlineLevel="0" collapsed="false">
      <c r="A337" s="91" t="s">
        <v>1717</v>
      </c>
      <c r="B337" s="18" t="s">
        <v>1718</v>
      </c>
      <c r="C337" s="91" t="s">
        <v>1715</v>
      </c>
      <c r="D337" s="19" t="s">
        <v>1789</v>
      </c>
      <c r="E337" s="92" t="n">
        <v>0</v>
      </c>
      <c r="F337" s="92" t="n">
        <f aca="false">E337/10</f>
        <v>0</v>
      </c>
      <c r="G337" s="21" t="s">
        <v>1716</v>
      </c>
      <c r="H337" s="21"/>
      <c r="I337" s="21"/>
      <c r="J337" s="21"/>
      <c r="K337" s="21"/>
      <c r="L337" s="21"/>
      <c r="M337" s="21"/>
    </row>
    <row r="338" customFormat="false" ht="15.75" hidden="false" customHeight="true" outlineLevel="0" collapsed="false">
      <c r="A338" s="91" t="s">
        <v>1710</v>
      </c>
      <c r="B338" s="18" t="s">
        <v>1673</v>
      </c>
      <c r="C338" s="91" t="s">
        <v>1705</v>
      </c>
      <c r="D338" s="19" t="s">
        <v>1787</v>
      </c>
      <c r="E338" s="92" t="n">
        <v>0</v>
      </c>
      <c r="F338" s="92" t="n">
        <f aca="false">E338/10</f>
        <v>0</v>
      </c>
      <c r="G338" s="21" t="s">
        <v>1667</v>
      </c>
      <c r="H338" s="21"/>
      <c r="I338" s="21"/>
      <c r="J338" s="21"/>
      <c r="K338" s="21"/>
      <c r="L338" s="21"/>
      <c r="M338" s="21"/>
    </row>
    <row r="339" customFormat="false" ht="15.75" hidden="false" customHeight="true" outlineLevel="0" collapsed="false">
      <c r="A339" s="91" t="s">
        <v>1719</v>
      </c>
      <c r="B339" s="18" t="s">
        <v>1720</v>
      </c>
      <c r="C339" s="91" t="s">
        <v>1717</v>
      </c>
      <c r="D339" s="19" t="s">
        <v>1789</v>
      </c>
      <c r="E339" s="92" t="n">
        <v>10</v>
      </c>
      <c r="F339" s="92" t="n">
        <f aca="false">E339/10</f>
        <v>1</v>
      </c>
      <c r="G339" s="21" t="s">
        <v>1718</v>
      </c>
      <c r="H339" s="21"/>
      <c r="I339" s="21"/>
      <c r="J339" s="21"/>
      <c r="K339" s="21"/>
      <c r="L339" s="21"/>
      <c r="M339" s="21"/>
    </row>
    <row r="340" customFormat="false" ht="15.75" hidden="false" customHeight="true" outlineLevel="0" collapsed="false">
      <c r="A340" s="91" t="s">
        <v>1719</v>
      </c>
      <c r="B340" s="18" t="s">
        <v>1720</v>
      </c>
      <c r="C340" s="91" t="s">
        <v>1717</v>
      </c>
      <c r="D340" s="19" t="s">
        <v>1788</v>
      </c>
      <c r="E340" s="92" t="n">
        <v>10</v>
      </c>
      <c r="F340" s="92" t="n">
        <f aca="false">E340/10</f>
        <v>1</v>
      </c>
      <c r="G340" s="21" t="s">
        <v>1718</v>
      </c>
      <c r="H340" s="21"/>
      <c r="I340" s="21"/>
      <c r="J340" s="21"/>
      <c r="K340" s="21"/>
      <c r="L340" s="21"/>
      <c r="M340" s="21"/>
    </row>
    <row r="341" customFormat="false" ht="15.75" hidden="false" customHeight="true" outlineLevel="0" collapsed="false">
      <c r="A341" s="91" t="s">
        <v>1723</v>
      </c>
      <c r="B341" s="18" t="s">
        <v>1675</v>
      </c>
      <c r="C341" s="91" t="s">
        <v>1710</v>
      </c>
      <c r="D341" s="19" t="s">
        <v>1787</v>
      </c>
      <c r="E341" s="92" t="n">
        <v>0</v>
      </c>
      <c r="F341" s="92" t="n">
        <f aca="false">E341/10</f>
        <v>0</v>
      </c>
      <c r="G341" s="21" t="s">
        <v>1673</v>
      </c>
      <c r="H341" s="21"/>
      <c r="I341" s="21"/>
      <c r="J341" s="21"/>
      <c r="K341" s="21"/>
      <c r="L341" s="21"/>
      <c r="M341" s="21"/>
    </row>
    <row r="342" customFormat="false" ht="15.75" hidden="false" customHeight="true" outlineLevel="0" collapsed="false">
      <c r="A342" s="91" t="s">
        <v>1726</v>
      </c>
      <c r="B342" s="18" t="s">
        <v>1727</v>
      </c>
      <c r="C342" s="91" t="s">
        <v>1682</v>
      </c>
      <c r="D342" s="19" t="s">
        <v>1789</v>
      </c>
      <c r="E342" s="92" t="n">
        <v>60</v>
      </c>
      <c r="F342" s="92" t="n">
        <f aca="false">E342/10</f>
        <v>6</v>
      </c>
      <c r="G342" s="21" t="s">
        <v>1681</v>
      </c>
      <c r="H342" s="21"/>
      <c r="I342" s="21"/>
      <c r="J342" s="21"/>
      <c r="K342" s="21"/>
      <c r="L342" s="21"/>
      <c r="M342" s="21"/>
    </row>
    <row r="343" customFormat="false" ht="15.75" hidden="false" customHeight="true" outlineLevel="0" collapsed="false">
      <c r="A343" s="91" t="s">
        <v>1726</v>
      </c>
      <c r="B343" s="18" t="s">
        <v>1727</v>
      </c>
      <c r="C343" s="91" t="s">
        <v>1715</v>
      </c>
      <c r="D343" s="19" t="s">
        <v>1787</v>
      </c>
      <c r="E343" s="92" t="n">
        <v>0</v>
      </c>
      <c r="F343" s="92" t="n">
        <f aca="false">E343/10</f>
        <v>0</v>
      </c>
      <c r="G343" s="21" t="s">
        <v>1716</v>
      </c>
      <c r="H343" s="21"/>
      <c r="I343" s="21"/>
      <c r="J343" s="21"/>
      <c r="K343" s="21"/>
      <c r="L343" s="21"/>
      <c r="M343" s="21"/>
    </row>
    <row r="344" customFormat="false" ht="15.75" hidden="false" customHeight="true" outlineLevel="0" collapsed="false">
      <c r="A344" s="91" t="s">
        <v>1728</v>
      </c>
      <c r="B344" s="18" t="s">
        <v>1729</v>
      </c>
      <c r="C344" s="91" t="s">
        <v>1726</v>
      </c>
      <c r="D344" s="19" t="s">
        <v>1788</v>
      </c>
      <c r="E344" s="92" t="n">
        <v>0</v>
      </c>
      <c r="F344" s="92" t="n">
        <f aca="false">E344/10</f>
        <v>0</v>
      </c>
      <c r="G344" s="21" t="s">
        <v>1727</v>
      </c>
      <c r="H344" s="21"/>
      <c r="I344" s="21"/>
      <c r="J344" s="21"/>
      <c r="K344" s="21"/>
      <c r="L344" s="21"/>
      <c r="M344" s="21"/>
    </row>
    <row r="345" customFormat="false" ht="15.75" hidden="false" customHeight="true" outlineLevel="0" collapsed="false">
      <c r="A345" s="91" t="s">
        <v>1728</v>
      </c>
      <c r="B345" s="18" t="s">
        <v>1729</v>
      </c>
      <c r="C345" s="91" t="s">
        <v>1726</v>
      </c>
      <c r="D345" s="19" t="s">
        <v>1789</v>
      </c>
      <c r="E345" s="92" t="n">
        <v>0</v>
      </c>
      <c r="F345" s="92" t="n">
        <f aca="false">E345/10</f>
        <v>0</v>
      </c>
      <c r="G345" s="21" t="s">
        <v>1727</v>
      </c>
      <c r="H345" s="21"/>
      <c r="I345" s="21"/>
      <c r="J345" s="21"/>
      <c r="K345" s="21"/>
      <c r="L345" s="21"/>
      <c r="M345" s="21"/>
    </row>
    <row r="346" customFormat="false" ht="15.75" hidden="false" customHeight="true" outlineLevel="0" collapsed="false">
      <c r="A346" s="91" t="s">
        <v>1724</v>
      </c>
      <c r="B346" s="18" t="s">
        <v>1725</v>
      </c>
      <c r="C346" s="91" t="s">
        <v>1723</v>
      </c>
      <c r="D346" s="19" t="s">
        <v>1787</v>
      </c>
      <c r="E346" s="92" t="n">
        <v>0</v>
      </c>
      <c r="F346" s="92" t="n">
        <f aca="false">E346/10</f>
        <v>0</v>
      </c>
      <c r="G346" s="21" t="s">
        <v>1675</v>
      </c>
      <c r="H346" s="21"/>
      <c r="I346" s="21"/>
      <c r="J346" s="21"/>
      <c r="K346" s="21"/>
      <c r="L346" s="21"/>
      <c r="M346" s="21"/>
    </row>
    <row r="347" customFormat="false" ht="15.75" hidden="false" customHeight="true" outlineLevel="0" collapsed="false">
      <c r="A347" s="91" t="s">
        <v>1730</v>
      </c>
      <c r="B347" s="18" t="s">
        <v>1731</v>
      </c>
      <c r="C347" s="91" t="s">
        <v>1728</v>
      </c>
      <c r="D347" s="19" t="s">
        <v>1788</v>
      </c>
      <c r="E347" s="92" t="n">
        <v>10</v>
      </c>
      <c r="F347" s="92" t="n">
        <f aca="false">E347/10</f>
        <v>1</v>
      </c>
      <c r="G347" s="21" t="s">
        <v>1729</v>
      </c>
      <c r="H347" s="21"/>
      <c r="I347" s="21"/>
      <c r="J347" s="21"/>
      <c r="K347" s="21"/>
      <c r="L347" s="21"/>
      <c r="M347" s="21"/>
    </row>
    <row r="348" customFormat="false" ht="15.75" hidden="false" customHeight="true" outlineLevel="0" collapsed="false">
      <c r="A348" s="91" t="s">
        <v>1730</v>
      </c>
      <c r="B348" s="18" t="s">
        <v>1731</v>
      </c>
      <c r="C348" s="91" t="s">
        <v>1728</v>
      </c>
      <c r="D348" s="19" t="s">
        <v>1789</v>
      </c>
      <c r="E348" s="92" t="n">
        <v>10</v>
      </c>
      <c r="F348" s="92" t="n">
        <f aca="false">E348/10</f>
        <v>1</v>
      </c>
      <c r="G348" s="21" t="s">
        <v>1729</v>
      </c>
      <c r="H348" s="21"/>
      <c r="I348" s="21"/>
      <c r="J348" s="21"/>
      <c r="K348" s="21"/>
      <c r="L348" s="21"/>
      <c r="M348" s="21"/>
    </row>
    <row r="349" customFormat="false" ht="15.75" hidden="false" customHeight="true" outlineLevel="0" collapsed="false">
      <c r="A349" s="91" t="s">
        <v>1736</v>
      </c>
      <c r="B349" s="18" t="s">
        <v>1737</v>
      </c>
      <c r="C349" s="91" t="s">
        <v>1680</v>
      </c>
      <c r="D349" s="19" t="s">
        <v>1789</v>
      </c>
      <c r="E349" s="92" t="n">
        <v>70</v>
      </c>
      <c r="F349" s="92" t="n">
        <f aca="false">E349/10</f>
        <v>7</v>
      </c>
      <c r="G349" s="21" t="s">
        <v>1681</v>
      </c>
      <c r="H349" s="21"/>
      <c r="I349" s="21"/>
      <c r="J349" s="21"/>
      <c r="K349" s="21"/>
      <c r="L349" s="21"/>
      <c r="M349" s="21"/>
    </row>
    <row r="350" customFormat="false" ht="15.75" hidden="false" customHeight="true" outlineLevel="0" collapsed="false">
      <c r="A350" s="91" t="s">
        <v>1738</v>
      </c>
      <c r="B350" s="18" t="s">
        <v>1739</v>
      </c>
      <c r="C350" s="91" t="s">
        <v>1736</v>
      </c>
      <c r="D350" s="19" t="s">
        <v>1788</v>
      </c>
      <c r="E350" s="92" t="n">
        <v>0</v>
      </c>
      <c r="F350" s="92" t="n">
        <f aca="false">E350/10</f>
        <v>0</v>
      </c>
      <c r="G350" s="21" t="s">
        <v>1737</v>
      </c>
      <c r="H350" s="21"/>
      <c r="I350" s="21"/>
      <c r="J350" s="21"/>
      <c r="K350" s="21"/>
      <c r="L350" s="21"/>
      <c r="M350" s="21"/>
    </row>
    <row r="351" customFormat="false" ht="15.75" hidden="false" customHeight="true" outlineLevel="0" collapsed="false">
      <c r="A351" s="91" t="s">
        <v>1738</v>
      </c>
      <c r="B351" s="18" t="s">
        <v>1739</v>
      </c>
      <c r="C351" s="91" t="s">
        <v>1736</v>
      </c>
      <c r="D351" s="19" t="s">
        <v>1789</v>
      </c>
      <c r="E351" s="92" t="n">
        <v>0</v>
      </c>
      <c r="F351" s="92" t="n">
        <f aca="false">E351/10</f>
        <v>0</v>
      </c>
      <c r="G351" s="21" t="s">
        <v>1737</v>
      </c>
      <c r="H351" s="21"/>
      <c r="I351" s="21"/>
      <c r="J351" s="21"/>
      <c r="K351" s="21"/>
      <c r="L351" s="21"/>
      <c r="M351" s="21"/>
    </row>
    <row r="352" customFormat="false" ht="15.75" hidden="false" customHeight="true" outlineLevel="0" collapsed="false">
      <c r="A352" s="91" t="s">
        <v>1741</v>
      </c>
      <c r="B352" s="18" t="s">
        <v>1742</v>
      </c>
      <c r="C352" s="91" t="s">
        <v>1736</v>
      </c>
      <c r="D352" s="19" t="s">
        <v>1789</v>
      </c>
      <c r="E352" s="92" t="n">
        <v>10</v>
      </c>
      <c r="F352" s="92" t="n">
        <f aca="false">E352/10</f>
        <v>1</v>
      </c>
      <c r="G352" s="21" t="s">
        <v>1737</v>
      </c>
      <c r="H352" s="21"/>
      <c r="I352" s="21"/>
      <c r="J352" s="21"/>
      <c r="K352" s="21"/>
      <c r="L352" s="21"/>
      <c r="M352" s="21"/>
    </row>
    <row r="353" customFormat="false" ht="15.75" hidden="false" customHeight="true" outlineLevel="0" collapsed="false">
      <c r="A353" s="91" t="s">
        <v>1741</v>
      </c>
      <c r="B353" s="18" t="s">
        <v>1742</v>
      </c>
      <c r="C353" s="91" t="s">
        <v>1738</v>
      </c>
      <c r="D353" s="19" t="s">
        <v>1788</v>
      </c>
      <c r="E353" s="92" t="n">
        <v>10</v>
      </c>
      <c r="F353" s="92" t="n">
        <f aca="false">E353/10</f>
        <v>1</v>
      </c>
      <c r="G353" s="21" t="s">
        <v>1739</v>
      </c>
      <c r="H353" s="21"/>
      <c r="I353" s="21"/>
      <c r="J353" s="21"/>
      <c r="K353" s="21"/>
      <c r="L353" s="21"/>
      <c r="M353" s="21"/>
    </row>
    <row r="354" customFormat="false" ht="15.75" hidden="false" customHeight="true" outlineLevel="0" collapsed="false">
      <c r="A354" s="91" t="s">
        <v>1741</v>
      </c>
      <c r="B354" s="18" t="s">
        <v>1742</v>
      </c>
      <c r="C354" s="91" t="s">
        <v>1738</v>
      </c>
      <c r="D354" s="19" t="s">
        <v>1789</v>
      </c>
      <c r="E354" s="92" t="n">
        <v>10</v>
      </c>
      <c r="F354" s="92" t="n">
        <f aca="false">E354/10</f>
        <v>1</v>
      </c>
      <c r="G354" s="21" t="s">
        <v>1739</v>
      </c>
      <c r="H354" s="21"/>
      <c r="I354" s="21"/>
      <c r="J354" s="21"/>
      <c r="K354" s="21"/>
      <c r="L354" s="21"/>
      <c r="M354" s="21"/>
    </row>
    <row r="355" customFormat="false" ht="15.75" hidden="false" customHeight="true" outlineLevel="0" collapsed="false">
      <c r="A355" s="91" t="s">
        <v>1747</v>
      </c>
      <c r="B355" s="18" t="s">
        <v>1748</v>
      </c>
      <c r="C355" s="91" t="s">
        <v>1724</v>
      </c>
      <c r="D355" s="19" t="s">
        <v>1787</v>
      </c>
      <c r="E355" s="92" t="n">
        <v>0</v>
      </c>
      <c r="F355" s="92" t="n">
        <f aca="false">E355/10</f>
        <v>0</v>
      </c>
      <c r="G355" s="21" t="s">
        <v>1725</v>
      </c>
      <c r="H355" s="21"/>
      <c r="I355" s="21"/>
      <c r="J355" s="21"/>
      <c r="K355" s="21"/>
      <c r="L355" s="21"/>
      <c r="M355" s="21"/>
    </row>
    <row r="356" customFormat="false" ht="15.75" hidden="false" customHeight="true" outlineLevel="0" collapsed="false">
      <c r="A356" s="91" t="s">
        <v>1749</v>
      </c>
      <c r="B356" s="18" t="s">
        <v>1750</v>
      </c>
      <c r="C356" s="91" t="s">
        <v>1747</v>
      </c>
      <c r="D356" s="19" t="s">
        <v>1787</v>
      </c>
      <c r="E356" s="92" t="n">
        <v>0</v>
      </c>
      <c r="F356" s="92" t="n">
        <f aca="false">E356/10</f>
        <v>0</v>
      </c>
      <c r="G356" s="21" t="s">
        <v>1748</v>
      </c>
      <c r="H356" s="21"/>
      <c r="I356" s="21"/>
      <c r="J356" s="21"/>
      <c r="K356" s="21"/>
      <c r="L356" s="21"/>
      <c r="M356" s="21"/>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display="Back to 'Programme'"/>
    <hyperlink ref="M5" location="'Assessment'!A1" display="Back to 'Assessment'"/>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71875" defaultRowHeight="14.25" zeroHeight="false" outlineLevelRow="0" outlineLevelCol="0"/>
  <cols>
    <col collapsed="false" customWidth="true" hidden="false" outlineLevel="0" max="1" min="1" style="1" width="6"/>
    <col collapsed="false" customWidth="true" hidden="false" outlineLevel="0" max="2" min="2" style="1" width="58"/>
    <col collapsed="false" customWidth="true" hidden="false" outlineLevel="0" max="3" min="3" style="1" width="7"/>
    <col collapsed="false" customWidth="true" hidden="false" outlineLevel="0" max="4" min="4" style="1" width="11"/>
    <col collapsed="false" customWidth="true" hidden="false" outlineLevel="0" max="5" min="5" style="1" width="13"/>
    <col collapsed="false" customWidth="true" hidden="false" outlineLevel="0" max="6" min="6" style="1" width="15"/>
    <col collapsed="false" customWidth="true" hidden="false" outlineLevel="0" max="7" min="7" style="1" width="16"/>
  </cols>
  <sheetData>
    <row r="1" customFormat="false" ht="25.5" hidden="false" customHeight="true" outlineLevel="0" collapsed="false">
      <c r="A1" s="9" t="s">
        <v>1791</v>
      </c>
    </row>
    <row r="2" customFormat="false" ht="15.75" hidden="false" customHeight="true" outlineLevel="0" collapsed="false">
      <c r="A2" s="10" t="s">
        <v>1792</v>
      </c>
    </row>
    <row r="3" customFormat="false" ht="15" hidden="false" customHeight="true" outlineLevel="0" collapsed="false">
      <c r="A3" s="11" t="s">
        <v>1793</v>
      </c>
    </row>
    <row r="4" customFormat="false" ht="30" hidden="false" customHeight="true" outlineLevel="0" collapsed="false">
      <c r="A4" s="93" t="s">
        <v>1794</v>
      </c>
    </row>
    <row r="5" customFormat="false" ht="19.5" hidden="false" customHeight="true" outlineLevel="0" collapsed="false">
      <c r="A5" s="94"/>
      <c r="B5" s="94"/>
      <c r="C5" s="95" t="s">
        <v>1795</v>
      </c>
      <c r="D5" s="95"/>
      <c r="E5" s="95"/>
      <c r="F5" s="95"/>
      <c r="G5" s="95"/>
    </row>
    <row r="6" customFormat="false" ht="31.5" hidden="false" customHeight="true" outlineLevel="0" collapsed="false">
      <c r="A6" s="14" t="s">
        <v>35</v>
      </c>
      <c r="B6" s="14" t="s">
        <v>36</v>
      </c>
      <c r="C6" s="14" t="s">
        <v>37</v>
      </c>
      <c r="D6" s="14" t="s">
        <v>38</v>
      </c>
      <c r="E6" s="14" t="s">
        <v>39</v>
      </c>
      <c r="F6" s="14" t="s">
        <v>40</v>
      </c>
      <c r="G6" s="14" t="s">
        <v>1796</v>
      </c>
    </row>
    <row r="7" customFormat="false" ht="21.75" hidden="false" customHeight="true" outlineLevel="0" collapsed="false">
      <c r="A7" s="96" t="s">
        <v>1797</v>
      </c>
      <c r="B7" s="96"/>
      <c r="C7" s="96"/>
      <c r="D7" s="96"/>
      <c r="E7" s="96"/>
      <c r="F7" s="96"/>
      <c r="G7" s="96"/>
    </row>
    <row r="8" customFormat="false" ht="45" hidden="false" customHeight="true" outlineLevel="0" collapsed="false">
      <c r="A8" s="97" t="n">
        <v>1</v>
      </c>
      <c r="B8" s="98" t="s">
        <v>1798</v>
      </c>
      <c r="C8" s="97" t="s">
        <v>49</v>
      </c>
      <c r="D8" s="99" t="n">
        <v>1</v>
      </c>
      <c r="E8" s="99" t="n">
        <v>816000</v>
      </c>
      <c r="F8" s="100" t="n">
        <v>816000</v>
      </c>
      <c r="G8" s="101"/>
    </row>
    <row r="9" customFormat="false" ht="21.75" hidden="false" customHeight="true" outlineLevel="0" collapsed="false">
      <c r="A9" s="96" t="s">
        <v>54</v>
      </c>
      <c r="B9" s="96"/>
      <c r="C9" s="96"/>
      <c r="D9" s="96"/>
      <c r="E9" s="96"/>
      <c r="F9" s="96"/>
      <c r="G9" s="96"/>
    </row>
    <row r="10" customFormat="false" ht="96.75" hidden="false" customHeight="true" outlineLevel="0" collapsed="false">
      <c r="A10" s="97" t="n">
        <v>2</v>
      </c>
      <c r="B10" s="98" t="s">
        <v>1799</v>
      </c>
      <c r="C10" s="97" t="s">
        <v>49</v>
      </c>
      <c r="D10" s="99" t="n">
        <v>1</v>
      </c>
      <c r="E10" s="99" t="n">
        <v>102000</v>
      </c>
      <c r="F10" s="100" t="n">
        <v>102000</v>
      </c>
      <c r="G10" s="101"/>
    </row>
    <row r="11" customFormat="false" ht="21.75" hidden="false" customHeight="true" outlineLevel="0" collapsed="false">
      <c r="A11" s="96" t="s">
        <v>1800</v>
      </c>
      <c r="B11" s="96"/>
      <c r="C11" s="96"/>
      <c r="D11" s="96"/>
      <c r="E11" s="96"/>
      <c r="F11" s="96"/>
      <c r="G11" s="96"/>
    </row>
    <row r="12" customFormat="false" ht="70.5" hidden="false" customHeight="true" outlineLevel="0" collapsed="false">
      <c r="A12" s="97" t="n">
        <v>3</v>
      </c>
      <c r="B12" s="98" t="s">
        <v>1801</v>
      </c>
      <c r="C12" s="97" t="s">
        <v>49</v>
      </c>
      <c r="D12" s="99" t="n">
        <v>1</v>
      </c>
      <c r="E12" s="99" t="n">
        <v>18000</v>
      </c>
      <c r="F12" s="100" t="n">
        <v>18000</v>
      </c>
      <c r="G12" s="101"/>
    </row>
    <row r="13" customFormat="false" ht="258.75" hidden="false" customHeight="true" outlineLevel="0" collapsed="false">
      <c r="A13" s="97" t="n">
        <v>4</v>
      </c>
      <c r="B13" s="98" t="s">
        <v>1802</v>
      </c>
      <c r="C13" s="97" t="s">
        <v>49</v>
      </c>
      <c r="D13" s="99" t="n">
        <v>1</v>
      </c>
      <c r="E13" s="99" t="n">
        <v>31500</v>
      </c>
      <c r="F13" s="100" t="n">
        <v>31500</v>
      </c>
      <c r="G13" s="101"/>
    </row>
    <row r="14" customFormat="false" ht="14.25" hidden="false" customHeight="true" outlineLevel="0" collapsed="false">
      <c r="A14" s="96" t="s">
        <v>1803</v>
      </c>
      <c r="B14" s="96"/>
      <c r="C14" s="96"/>
      <c r="D14" s="96"/>
      <c r="E14" s="96"/>
      <c r="F14" s="96"/>
      <c r="G14" s="96"/>
    </row>
    <row r="15" customFormat="false" ht="72" hidden="false" customHeight="true" outlineLevel="0" collapsed="false">
      <c r="A15" s="97" t="n">
        <v>5</v>
      </c>
      <c r="B15" s="98" t="s">
        <v>1804</v>
      </c>
      <c r="C15" s="97" t="s">
        <v>1805</v>
      </c>
      <c r="D15" s="99" t="n">
        <v>1050</v>
      </c>
      <c r="E15" s="99" t="n">
        <v>6</v>
      </c>
      <c r="F15" s="100" t="n">
        <v>6300</v>
      </c>
      <c r="G15" s="101"/>
    </row>
    <row r="16" customFormat="false" ht="100.5" hidden="false" customHeight="true" outlineLevel="0" collapsed="false">
      <c r="A16" s="97" t="n">
        <v>6</v>
      </c>
      <c r="B16" s="98" t="s">
        <v>1806</v>
      </c>
      <c r="C16" s="97" t="s">
        <v>1807</v>
      </c>
      <c r="D16" s="99" t="n">
        <v>1050</v>
      </c>
      <c r="E16" s="99" t="n">
        <v>54</v>
      </c>
      <c r="F16" s="100" t="n">
        <v>56700</v>
      </c>
      <c r="G16" s="101"/>
    </row>
    <row r="17" customFormat="false" ht="144" hidden="false" customHeight="true" outlineLevel="0" collapsed="false">
      <c r="A17" s="97" t="n">
        <v>7</v>
      </c>
      <c r="B17" s="98" t="s">
        <v>1808</v>
      </c>
      <c r="C17" s="97" t="s">
        <v>1807</v>
      </c>
      <c r="D17" s="99" t="n">
        <v>1050</v>
      </c>
      <c r="E17" s="99" t="n">
        <v>60</v>
      </c>
      <c r="F17" s="100" t="n">
        <v>63000</v>
      </c>
      <c r="G17" s="101"/>
    </row>
    <row r="18" customFormat="false" ht="14.25" hidden="false" customHeight="true" outlineLevel="0" collapsed="false">
      <c r="A18" s="96" t="s">
        <v>1809</v>
      </c>
      <c r="B18" s="96"/>
      <c r="C18" s="96"/>
      <c r="D18" s="96"/>
      <c r="E18" s="96"/>
      <c r="F18" s="96"/>
      <c r="G18" s="96"/>
    </row>
    <row r="19" customFormat="false" ht="57" hidden="false" customHeight="true" outlineLevel="0" collapsed="false">
      <c r="A19" s="97" t="n">
        <v>8</v>
      </c>
      <c r="B19" s="98" t="s">
        <v>1810</v>
      </c>
      <c r="C19" s="97" t="s">
        <v>1805</v>
      </c>
      <c r="D19" s="99" t="n">
        <v>1050</v>
      </c>
      <c r="E19" s="99" t="n">
        <v>120</v>
      </c>
      <c r="F19" s="100" t="n">
        <v>126000</v>
      </c>
      <c r="G19" s="101"/>
    </row>
    <row r="20" customFormat="false" ht="186.75" hidden="false" customHeight="true" outlineLevel="0" collapsed="false">
      <c r="A20" s="97" t="n">
        <v>9</v>
      </c>
      <c r="B20" s="98" t="s">
        <v>1811</v>
      </c>
      <c r="C20" s="97" t="s">
        <v>1807</v>
      </c>
      <c r="D20" s="99" t="n">
        <v>435.3</v>
      </c>
      <c r="E20" s="99" t="n">
        <v>1920</v>
      </c>
      <c r="F20" s="100" t="n">
        <v>835776</v>
      </c>
      <c r="G20" s="101"/>
    </row>
    <row r="21" customFormat="false" ht="144" hidden="false" customHeight="true" outlineLevel="0" collapsed="false">
      <c r="A21" s="97" t="n">
        <v>10</v>
      </c>
      <c r="B21" s="98" t="s">
        <v>1812</v>
      </c>
      <c r="C21" s="97" t="s">
        <v>1805</v>
      </c>
      <c r="D21" s="99" t="n">
        <v>1050</v>
      </c>
      <c r="E21" s="99" t="n">
        <v>108</v>
      </c>
      <c r="F21" s="100" t="n">
        <v>113400</v>
      </c>
      <c r="G21" s="101"/>
    </row>
    <row r="22" customFormat="false" ht="28.5" hidden="false" customHeight="true" outlineLevel="0" collapsed="false">
      <c r="A22" s="97" t="n">
        <v>11</v>
      </c>
      <c r="B22" s="98" t="s">
        <v>1813</v>
      </c>
      <c r="C22" s="97" t="s">
        <v>1805</v>
      </c>
      <c r="D22" s="99" t="n">
        <v>1773.2</v>
      </c>
      <c r="E22" s="99" t="n">
        <v>120</v>
      </c>
      <c r="F22" s="100" t="n">
        <v>212784</v>
      </c>
      <c r="G22" s="101"/>
    </row>
    <row r="23" customFormat="false" ht="230.25" hidden="false" customHeight="true" outlineLevel="0" collapsed="false">
      <c r="A23" s="97" t="n">
        <v>12</v>
      </c>
      <c r="B23" s="98" t="s">
        <v>1814</v>
      </c>
      <c r="C23" s="97" t="s">
        <v>37</v>
      </c>
      <c r="D23" s="99" t="n">
        <v>3</v>
      </c>
      <c r="E23" s="99" t="n">
        <v>1890000</v>
      </c>
      <c r="F23" s="100" t="n">
        <v>5670000</v>
      </c>
      <c r="G23" s="101"/>
    </row>
    <row r="24" customFormat="false" ht="129" hidden="false" customHeight="true" outlineLevel="0" collapsed="false">
      <c r="A24" s="97" t="n">
        <v>13</v>
      </c>
      <c r="B24" s="98" t="s">
        <v>1815</v>
      </c>
      <c r="C24" s="97" t="s">
        <v>37</v>
      </c>
      <c r="D24" s="99" t="n">
        <v>3</v>
      </c>
      <c r="E24" s="99" t="n">
        <v>204000</v>
      </c>
      <c r="F24" s="100" t="n">
        <v>612000</v>
      </c>
      <c r="G24" s="101"/>
    </row>
    <row r="25" customFormat="false" ht="115.5" hidden="false" customHeight="true" outlineLevel="0" collapsed="false">
      <c r="A25" s="97" t="n">
        <v>14</v>
      </c>
      <c r="B25" s="98" t="s">
        <v>1816</v>
      </c>
      <c r="C25" s="97" t="s">
        <v>49</v>
      </c>
      <c r="D25" s="99" t="n">
        <v>1</v>
      </c>
      <c r="E25" s="99" t="n">
        <v>486000</v>
      </c>
      <c r="F25" s="100" t="n">
        <v>486000</v>
      </c>
      <c r="G25" s="101"/>
    </row>
    <row r="26" customFormat="false" ht="15" hidden="false" customHeight="true" outlineLevel="0" collapsed="false">
      <c r="A26" s="102"/>
      <c r="B26" s="103" t="s">
        <v>1817</v>
      </c>
      <c r="C26" s="102"/>
      <c r="D26" s="102"/>
      <c r="E26" s="102"/>
      <c r="F26" s="104" t="n">
        <f aca="false">SUM(F8:F25)</f>
        <v>9149460</v>
      </c>
      <c r="G26" s="102"/>
    </row>
    <row r="27" customFormat="false" ht="36" hidden="false" customHeight="true" outlineLevel="0" collapsed="false">
      <c r="B27" s="105"/>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1875" defaultRowHeight="14.25" zeroHeight="false" outlineLevelRow="0" outlineLevelCol="0"/>
  <cols>
    <col collapsed="false" customWidth="true" hidden="false" outlineLevel="0" max="1" min="1" style="1" width="24"/>
    <col collapsed="false" customWidth="true" hidden="false" outlineLevel="0" max="2" min="2" style="1" width="2"/>
    <col collapsed="false" customWidth="true" hidden="false" outlineLevel="0" max="3" min="3" style="1" width="24"/>
    <col collapsed="false" customWidth="true" hidden="false" outlineLevel="0" max="4" min="4" style="1" width="2"/>
    <col collapsed="false" customWidth="true" hidden="false" outlineLevel="0" max="5" min="5" style="1" width="24"/>
    <col collapsed="false" customWidth="true" hidden="false" outlineLevel="0" max="6" min="6" style="1" width="2"/>
    <col collapsed="false" customWidth="true" hidden="false" outlineLevel="0" max="7" min="7" style="1" width="24"/>
    <col collapsed="false" customWidth="true" hidden="false" outlineLevel="0" max="8" min="8" style="1" width="2"/>
    <col collapsed="false" customWidth="true" hidden="false" outlineLevel="0" max="9" min="9" style="1" width="24"/>
    <col collapsed="false" customWidth="true" hidden="false" outlineLevel="0" max="10" min="10" style="1" width="2"/>
    <col collapsed="false" customWidth="true" hidden="false" outlineLevel="0" max="11" min="11" style="1" width="24"/>
    <col collapsed="false" customWidth="true" hidden="false" outlineLevel="0" max="12" min="12" style="1" width="2"/>
  </cols>
  <sheetData>
    <row r="1" customFormat="false" ht="15.75" hidden="false" customHeight="true" outlineLevel="0" collapsed="false">
      <c r="A1" s="10" t="s">
        <v>1818</v>
      </c>
    </row>
    <row r="2" customFormat="false" ht="15" hidden="false" customHeight="true" outlineLevel="0" collapsed="false">
      <c r="A2" s="106" t="s">
        <v>44</v>
      </c>
      <c r="C2" s="106" t="s">
        <v>1819</v>
      </c>
      <c r="E2" s="106" t="s">
        <v>1820</v>
      </c>
      <c r="G2" s="106" t="s">
        <v>1821</v>
      </c>
      <c r="I2" s="106" t="s">
        <v>1822</v>
      </c>
      <c r="K2" s="106" t="s">
        <v>1823</v>
      </c>
    </row>
    <row r="3" customFormat="false" ht="15" hidden="false" customHeight="true" outlineLevel="0" collapsed="false">
      <c r="A3" s="107" t="s">
        <v>1824</v>
      </c>
      <c r="C3" s="107" t="s">
        <v>1825</v>
      </c>
      <c r="E3" s="107" t="s">
        <v>1826</v>
      </c>
      <c r="G3" s="107" t="s">
        <v>1827</v>
      </c>
      <c r="I3" s="107" t="s">
        <v>1828</v>
      </c>
      <c r="K3" s="107" t="s">
        <v>1829</v>
      </c>
    </row>
    <row r="4" customFormat="false" ht="15" hidden="false" customHeight="true" outlineLevel="0" collapsed="false">
      <c r="A4" s="107" t="s">
        <v>1830</v>
      </c>
      <c r="C4" s="107" t="s">
        <v>1831</v>
      </c>
      <c r="E4" s="107" t="s">
        <v>1832</v>
      </c>
      <c r="G4" s="107" t="s">
        <v>1833</v>
      </c>
      <c r="I4" s="107" t="s">
        <v>1834</v>
      </c>
      <c r="K4" s="107" t="s">
        <v>1835</v>
      </c>
    </row>
    <row r="5" customFormat="false" ht="15" hidden="false" customHeight="true" outlineLevel="0" collapsed="false">
      <c r="A5" s="107" t="s">
        <v>1836</v>
      </c>
      <c r="C5" s="107" t="s">
        <v>1837</v>
      </c>
      <c r="E5" s="107" t="s">
        <v>1838</v>
      </c>
      <c r="G5" s="107" t="s">
        <v>1839</v>
      </c>
      <c r="I5" s="107" t="s">
        <v>1840</v>
      </c>
      <c r="K5" s="107" t="s">
        <v>1841</v>
      </c>
    </row>
    <row r="6" customFormat="false" ht="15" hidden="false" customHeight="true" outlineLevel="0" collapsed="false">
      <c r="A6" s="107" t="s">
        <v>1834</v>
      </c>
      <c r="C6" s="107" t="s">
        <v>52</v>
      </c>
      <c r="E6" s="107" t="s">
        <v>1842</v>
      </c>
      <c r="G6" s="107" t="s">
        <v>1843</v>
      </c>
      <c r="I6" s="107" t="s">
        <v>1844</v>
      </c>
      <c r="K6" s="107" t="s">
        <v>1845</v>
      </c>
    </row>
    <row r="7" customFormat="false" ht="15" hidden="false" customHeight="true" outlineLevel="0" collapsed="false">
      <c r="A7" s="107" t="s">
        <v>53</v>
      </c>
      <c r="C7" s="107" t="s">
        <v>63</v>
      </c>
      <c r="E7" s="107" t="s">
        <v>1846</v>
      </c>
      <c r="G7" s="107" t="s">
        <v>1847</v>
      </c>
      <c r="I7" s="107" t="s">
        <v>1848</v>
      </c>
      <c r="K7" s="107" t="s">
        <v>1849</v>
      </c>
    </row>
    <row r="8" customFormat="false" ht="15" hidden="false" customHeight="true" outlineLevel="0" collapsed="false">
      <c r="A8" s="107" t="s">
        <v>1850</v>
      </c>
      <c r="C8" s="107" t="s">
        <v>1851</v>
      </c>
      <c r="G8" s="107" t="s">
        <v>1852</v>
      </c>
      <c r="I8" s="107" t="s">
        <v>1853</v>
      </c>
      <c r="K8" s="107" t="s">
        <v>1854</v>
      </c>
    </row>
    <row r="9" customFormat="false" ht="15" hidden="false" customHeight="true" outlineLevel="0" collapsed="false">
      <c r="A9" s="107" t="s">
        <v>1855</v>
      </c>
      <c r="C9" s="107" t="s">
        <v>1856</v>
      </c>
      <c r="G9" s="107" t="s">
        <v>1857</v>
      </c>
      <c r="K9" s="107" t="s">
        <v>1858</v>
      </c>
    </row>
    <row r="10" customFormat="false" ht="15" hidden="false" customHeight="true" outlineLevel="0" collapsed="false">
      <c r="A10" s="107" t="s">
        <v>1859</v>
      </c>
      <c r="C10" s="107" t="s">
        <v>1860</v>
      </c>
      <c r="G10" s="107" t="s">
        <v>1861</v>
      </c>
      <c r="K10" s="107" t="s">
        <v>1862</v>
      </c>
    </row>
    <row r="11" customFormat="false" ht="15" hidden="false" customHeight="true" outlineLevel="0" collapsed="false">
      <c r="A11" s="107" t="s">
        <v>1863</v>
      </c>
      <c r="C11" s="107" t="s">
        <v>1864</v>
      </c>
      <c r="G11" s="107" t="s">
        <v>1865</v>
      </c>
    </row>
    <row r="12" customFormat="false" ht="15" hidden="false" customHeight="true" outlineLevel="0" collapsed="false">
      <c r="A12" s="107" t="s">
        <v>1866</v>
      </c>
      <c r="G12" s="107" t="s">
        <v>56</v>
      </c>
    </row>
    <row r="13" customFormat="false" ht="14.25" hidden="false" customHeight="true" outlineLevel="0" collapsed="false">
      <c r="A13" s="108" t="s">
        <v>1867</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2026-10-01T12:53:50Z</dcterms:created>
  <dcterms:modified xsi:type="dcterms:W3CDTF">2026-10-01T12:53:50Z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
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Info" sheetId="1" state="visible" r:id="rId3"/>
    <sheet name="Cover" sheetId="2" state="hidden" r:id="rId4"/>
    <sheet name="Appendix Cover" sheetId="3" state="hidden" r:id="rId5"/>
    <sheet name="Assessment" sheetId="4" state="visible" r:id="rId6"/>
    <sheet name="Build-Up" sheetId="5" state="visible" r:id="rId7"/>
    <sheet name="Build-Up Comparison" sheetId="6" state="visible" r:id="rId8"/>
    <sheet name="Programme" sheetId="7" state="visible" r:id="rId9"/>
    <sheet name="Superseded Proposal (Ref)" sheetId="8" state="visible" r:id="rId10"/>
    <sheet name="Data" sheetId="9" state="hidden" r:id="rId11"/>
  </sheets>
  <definedNames>
    <definedName function="false" hidden="false" localSheetId="2" name="_xlnm.Print_Area" vbProcedure="false">'Appendix Cover'!$A$1:$I$54</definedName>
    <definedName function="false" hidden="false" localSheetId="1" name="_xlnm.Print_Area" vbProcedure="false">Cover!$A$1:$I$54</definedName>
    <definedName function="false" hidden="false" localSheetId="6" name="_xlnm.Print_Titles" vbProcedure="false">Programme!$1:$3</definedName>
    <definedName function="false" hidden="false" localSheetId="7" name="_xlnm.Print_Titles" vbProcedure="false">'Superseded Proposal (Ref)'!$1:$6</definedName>
    <definedName function="false" hidden="false" name="ADDRESS" vbProcedure="false">'Project Info'!$C$8</definedName>
    <definedName function="false" hidden="false" name="APP_DESC" vbProcedure="false">'Project Info'!$C$17</definedName>
    <definedName function="false" hidden="false" name="APP_LETTER" vbProcedure="false">'Project Info'!$C$16</definedName>
    <definedName function="false" hidden="false" name="CLIENT" vbProcedure="false">'Project Info'!$C$7</definedName>
    <definedName function="false" hidden="false" name="CONTRACTOR" vbProcedure="false">'Project Info'!$C$10</definedName>
    <definedName function="false" hidden="false" name="CONTRACT_REF" vbProcedure="false">'Project Info'!$C$9</definedName>
    <definedName function="false" hidden="false" name="COST_CONSULT" vbProcedure="false">'Project Info'!$C$12</definedName>
    <definedName function="false" hidden="false" name="DOC_DATE" vbProcedure="false">'Project Info'!$C$14</definedName>
    <definedName function="false" hidden="false" name="DOC_REF" vbProcedure="false">'Project Info'!$C$15</definedName>
    <definedName function="false" hidden="false" name="DOC_TITLE" vbProcedure="false">'Project Info'!$C$13</definedName>
    <definedName function="false" hidden="false" name="ENGINEER" vbProcedure="false">'Project Info'!$C$11</definedName>
    <definedName function="false" hidden="false" name="List_AssessmentOutcome" vbProcedure="false">Data!$E$3:$E$7</definedName>
    <definedName function="false" hidden="false" name="List_BasisOfRate" vbProcedure="false">Data!$C$3:$C$11</definedName>
    <definedName function="false" hidden="false" name="List_ContractualBasis" vbProcedure="false">Data!$G$3:$G$12</definedName>
    <definedName function="false" hidden="false" name="List_RevisionType" vbProcedure="false">Data!$K$3:$K$10</definedName>
    <definedName function="false" hidden="false" name="List_Status" vbProcedure="false">Data!$A$3:$A$13</definedName>
    <definedName function="false" hidden="false" name="List_SubmissionType" vbProcedure="false">Data!$I$3:$I$8</definedName>
    <definedName function="false" hidden="false" name="PROJECT_NAME" vbProcedure="false">'Project Info'!$C$6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<sst xmlns="http://schemas.openxmlformats.org/spreadsheetml/2006/main" count="2349" uniqueCount="1524">
  <si>
    <t xml:space="preserve">PROJECT INFORMATION</t>
  </si>
  <si>
    <t xml:space="preserve">Edit values in column C. The Cover and Appendix Cover tabs display them.</t>
  </si>
  <si>
    <t xml:space="preserve">Project Name</t>
  </si>
  <si>
    <t xml:space="preserve">Qiddiya D-18 - TSE Irrigation Storage Tanks (RFP-027)</t>
  </si>
  <si>
    <t xml:space="preserve">Client</t>
  </si>
  <si>
    <t xml:space="preserve">Qiddiya Investment Company</t>
  </si>
  <si>
    <t xml:space="preserve">Address</t>
  </si>
  <si>
    <t xml:space="preserve">Qiddiya, Riyadh, Kingdom of Saudi Arabia</t>
  </si>
  <si>
    <t xml:space="preserve">Contract Reference</t>
  </si>
  <si>
    <t xml:space="preserve">QPMO-410-CT-05958</t>
  </si>
  <si>
    <t xml:space="preserve">Contractor</t>
  </si>
  <si>
    <t xml:space="preserve">SAMA Construction</t>
  </si>
  <si>
    <t xml:space="preserve">Engineer</t>
  </si>
  <si>
    <t xml:space="preserve">KEO International Consultants</t>
  </si>
  <si>
    <t xml:space="preserve">Cost Consultant</t>
  </si>
  <si>
    <t xml:space="preserve">WT Partnership</t>
  </si>
  <si>
    <t xml:space="preserve">Document Title</t>
  </si>
  <si>
    <t xml:space="preserve">Cost Assessment of the Contractor's Proposal - TSE Irrigation Storage Tanks (RFP-027) - Rev 02</t>
  </si>
  <si>
    <t xml:space="preserve">Document Date</t>
  </si>
  <si>
    <t xml:space="preserve">30-Sep-2026</t>
  </si>
  <si>
    <t xml:space="preserve">Document Reference</t>
  </si>
  <si>
    <t xml:space="preserve">RFP-027 / SAMACO-RRFP-000001</t>
  </si>
  <si>
    <t xml:space="preserve">Appendix Letter</t>
  </si>
  <si>
    <t xml:space="preserve">A</t>
  </si>
  <si>
    <t xml:space="preserve">Appendix Description</t>
  </si>
  <si>
    <t xml:space="preserve">Cost Assessment of the Contractor's Proposal - TSE Irrigation Storage Tanks (RFP-027)</t>
  </si>
  <si>
    <t xml:space="preserve">Cover Subtitle (auto)</t>
  </si>
  <si>
    <t xml:space="preserve">Cover Reference (auto)</t>
  </si>
  <si>
    <t xml:space="preserve">Appendix Title (auto)</t>
  </si>
  <si>
    <t xml:space="preserve">COST ASSESSMENT OF THE CONTRACTOR'S PROPOSAL</t>
  </si>
  <si>
    <t xml:space="preserve">TSE Irrigation Storage Tanks and Associated Pipeworks (RFP-027) - Contract QPMO-410-CT-05958</t>
  </si>
  <si>
    <t xml:space="preserve">Contractor: SAMA Construction   |   Engineer: KEO   |   Cost Consultant: WT Partnership   |   Rev 02, 30-Sep-2026</t>
  </si>
  <si>
    <t xml:space="preserve">CONTRACTOR'S PROPOSAL - SAMACO-RRFP-000001, 13-AUG-2026, AS SUBMITTED</t>
  </si>
  <si>
    <t xml:space="preserve">ASSESSMENT</t>
  </si>
  <si>
    <t xml:space="preserve">VARIANCE</t>
  </si>
  <si>
    <t xml:space="preserve">Item</t>
  </si>
  <si>
    <t xml:space="preserve">Description</t>
  </si>
  <si>
    <t xml:space="preserve">Unit</t>
  </si>
  <si>
    <t xml:space="preserve">Qty</t>
  </si>
  <si>
    <t xml:space="preserve">Rate (SAR)</t>
  </si>
  <si>
    <t xml:space="preserve">Amount (SAR)</t>
  </si>
  <si>
    <t xml:space="preserve">Substantiation submitted</t>
  </si>
  <si>
    <t xml:space="preserve">Assessment</t>
  </si>
  <si>
    <t xml:space="preserve">Basis of rate</t>
  </si>
  <si>
    <t xml:space="preserve">Status</t>
  </si>
  <si>
    <t xml:space="preserve">Variance (SAR)</t>
  </si>
  <si>
    <t xml:space="preserve">Variance %</t>
  </si>
  <si>
    <t xml:space="preserve">GENERAL ITEMS</t>
  </si>
  <si>
    <t xml:space="preserve">Site Mobilization and Demobilization; Site Temporary Facilities, Welfare, Personnel, and Resources (Stand Alone)</t>
  </si>
  <si>
    <t xml:space="preserve">LS</t>
  </si>
  <si>
    <t xml:space="preserve">Percentage allocation of the lump sum; no quantities or rates. See 'Build-Up Comparison'</t>
  </si>
  <si>
    <t xml:space="preserve">Separate site establishment: the tank site is in the lower plateau, outside the D-18 boundary, so site staff, welfare, water, security, insurance endorsement, mobilisation, demobilisation and close-out are assessed for the site period derived from the Contractor's programme of 29-Sep-2026 ('Programme' tab, D1): mobilisation on 22-Aug-2026 to the end of demobilisation, the end being set by the external readiness milestone of 03-Dec-2026 and the tie-in, sequential testing, commissioning and demobilisation that follow; site staff are assessed role by role by phase ('Programme' tab, Section 4). Design resources are shared with the main Contract. See 'Build-Up' Item 1, 'Programme' Sections 3 to 5 and 'Build-Up Comparison' Section 3.</t>
  </si>
  <si>
    <t xml:space="preserve">Star Rate</t>
  </si>
  <si>
    <t xml:space="preserve">Assessed</t>
  </si>
  <si>
    <t xml:space="preserve">DESIGN AND ENGINEERING</t>
  </si>
  <si>
    <t xml:space="preserve">Design and Engineering works</t>
  </si>
  <si>
    <t xml:space="preserve">None</t>
  </si>
  <si>
    <t xml:space="preserve">Assessed build-up; tank design sits with the supplier. See 'Build-Up' Item 2.</t>
  </si>
  <si>
    <t xml:space="preserve">SITE WORKS</t>
  </si>
  <si>
    <t xml:space="preserve">Safe Dismantling &amp; Removal from Site of Damaged TSE Tank - 1</t>
  </si>
  <si>
    <t xml:space="preserve">Ls</t>
  </si>
  <si>
    <t xml:space="preserve">Supplier quotation Al Mousa S04647 dated 10-Aug-2026</t>
  </si>
  <si>
    <t xml:space="preserve">Lowest of the Contractor's three quotations, adopted for dismantling, segregation and loading only on the scope recorded in the previous revision; the quotation itself is not attached to this revision and its scope split is not yet confirmed in writing. Haulage and handover are Item 4. See 'Build-Up' Item 3.</t>
  </si>
  <si>
    <t xml:space="preserve">Market Tested</t>
  </si>
  <si>
    <t xml:space="preserve">Provisional - scope confirmation</t>
  </si>
  <si>
    <t xml:space="preserve">Removal and Disposal of Damaged TSE Tank to Approved Landfill</t>
  </si>
  <si>
    <t xml:space="preserve">Haulage only. The Engineer's (KEO) email of 30-Aug-2026: materials are handed to the Employer locally, so no disposal or tipping applies. Location and rate to be confirmed. See 'Build-Up' Item 4.</t>
  </si>
  <si>
    <t xml:space="preserve">Provisional - handover location</t>
  </si>
  <si>
    <t xml:space="preserve">Temporary Works, Construction Equipment, Tools and Site Support Facilities
(Scaffolding, cranes, boom trucks, generators, trucks, small tools, temporary facilities and other equipment/resources required for execution of the works.)</t>
  </si>
  <si>
    <t xml:space="preserve">Plant, access, power and supplier attendance that the tank quotation excludes; the supplier's price is supply and installation, so GRP erectors are not priced (recorded scope of the offer, to be confirmed against the original). Helpers and plant are assessed phase by phase on the 'Programme' tab, Section 4, from material availability and activity dependencies: one helper gang while only Tank 1 material is planned on site, a second only while two fronts run (22-Oct to 14-Nov-2026), attendance for the submitted durations. No plant schedule has been submitted. See 'Build-Up' Item 5, 'Programme' Sections 3 to 5 and 'Build-Up Comparison' Section 4.</t>
  </si>
  <si>
    <t xml:space="preserve">TANKS</t>
  </si>
  <si>
    <t xml:space="preserve">Supply and install of hot pressed non-insulated panel tank size:34(17+17) m(l) x 30.0 m(w) x 4.0 m(h) total capacity:4080 m3</t>
  </si>
  <si>
    <t xml:space="preserve">No</t>
  </si>
  <si>
    <t xml:space="preserve">Supplier quotation Al Mousa S04488 dated 09-Jul-2026 with Stalwart technical offer SS-07-26-1516 dated 03-Aug-2026</t>
  </si>
  <si>
    <t xml:space="preserve">The Contractor's adopted lowest quotation at net supplier cost, before the 5 per cent Overhead and Profit. It prices an insulated tank; the Engineer's (KEO) email of 30-Aug-2026 is that insulation is not required, so a lower price is expected. Quotation lapsed 08-Aug-2026; base panels not confirmed. See 'Build-Up' Item 6.</t>
  </si>
  <si>
    <t xml:space="preserve">Provisional - quotation and specification</t>
  </si>
  <si>
    <t xml:space="preserve">Testing, Commissioning, Hydrostatic/Leak Testing, System Integration and Handover</t>
  </si>
  <si>
    <t xml:space="preserve">One tank filled and the water re-used for the second, per the Engineer's (KEO) email of 30-Aug-2026; the Contractor's programme tests both tanks in parallel, which is shown beside this basis on the 'Programme' tab and not carried; the sequential test is fitted to the programme there, with Tank 1 tested early on a conditional method assumption and integrated commissioning after both tanks have passed and the tie-in is complete. A third-party factory acceptance test the Contractor is arranging is carried at nil (line 7.23) pending evidence that the Engineer requires it. Excludes the supplier's leak-test supervision (Item 6) and re-testing, which is the Contractor's obligation. Water source to be confirmed. See 'Build-Up' Item 7.</t>
  </si>
  <si>
    <t xml:space="preserve">Provisional - water source and testing basis</t>
  </si>
  <si>
    <t xml:space="preserve">Supply, Fabrication and Installation of all Required TSE Tank Inlet/Outlet Piping, Instrumentation Connections, Supports and Accessories</t>
  </si>
  <si>
    <t xml:space="preserve">Provisional allowance priced to the RFP specification (GRP or ductile iron above DN150, uPVC below, butterfly isolation valves). The Contractor's procurement tracker of 29-Sep-2026 shows HDPE main-line pipe, a gate valve and a motorised butterfly valve being procured; the substitutions are not approved and are shown for information after line 8.21. No quantities exist: the pipework shop drawings were returned Code C and no take-off has been received. See 'Build-Up' Item 8.</t>
  </si>
  <si>
    <t xml:space="preserve">Provisional - take-off pending</t>
  </si>
  <si>
    <t xml:space="preserve">SUBTOTAL (SAR), VAT excluded</t>
  </si>
  <si>
    <t xml:space="preserve">Overhead and Profit, 5 per cent</t>
  </si>
  <si>
    <t xml:space="preserve">5 per cent as the Contractor's submission, within the Bill of Quantities Preamble cap. Covers head-office overheads (management, administration, finance, procurement) and profit only. Site staff, welfare, plant, power, water, security, insurance endorsement and close-out are priced in the items, whether one site or two.</t>
  </si>
  <si>
    <t xml:space="preserve">TOTAL (SAR), VAT excluded</t>
  </si>
  <si>
    <t xml:space="preserve">Contractor columns are as submitted and unchanged. Assessed rates in column J are calculated on the 'Build-Up' tab; quantities are those submitted. Status 'Provisional' marks an item that depends on a confirmation still outstanding; the list is on the 'Build-Up Comparison' tab, Section 7. The Contractor's programme of 29-Sep-2026 is under the Engineer's approval and is not an agreed basis; the Contractor has been instructed and is on site, the instruction reference not having been supplied to the Cost Consultant.</t>
  </si>
  <si>
    <t xml:space="preserve">This assessment is preliminary. It establishes a reasonable commercial provision on the information available at 30-Sep-2026 and does not constitute agreement of the final Variation value.</t>
  </si>
  <si>
    <t xml:space="preserve">ASSESSED RATE BUILD-UPS</t>
  </si>
  <si>
    <t xml:space="preserve">How to read this tab: each item on the 'Assessment' tab whose rate is assessed rather than quoted is built up here as quantity x rate, with its basis beside it. Item totals carry to column J of the 'Assessment' tab. Quantities shown in column D as links to the 'Programme' tab are derived from the Contractor's programme of 29-Sep-2026 on the basis carried there (Basis B); the same lines on the programme exactly as submitted (Basis A) are on the 'Programme' tab, Section 4. Rates marked 'assumption' are working assumptions pending the Contractor's substantiation. All amounts exclude VAT.</t>
  </si>
  <si>
    <t xml:space="preserve">ITEM 1 - SITE MOBILISATION, TEMPORARY FACILITIES AND WELFARE</t>
  </si>
  <si>
    <t xml:space="preserve">The tank site is in the lower plateau, outside the D-18 site boundary. Site management, welfare, water, security, insurance cover and close-out are therefore assessed as a separate establishment. Periods are taken from the Contractor's programme of 29-Sep-2026 ('Programme' tab, Section 3): site staff, transport and facilities for the site period D1, mobilisation to the end of demobilisation, with the post-demobilisation completion inspection priced at 1.22 and 1.23. The programme is under the Engineer's approval and is not an agreed basis; the end of the site period is set by the external readiness milestone of 03-Dec-2026 and the tie-in, sequential testing, commissioning and demobilisation that follow. Site staff are assessed role by role with their phase duties on the 'Programme' tab, Section 4. Design and engineering resources are shared with the main Contract (Item 2). Power is in Item 5. The tank supplier's price includes the installer's own mobilisation; the foundations and steel base frames are existing.</t>
  </si>
  <si>
    <t xml:space="preserve">Ref</t>
  </si>
  <si>
    <t xml:space="preserve">Basis</t>
  </si>
  <si>
    <t xml:space="preserve">1.1</t>
  </si>
  <si>
    <t xml:space="preserve">Site engineer - dedicated to the tank site</t>
  </si>
  <si>
    <t xml:space="preserve">month</t>
  </si>
  <si>
    <t xml:space="preserve">Dedicated for the site period, mobilisation to the end of demobilisation, with the phase duties set out on the 'Programme' tab, Section 4, role R1. Assessed market rate, Riyadh, Sep-2026 - assumption pending the Contractor's substantiation</t>
  </si>
  <si>
    <t xml:space="preserve">1.2</t>
  </si>
  <si>
    <t xml:space="preserve">HSE officer - dedicated</t>
  </si>
  <si>
    <t xml:space="preserve">Dedicated for the site period with the phase duties at 'Programme' tab, Section 4, role R2. Assessed market rate, Riyadh, Sep-2026 - assumption pending the Contractor's substantiation</t>
  </si>
  <si>
    <t xml:space="preserve">1.3</t>
  </si>
  <si>
    <t xml:space="preserve">QA/QC inspector - dedicated (daily inspections, ITPs and WIRs during erection)</t>
  </si>
  <si>
    <t xml:space="preserve">From the start of dismantling to completion of testing and commissioning only ('Programme' tab, Section 4, role R3); not during mobilisation or demobilisation. Assessed market rate, Riyadh, Sep-2026 - assumption pending the Contractor's substantiation</t>
  </si>
  <si>
    <t xml:space="preserve">1.4</t>
  </si>
  <si>
    <t xml:space="preserve">Works foreman - dedicated</t>
  </si>
  <si>
    <t xml:space="preserve">Dedicated for the site period: the Contractor's own labour is on site from mobilisation to demobilisation ('Programme' tab, Section 4, role R4). Assessed market rate, Riyadh, Sep-2026 - assumption pending the Contractor's substantiation</t>
  </si>
  <si>
    <t xml:space="preserve">1.5</t>
  </si>
  <si>
    <t xml:space="preserve">Storekeeper / timekeeper</t>
  </si>
  <si>
    <t xml:space="preserve">From the first delivery to completion of testing only ('Programme' tab, Section 4, role R5). Assessed market rate, Riyadh, Sep-2026 - assumption pending the Contractor's substantiation</t>
  </si>
  <si>
    <t xml:space="preserve">1.6</t>
  </si>
  <si>
    <t xml:space="preserve">Site office porta cabin, air-conditioned, rental with electricity connection and maintenance</t>
  </si>
  <si>
    <t xml:space="preserve">Site period D1 on the 'Programme' tab, Section 3 (activity QCD18TSEMOB1250, 22-Aug-2026, to activity QCD18TSEDMOB1020, 24-Dec-2026). Assessed market rate, Riyadh, Sep-2026 - assumption pending the Contractor's substantiation</t>
  </si>
  <si>
    <t xml:space="preserve">1.7</t>
  </si>
  <si>
    <t xml:space="preserve">Rest and welfare porta cabin, air-conditioned, rental with electricity connection and maintenance</t>
  </si>
  <si>
    <t xml:space="preserve">1.8</t>
  </si>
  <si>
    <t xml:space="preserve">WC unit, rental with servicing</t>
  </si>
  <si>
    <t xml:space="preserve">1.9</t>
  </si>
  <si>
    <t xml:space="preserve">Site water supply - tankered deliveries for welfare and general site use, whole period</t>
  </si>
  <si>
    <t xml:space="preserve">delivery</t>
  </si>
  <si>
    <t xml:space="preserve">Two 10 m3 deliveries a week for the weeks of the site period D1 on the 'Programme' tab, Section 3; no mains water at the tank site. Assessed market rate, Riyadh, Sep-2026 - assumption pending the Contractor's substantiation</t>
  </si>
  <si>
    <t xml:space="preserve">1.10</t>
  </si>
  <si>
    <t xml:space="preserve">Site water storage tank, hire</t>
  </si>
  <si>
    <t xml:space="preserve">1.11</t>
  </si>
  <si>
    <t xml:space="preserve">Storage containers, 2 No. for the panel storage window (RFP Scope of Works, work package 1 - pre-construction and setup: safe storage of panels)</t>
  </si>
  <si>
    <t xml:space="preserve">container-month</t>
  </si>
  <si>
    <t xml:space="preserve">2 No. containers for the storage window D7 on the 'Programme' tab, Section 3, first delivery to the Tank 2 roof finish. Assessed market rate, Riyadh, Sep-2026 - assumption pending the Contractor's substantiation</t>
  </si>
  <si>
    <t xml:space="preserve">1.12</t>
  </si>
  <si>
    <t xml:space="preserve">Workforce transport to the tank site, daily bus</t>
  </si>
  <si>
    <t xml:space="preserve">Separate site outside the D-18 boundary; site period D1 on the 'Programme' tab, Section 3. Assessed market rate, Riyadh, Sep-2026 - assumption pending the Contractor's substantiation</t>
  </si>
  <si>
    <t xml:space="preserve">1.13</t>
  </si>
  <si>
    <t xml:space="preserve">Watchman for the tank site</t>
  </si>
  <si>
    <t xml:space="preserve">Site period D1 on the 'Programme' tab, Section 3. Included pending confirmation whether the Employer's security covers the lower plateau; delete if it does. Assessed market rate, Riyadh, Sep-2026 - assumption pending the Contractor's substantiation</t>
  </si>
  <si>
    <t xml:space="preserve">1.14</t>
  </si>
  <si>
    <t xml:space="preserve">Mobilisation - flatbed trips delivering cabins, containers and small plant</t>
  </si>
  <si>
    <t xml:space="preserve">trip</t>
  </si>
  <si>
    <t xml:space="preserve">5 trips retained: the programme gives no trip count (activity QCD18TSEMOB1240, mobilisation, 5 working days). Assessed market rate, Riyadh, Sep-2026 - assumption pending the Contractor's substantiation</t>
  </si>
  <si>
    <t xml:space="preserve">1.15</t>
  </si>
  <si>
    <t xml:space="preserve">Demobilisation - flatbed trips removing cabins, containers and small plant</t>
  </si>
  <si>
    <t xml:space="preserve">5 trips retained: the programme gives no trip count (activity QCD18TSEDMOB1020, demobilisation, 7 working days). Assessed market rate, Riyadh, Sep-2026 - assumption pending the Contractor's substantiation</t>
  </si>
  <si>
    <t xml:space="preserve">1.16</t>
  </si>
  <si>
    <t xml:space="preserve">Site clean-up on demobilisation, 4 No. x 3 days</t>
  </si>
  <si>
    <t xml:space="preserve">man-day</t>
  </si>
  <si>
    <t xml:space="preserve">Assessed market rate, Riyadh, Sep-2026 - assumption pending the Contractor's substantiation</t>
  </si>
  <si>
    <t xml:space="preserve">1.17</t>
  </si>
  <si>
    <t xml:space="preserve">Insurance endorsement - extension of the Contractor's All Risks and third-party liability cover to the tank site</t>
  </si>
  <si>
    <t xml:space="preserve">item</t>
  </si>
  <si>
    <t xml:space="preserve">The Contract insurances cover the Site as defined; the tank site is outside it. Assumed at 0.2 per cent of the works value - the insurer's endorsement premium is to be substantiated by the Contractor</t>
  </si>
  <si>
    <t xml:space="preserve">1.18</t>
  </si>
  <si>
    <t xml:space="preserve">Personal protective equipment, full sets</t>
  </si>
  <si>
    <t xml:space="preserve">Peak Contractor headcount from the resource matrix ('Programme' tab, Section 4): two helper gangs and the offloading gang (up to 14), five site staff and the pipework crew - about 20 sets; the supplier's crews wear their own. Assessed market rate, Riyadh, Sep-2026 - assumption pending the Contractor's substantiation</t>
  </si>
  <si>
    <t xml:space="preserve">1.19</t>
  </si>
  <si>
    <t xml:space="preserve">Site safety signage and notice boards</t>
  </si>
  <si>
    <t xml:space="preserve">HSE signage at the work area, distinct from the traffic signs at 1.20. Assessed market rate, Riyadh, Sep-2026 - assumption pending the Contractor's substantiation</t>
  </si>
  <si>
    <t xml:space="preserve">1.20</t>
  </si>
  <si>
    <t xml:space="preserve">Work-zone traffic signs up to 0.5 m2, supplied, installed, maintained and removed</t>
  </si>
  <si>
    <t xml:space="preserve">Agreed rate under RFP-021 (assessment dated 30-Jun-2026), derived from RFP-002A, Sign World quotation 6512 - an agreed rate under Sub-Clause 13.3.4(a) of the Conditions of Contract</t>
  </si>
  <si>
    <t xml:space="preserve">1.21</t>
  </si>
  <si>
    <t xml:space="preserve">Concrete Jersey barriers - temporary hire for the works period, delivered, placed and removed</t>
  </si>
  <si>
    <t xml:space="preserve">Lm</t>
  </si>
  <si>
    <t xml:space="preserve">Hire basis. The Bill of Quantities Part 9 rate (SAR 396/Lm) is for permanent supply and is not applied. 100 Lm assumed - to be confirmed against the work-area layout</t>
  </si>
  <si>
    <t xml:space="preserve">1.22</t>
  </si>
  <si>
    <t xml:space="preserve">Close-out at the tank site after demobilisation - completion inspection, correction list and warranties collation - site engineer</t>
  </si>
  <si>
    <t xml:space="preserve">day</t>
  </si>
  <si>
    <t xml:space="preserve">3 days after demobilisation: the Engineer's completion inspection, the correction list and the warranties collation. Reduced from 8 days because the site engineer's monthly period at 1.1 now runs to the end of demobilisation and the programmed close-out activity (QCD18TSEDMOB3020, 17 to 24-Dec-2026) falls inside it. Test records, ITP/WIR close-out and as-built drawings are in Item 7 (7.20 and 7.21), not here. Assessed market rate, Riyadh, Sep-2026 - assumption pending the Contractor's substantiation</t>
  </si>
  <si>
    <t xml:space="preserve">1.23</t>
  </si>
  <si>
    <t xml:space="preserve">Close-out at the tank site - document controller</t>
  </si>
  <si>
    <t xml:space="preserve">TOTAL ITEM 1 - carried to 'Assessment'!J8</t>
  </si>
  <si>
    <t xml:space="preserve">ITEM 2 - DESIGN AND ENGINEERING</t>
  </si>
  <si>
    <t xml:space="preserve">Tank structural design sits with the supplier (Stalwart technical offer SS-07-26-1516 dated 03-Aug-2026). All documentation is issued electronically via Aconex; no printing is included.</t>
  </si>
  <si>
    <t xml:space="preserve">2.1</t>
  </si>
  <si>
    <t xml:space="preserve">Design engineer - coordination, review of supplier calculations, method statements, ITPs</t>
  </si>
  <si>
    <t xml:space="preserve">2 months retained: the programme shows shop drawings 07 to 25-Aug-2026 (activities QCD18TSEENG1240 and 1250) with resubmissions to 29-Sep-2026 and the pipework shop drawings still in preparation, consistent with the period assessed. Assessed market rate, Riyadh, Sep-2026 - assumption pending the Contractor's substantiation</t>
  </si>
  <si>
    <t xml:space="preserve">2.2</t>
  </si>
  <si>
    <t xml:space="preserve">CAD draughtsman - shop drawings and design-stage submittals</t>
  </si>
  <si>
    <t xml:space="preserve">1.5 months retained on the same programme evidence as 2.1. As-built drawings at close-out are line 7.21. Assessed market rate, Riyadh, Sep-2026 - assumption pending the Contractor's substantiation</t>
  </si>
  <si>
    <t xml:space="preserve">2.3</t>
  </si>
  <si>
    <t xml:space="preserve">Dimensional and verticality survey of the erected tanks and as-built pick-up - 2-man crew with instrument</t>
  </si>
  <si>
    <t xml:space="preserve">crew-day</t>
  </si>
  <si>
    <t xml:space="preserve">Survey and levelling of the existing foundation (activity QCD18TSECONSL1050, 07 to 13-Sep-2026, cost-loaded by the Contractor at SAR 5,000.00) assessed at 3 crew-days for an existing base frame, plus a dimensional and verticality survey of each erected tank, 1.5 crew-days each (RFP Scope of Works, work package 3). Not setting out: the steel base frames are already installed on concrete supports (site photograph, Aug-2026). Assessed market rate, Riyadh, Sep-2026 - assumption pending the Contractor's substantiation</t>
  </si>
  <si>
    <t xml:space="preserve">2.4</t>
  </si>
  <si>
    <t xml:space="preserve">Submittal administration - document controller</t>
  </si>
  <si>
    <t xml:space="preserve">The programme carries 19 deliverable and submittal activities plus the material approval and inspection requests; 8 days of document control, doubled from the previous revision on that evidence. Assessed market rate, Riyadh, Sep-2026 - assumption pending the Contractor's substantiation</t>
  </si>
  <si>
    <t xml:space="preserve">TOTAL ITEM 2 - carried to 'Assessment'!J10</t>
  </si>
  <si>
    <t xml:space="preserve">ITEM 3 - SAFE DISMANTLING OF DAMAGED TSE TANK-1</t>
  </si>
  <si>
    <t xml:space="preserve">The Contractor's lowest supplier quotation is adopted for dismantling, segregation and loading only. Haulage and handover of the materials are Item 4. The first-principles check below supports the amount; it is not carried to the assessment.</t>
  </si>
  <si>
    <t xml:space="preserve">3.1</t>
  </si>
  <si>
    <t xml:space="preserve">Adopted: Al Mousa Trading Co. quotation S04647 dated 10-Aug-2026 - existing tank dismantling, 1 No.</t>
  </si>
  <si>
    <t xml:space="preserve">Lowest of three: PIPECO Q3363-R2 dated 06-Aug-2026 SAR 90,000; Professional Bayan PB/Q/0086/2026 dated 12-Aug-2026 SAR 80,000. Quotation validity has lapsed; written confirmation that it excludes haulage and disposal is outstanding.</t>
  </si>
  <si>
    <t xml:space="preserve">TOTAL ITEM 3 - carried to 'Assessment'!J12</t>
  </si>
  <si>
    <t xml:space="preserve">First-principles check - information only, not carried to the assessment</t>
  </si>
  <si>
    <t xml:space="preserve">c.1</t>
  </si>
  <si>
    <t xml:space="preserve">Dismantling crew, 6 No. x 12 working days</t>
  </si>
  <si>
    <t xml:space="preserve">c.2</t>
  </si>
  <si>
    <t xml:space="preserve">Rigger / charge hand, 1 No. x 12 working days</t>
  </si>
  <si>
    <t xml:space="preserve">c.3</t>
  </si>
  <si>
    <t xml:space="preserve">Mobile crane, 50 t</t>
  </si>
  <si>
    <t xml:space="preserve">c.4</t>
  </si>
  <si>
    <t xml:space="preserve">Angle-grinder discs and abrasives</t>
  </si>
  <si>
    <t xml:space="preserve">c.5</t>
  </si>
  <si>
    <t xml:space="preserve">Oxy-fuel cutting set with gases</t>
  </si>
  <si>
    <t xml:space="preserve">set</t>
  </si>
  <si>
    <t xml:space="preserve">c.6</t>
  </si>
  <si>
    <t xml:space="preserve">Hand-tool wear and consumables</t>
  </si>
  <si>
    <t xml:space="preserve">tank</t>
  </si>
  <si>
    <t xml:space="preserve">c.7</t>
  </si>
  <si>
    <t xml:space="preserve">Pressure-washing unit for decontamination (RFP Scope of Works 4.2)</t>
  </si>
  <si>
    <t xml:space="preserve">c.8</t>
  </si>
  <si>
    <t xml:space="preserve">Wash water, tankered</t>
  </si>
  <si>
    <t xml:space="preserve">m3</t>
  </si>
  <si>
    <t xml:space="preserve">c.9</t>
  </si>
  <si>
    <t xml:space="preserve">Decontamination labour, 2 No. x 3 days</t>
  </si>
  <si>
    <t xml:space="preserve">c.10</t>
  </si>
  <si>
    <t xml:space="preserve">Residue collection and disposal drums</t>
  </si>
  <si>
    <t xml:space="preserve">c.11</t>
  </si>
  <si>
    <t xml:space="preserve">Decontamination records and supervision</t>
  </si>
  <si>
    <t xml:space="preserve">c.12</t>
  </si>
  <si>
    <t xml:space="preserve">Demolition method statement and risk assessment (RFP Scope of Works 4.1)</t>
  </si>
  <si>
    <t xml:space="preserve">c.13</t>
  </si>
  <si>
    <t xml:space="preserve">Work permits</t>
  </si>
  <si>
    <t xml:space="preserve">c.14</t>
  </si>
  <si>
    <t xml:space="preserve">Barricading and exclusion-zone controls</t>
  </si>
  <si>
    <t xml:space="preserve">Check total</t>
  </si>
  <si>
    <t xml:space="preserve">ITEM 4 - HAULAGE OF DISMANTLED MATERIALS</t>
  </si>
  <si>
    <t xml:space="preserve">The Engineer's (KEO) email of 30-Aug-2026: the dismantled materials are handed over to the Employer at a location assumed to be local. No disposal or tipping charge therefore applies. The Contractor's schedule priced this item as 14 loads x SAR 750 including tipping; the load count is retained, the rate is re-based to local haulage.</t>
  </si>
  <si>
    <t xml:space="preserve">4.1</t>
  </si>
  <si>
    <t xml:space="preserve">Haulage of dismantled materials to the Employer's local handover location</t>
  </si>
  <si>
    <t xml:space="preserve">load</t>
  </si>
  <si>
    <t xml:space="preserve">14 loads: bulked debris of one 34 m x 30 m x 4 m tank is about 150-250 m3 loose, i.e. 10-14 loads of a 30 m3 truck. Local haulage SAR 450/load - assumption, to be confirmed with the handover location</t>
  </si>
  <si>
    <t xml:space="preserve">TOTAL ITEM 4 - carried to 'Assessment'!J13</t>
  </si>
  <si>
    <t xml:space="preserve">ITEM 5 - TEMPORARY WORKS, CONSTRUCTION EQUIPMENT AND SITE SUPPORT</t>
  </si>
  <si>
    <t xml:space="preserve">Covers what the tank supplier's offer (Stalwart technical offer SS-07-26-1516 dated 03-Aug-2026, with Al Mousa quotation S04488) requires the Contractor to provide free of cost: offloading and hoisting, scaffolding, storage and handling, power, and 4-6 helpers; plus general site support. On the recorded scope of that offer (not attached to this revision; to be confirmed against the original) Item 6 is supply and installation, so GRP erectors are not priced here. Boundary: Item 1 is management, welfare and mobilisation; Item 5 is execution plant, access, power and supplier attendance. Helper and plant days are assessed phase by phase on the 'Programme' tab, Section 4: one helper gang while only Tank 1 material is planned on site, a second gang only while the two erection fronts run together (22-Oct to 14-Nov-2026), walls and bracing as one front, attendance for the submitted durations, the Contractor's shorter Tank 2 durations shown as a sensitivity only. One boom truck and one telehandler are a provisional utilisation assumption pending the Contractor's plant schedule. Power: the works generator by day to completion of commissioning, the welfare generator continuously to the end of demobilisation. The Engineer's (KEO) email of 30-Aug-2026: suitable Site power is unlikely, so a generator is allowed; the Contractor's methodology uses forklifts, cranes and pallet jacks.</t>
  </si>
  <si>
    <t xml:space="preserve">5.1</t>
  </si>
  <si>
    <t xml:space="preserve">Boom truck (hiab) - offloading and erection support</t>
  </si>
  <si>
    <t xml:space="preserve">Hire days from the 'Programme' tab, Section 4 (plant rows): offloading days plus the wall, bracing, roof-support and roof lifting days of both tanks, one unit serving concurrent activities. The Contractor's methodology names forklifts, cranes and pallet jacks (Engineer's (KEO) email of 30-Aug-2026); no plant schedule has been submitted. Assessed market rate, Riyadh, Sep-2026 - assumption pending the Contractor's substantiation</t>
  </si>
  <si>
    <t xml:space="preserve">5.2</t>
  </si>
  <si>
    <t xml:space="preserve">Telehandler / forklift</t>
  </si>
  <si>
    <t xml:space="preserve">Hire days from the 'Programme' tab, Section 4: offloading, base, wall and roof panel days of both tanks, one unit serving concurrent activities - a provisional utilisation assumption. Assessed market rate, Riyadh, Sep-2026 - assumption pending the Contractor's substantiation</t>
  </si>
  <si>
    <t xml:space="preserve">5.3</t>
  </si>
  <si>
    <t xml:space="preserve">Perimeter scaffolding and edge protection - supply, erect, 3-month hire, dismantle</t>
  </si>
  <si>
    <t xml:space="preserve">m2</t>
  </si>
  <si>
    <t xml:space="preserve">2 tanks x 128 m perimeter x 4.0 m height; the rate includes a 3-month hire, which covers the access window D6 on the 'Programme' tab, Section 3 on either basis. Assessed market rate, Riyadh, Sep-2026 - assumption pending the Contractor's substantiation</t>
  </si>
  <si>
    <t xml:space="preserve">5.4</t>
  </si>
  <si>
    <t xml:space="preserve">Mobile aluminium access towers, 2 No. for the access window, whole hire months</t>
  </si>
  <si>
    <t xml:space="preserve">tower-month</t>
  </si>
  <si>
    <t xml:space="preserve">2 No. for the access window D6 on the 'Programme' tab, Section 3, rounded up to whole hire months. Assessed market rate, Riyadh, Sep-2026 - assumption pending the Contractor's substantiation</t>
  </si>
  <si>
    <t xml:space="preserve">5.5</t>
  </si>
  <si>
    <t xml:space="preserve">Access-tower relocations and re-inspections</t>
  </si>
  <si>
    <t xml:space="preserve">5.6</t>
  </si>
  <si>
    <t xml:space="preserve">Podium steps, 2 No. for the access window, whole hire months</t>
  </si>
  <si>
    <t xml:space="preserve">unit-month</t>
  </si>
  <si>
    <t xml:space="preserve">As 5.4. Assessed market rate, Riyadh, Sep-2026 - assumption pending the Contractor's substantiation</t>
  </si>
  <si>
    <t xml:space="preserve">5.7</t>
  </si>
  <si>
    <t xml:space="preserve">Generator 100 kVA for the works, daytime running with fuel</t>
  </si>
  <si>
    <t xml:space="preserve">Works period D2 on the 'Programme' tab, Section 3, to completion of commissioning. Power is excluded by both tank suppliers; no Site power expected at the tank site. Assessed market rate, Riyadh, Sep-2026 - assumption pending the Contractor's substantiation</t>
  </si>
  <si>
    <t xml:space="preserve">5.8</t>
  </si>
  <si>
    <t xml:space="preserve">Generator 30 kVA for the site office and welfare cabins, continuous running with fuel, whole period</t>
  </si>
  <si>
    <t xml:space="preserve">Site period D1 on the 'Programme' tab, Section 3; air conditioning and lighting run around the clock at a separate site. Assessed market rate, Riyadh, Sep-2026 - assumption pending the Contractor's substantiation</t>
  </si>
  <si>
    <t xml:space="preserve">5.9</t>
  </si>
  <si>
    <t xml:space="preserve">Site transport, pick-up / flatbed</t>
  </si>
  <si>
    <t xml:space="preserve">Site period D1 on the 'Programme' tab, Section 3. Assessed market rate, Riyadh, Sep-2026 - assumption pending the Contractor's substantiation</t>
  </si>
  <si>
    <t xml:space="preserve">5.10</t>
  </si>
  <si>
    <t xml:space="preserve">Contractor's helpers - attendance to the tank supplier, offloading and panel handling, man-months from the resource matrix</t>
  </si>
  <si>
    <t xml:space="preserve">man-month</t>
  </si>
  <si>
    <t xml:space="preserve">Supplier condition: 4-6 non-skilled labourers for material handling (recorded scope). Helper-days on the 'Programme' tab, Section 4: one gang of 5 attending the single front for the submitted durations, a second gang only while two fronts run, offloading before a front opens, mobilisation and dismantling attendance; converted at 26 working days a month. The Contractor's histogram helper row (85 man-weeks) is reconciled week by week there; it is not adopted. Assessed market rate, Riyadh, Sep-2026 - assumption pending the Contractor's substantiation</t>
  </si>
  <si>
    <t xml:space="preserve">5.11</t>
  </si>
  <si>
    <t xml:space="preserve">Power-tool hire</t>
  </si>
  <si>
    <t xml:space="preserve">Erection window D3 on the 'Programme' tab, Section 3. Assessed market rate, Riyadh, Sep-2026 - assumption pending the Contractor's substantiation</t>
  </si>
  <si>
    <t xml:space="preserve">5.12</t>
  </si>
  <si>
    <t xml:space="preserve">Sealant-application tools and jointing consumables</t>
  </si>
  <si>
    <t xml:space="preserve">Provisionally not assessed, to avoid duplication: sealant application at every joint is the erection work of RFP Scope of Works work package 2, performed by the supplier under Item 6 on the recorded scope of its offer, whose conditions ask the Contractor for offloading, scaffolding, storage, power and helpers only. To be confirmed against the original offer. Previously 2 tanks at SAR 1,500.00</t>
  </si>
  <si>
    <t xml:space="preserve">5.13</t>
  </si>
  <si>
    <t xml:space="preserve">Fixings, touch-up and miscellaneous consumables</t>
  </si>
  <si>
    <t xml:space="preserve">Provisionally not assessed, to avoid duplication: bolts, nuts, washers and tie rods are supplied and fixed by the tank supplier (Item 6, recorded scope); no Contractor fixing or touch-up work is identified. To be confirmed against the original offer. Previously 2 tanks at SAR 2,250.00</t>
  </si>
  <si>
    <t xml:space="preserve">5.14</t>
  </si>
  <si>
    <t xml:space="preserve">Mobile lighting towers, 2 No. for the erection window</t>
  </si>
  <si>
    <t xml:space="preserve">2 No. for the erection window D3 on the 'Programme' tab, Section 3. Assessed market rate, Riyadh, Sep-2026 - assumption pending the Contractor's substantiation</t>
  </si>
  <si>
    <t xml:space="preserve">5.15</t>
  </si>
  <si>
    <t xml:space="preserve">Temporary distribution boards and cabling</t>
  </si>
  <si>
    <t xml:space="preserve">TOTAL ITEM 5 - carried to 'Assessment'!J14</t>
  </si>
  <si>
    <t xml:space="preserve">ITEM 6 - GRP SECTIONAL TANKS 4,080 m3 - SUPPLY AND INSTALLATION, 2 No.</t>
  </si>
  <si>
    <t xml:space="preserve">The Contractor's adopted lowest quotation is taken at net supplier cost; the 5 per cent Overhead and Profit is applied once on the 'Assessment' tab. The quotation is for an insulated tank. The Engineer's (KEO) email of 30-Aug-2026: thermal insulation is not required, so a lower non-insulated price is expected and has been requested. The rate below will change when it is received.</t>
  </si>
  <si>
    <t xml:space="preserve">6.1</t>
  </si>
  <si>
    <t xml:space="preserve">Adopted: Al Mousa Trading Co. quotation S04488 dated 09-Jul-2026 with Stalwart technical offer SS-07-26-1516 dated 03-Aug-2026 - sectional GRP tank 34 m x 30 m x 4.0 m, supplied and installed, rate per tank</t>
  </si>
  <si>
    <t xml:space="preserve">Lowest of three: PIPECO Q3363-R2 dated 06-Aug-2026 SAR 2,899,000/tank (insulated, 1 partition, 10-year warranty on manufacture and installation); Professional Bayan PB/Q/0086/2026 dated 12-Aug-2026 SAR 2,950,000/tank (ex-works supply only). Rate per gross m3: SAR 677 against PIPECO SAR 711. Quotation lapsed 08-Aug-2026; whether bottom/base panels are included is not confirmed.</t>
  </si>
  <si>
    <t xml:space="preserve">RATE PER TANK - carried to 'Assessment'!J16 (x 2 No.)</t>
  </si>
  <si>
    <t xml:space="preserve">ITEM 7 - TESTING, COMMISSIONING AND HANDOVER, BOTH TANKS</t>
  </si>
  <si>
    <t xml:space="preserve">The Engineer's (KEO) email of 30-Aug-2026: installation and testing will not be in parallel; one tank is filled and the water is re-used for the second by pumping across. This basis is carried. The Contractor's programme tests both tanks in parallel on 09 to 16-Dec-2026, which would need 7,548 m3 of water at once; that basis is shown beside this one on the 'Programme' tab, Section 4 (lines 7.1 to 7.5 and 7.22) and is not carried. The sequential test is fitted to the submitted dates ('Programme' tab, P18 to P22): Tank 1 is tested before the tie-in, within its programme float, on the conditional assumption of an Engineer-approved method with the water retained in Tank 1; the water is transferred once Tank 1 has passed and Tank 2 is ready; component checks follow the tie-in; integrated commissioning follows the last of the tie-in, the Tank 2 test and the component checks. Each test is 7 elapsed working days (fill or transfer, hold, inspection); the attendance priced is set out line by line. The Contractor arranges the water; the source is being checked by the Employer, so tankered supply is assumed. Excludes the leak-test supervision already in the supplier's price (Item 6) and any re-testing after an unsatisfactory test, which is the Contractor's obligation under RFP Scope of Works 5.1. External pipework testing is Item 8. Scope: RFP Scope of Works 5.1 to 5.3.</t>
  </si>
  <si>
    <t xml:space="preserve">7.1</t>
  </si>
  <si>
    <t xml:space="preserve">Test water - first tank fill to test level</t>
  </si>
  <si>
    <t xml:space="preserve">3,774 m3 effective at 3.7 m water level (RFP Scope of Works section 1); one fill, the water re-used for Tank 2. Tankered at SAR 6.00/m3 - assumption; falls away if a network fill is confirmed</t>
  </si>
  <si>
    <t xml:space="preserve">7.2</t>
  </si>
  <si>
    <t xml:space="preserve">Transfer pump hire - Tank 1 to Tank 2</t>
  </si>
  <si>
    <t xml:space="preserve">The transfer P19 and the Tank 2 test P20 on the 'Programme' tab (7 days); pump duty an assessed assumption pending the Contractor's method statement. Assessed market rate, Riyadh, Sep-2026 - assumption pending the Contractor's substantiation</t>
  </si>
  <si>
    <t xml:space="preserve">7.3</t>
  </si>
  <si>
    <t xml:space="preserve">Transfer hoses and fittings hire</t>
  </si>
  <si>
    <t xml:space="preserve">week</t>
  </si>
  <si>
    <t xml:space="preserve">7.4</t>
  </si>
  <si>
    <t xml:space="preserve">Transfer labour, 2 No. x 3 days</t>
  </si>
  <si>
    <t xml:space="preserve">2 No. x 3 days, the transfer window P19 on the 'Programme' tab. Assessed market rate, Riyadh, Sep-2026 - assumption pending the Contractor's substantiation</t>
  </si>
  <si>
    <t xml:space="preserve">7.5</t>
  </si>
  <si>
    <t xml:space="preserve">Top-up water for losses and test level</t>
  </si>
  <si>
    <t xml:space="preserve">10 per cent of one fill, covering losses while the water is retained in Tank 1 between its test and the transfer to Tank 2 - assumption</t>
  </si>
  <si>
    <t xml:space="preserve">7.6</t>
  </si>
  <si>
    <t xml:space="preserve">Disinfection chemicals, hypochlorite (AWWA C652)</t>
  </si>
  <si>
    <t xml:space="preserve">kg</t>
  </si>
  <si>
    <t xml:space="preserve">7.7</t>
  </si>
  <si>
    <t xml:space="preserve">Chlorine dosing equipment hire</t>
  </si>
  <si>
    <t xml:space="preserve">7.8</t>
  </si>
  <si>
    <t xml:space="preserve">Disinfection and flushing labour, 2 No. x 10 days</t>
  </si>
  <si>
    <t xml:space="preserve">7.9</t>
  </si>
  <si>
    <t xml:space="preserve">Dechlorination chemicals for discharge</t>
  </si>
  <si>
    <t xml:space="preserve">7.10</t>
  </si>
  <si>
    <t xml:space="preserve">Sampling, transport and handling</t>
  </si>
  <si>
    <t xml:space="preserve">7.11</t>
  </si>
  <si>
    <t xml:space="preserve">Third-party laboratory water-quality tests</t>
  </si>
  <si>
    <t xml:space="preserve">sample</t>
  </si>
  <si>
    <t xml:space="preserve">Excluded by both tank suppliers. Assessed market rate, Riyadh, Sep-2026 - assumption pending the Contractor's substantiation</t>
  </si>
  <si>
    <t xml:space="preserve">7.12</t>
  </si>
  <si>
    <t xml:space="preserve">Third-party inspection visits</t>
  </si>
  <si>
    <t xml:space="preserve">visit</t>
  </si>
  <si>
    <t xml:space="preserve">Not assessed: RFP Scope of Works 5.1 and 5.2 require the tests to be witnessed by the Engineer, not inspected by a third party, and the third-party factory acceptance test is dealt with at 7.23. Previously 2 visits at SAR 2,400.00</t>
  </si>
  <si>
    <t xml:space="preserve">7.13</t>
  </si>
  <si>
    <t xml:space="preserve">Commissioning engineer</t>
  </si>
  <si>
    <t xml:space="preserve">Component checks and integrated commissioning (P21 and P21b on the 'Programme' tab) plus one day at each hydrostatic test hold; reduced from 15 days because the fills and holds are supervised by the QA/QC inspector (1.3) and the supplier (Item 6). Assessed market rate, Riyadh, Sep-2026 - assumption pending the Contractor's substantiation</t>
  </si>
  <si>
    <t xml:space="preserve">7.14</t>
  </si>
  <si>
    <t xml:space="preserve">MEP technicians - pump and network interfaces, 2 No. x 10 days (RFP Scope of Works, work package 9 - system integration)</t>
  </si>
  <si>
    <t xml:space="preserve">2 No. for the component checks and the integrated commissioning (P21 and P21b on the 'Programme' tab); reduced from 2 No. x 10 days. Assessed market rate, Riyadh, Sep-2026 - assumption pending the Contractor's substantiation</t>
  </si>
  <si>
    <t xml:space="preserve">7.15</t>
  </si>
  <si>
    <t xml:space="preserve">Electrician - instrument and readout connections</t>
  </si>
  <si>
    <t xml:space="preserve">7.16</t>
  </si>
  <si>
    <t xml:space="preserve">Integration coordination engineer - tie-ins with the Employer and Engineer</t>
  </si>
  <si>
    <t xml:space="preserve">Tie-in connections (P16 on the 'Programme' tab, 4 working days) plus one day of integrated commissioning. Assessed market rate, Riyadh, Sep-2026 - assumption pending the Contractor's substantiation</t>
  </si>
  <si>
    <t xml:space="preserve">7.17</t>
  </si>
  <si>
    <t xml:space="preserve">Calibration technician</t>
  </si>
  <si>
    <t xml:space="preserve">7.18</t>
  </si>
  <si>
    <t xml:space="preserve">Certified instrument calibrations</t>
  </si>
  <si>
    <t xml:space="preserve">7.19</t>
  </si>
  <si>
    <t xml:space="preserve">Test-equipment hire - calibrated gauges, data logger</t>
  </si>
  <si>
    <t xml:space="preserve">7.20</t>
  </si>
  <si>
    <t xml:space="preserve">Technical clerk - test records, ITP/WIR close-out</t>
  </si>
  <si>
    <t xml:space="preserve">1 month retained: test records run from the first hydrostatic test to the close-out (P18 to P23 on the 'Programme' tab, about five weeks on either basis). Assessed market rate, Riyadh, Sep-2026 - assumption pending the Contractor's substantiation</t>
  </si>
  <si>
    <t xml:space="preserve">7.21</t>
  </si>
  <si>
    <t xml:space="preserve">As-built mark-ups at close-out - draughtsman, issued via Aconex</t>
  </si>
  <si>
    <t xml:space="preserve">7.22</t>
  </si>
  <si>
    <t xml:space="preserve">Tanker and pump standby during filling and test holds</t>
  </si>
  <si>
    <t xml:space="preserve">Pump and hose set standing by through the two 24-hour holds and two days of contingency between the Tank 1 test and the transfer; tankers work during the fill and are paid at 7.1, not here. Assessed market rate, Riyadh, Sep-2026 - assumption pending the Contractor's substantiation</t>
  </si>
  <si>
    <t xml:space="preserve">7.23</t>
  </si>
  <si>
    <t xml:space="preserve">Third-party factory acceptance test of the GRP panels - inspector days and travel to the factory</t>
  </si>
  <si>
    <t xml:space="preserve">Not assessed. The Contractor is arranging a third-party factory acceptance test (PQD, ITP, procedure and inspector CV submitted 26 to 28-Sep-2026 per its deliverables list of 29-Sep-2026). RFP-027 Scope of Works 5.3 requires hydrostatic factory test reports among the handover documents; that is the manufacturer's own test record, within the supplier's supply, and does not require a third-party inspector. The line is carried at nil until an Engineer's instruction or an approved ITP requiring third-party inspection is evidenced; the Contractor has not claimed it separately</t>
  </si>
  <si>
    <t xml:space="preserve">TOTAL ITEM 7 - both tanks</t>
  </si>
  <si>
    <t xml:space="preserve">Rate per tank - carried to 'Assessment'!J17</t>
  </si>
  <si>
    <t xml:space="preserve">ITEM 8 - PIPING, INSTRUMENTATION, SUPPORTS AND ACCESSORIES - PROVISIONAL ALLOWANCE</t>
  </si>
  <si>
    <t xml:space="preserve">External pipework, valves, fittings and instrumentation connecting the two tanks to the confirmed tie-in points (RFP Scope of Works, Piping Connections and General Piping Requirements); excluded from both tank suppliers' scopes. Priced to the RFP specification: uPVC Schedule 40 below DN150; GRP or ductile iron with internal lining above DN150; resilient-seated butterfly isolation valves, lever-operated up to DN200 and gearbox-operated above. The Contractor's procurement tracker of 29-Sep-2026 shows different materials being procured (HDPE main line, a gate valve and a motorised butterfly valve); those substitutions are not approved and are shown after line 8.21, not carried. No quantities exist: the pipework shop drawings were returned Code C and are being resubmitted, and no take-off has been received, so the quantities remain assessed from the RFP schematic and are provisional. Unit rates are supplied and installed, inclusive of labour. Lines 8.16 to 8.19 test the pipework only; tank testing is Item 7.</t>
  </si>
  <si>
    <t xml:space="preserve">8.1</t>
  </si>
  <si>
    <t xml:space="preserve">Main pipework above DN150 - GRP or ductile iron with internal lining, with fittings, supplied and installed (RFP General Piping Requirements)</t>
  </si>
  <si>
    <t xml:space="preserve">m</t>
  </si>
  <si>
    <t xml:space="preserve">Assessed run lengths for inlet, outlet and overflow of 2 tanks - take-off required. The Contractor is procuring HDPE pipe of 355 mm and 315 mm outside diameter (nominal size subject to the pipe standard and SDR and to the Engineer's confirmation): see the alternative after line 8.21. Assessed market rate, Riyadh, Sep-2026 - assumption pending the Contractor's substantiation</t>
  </si>
  <si>
    <t xml:space="preserve">8.2</t>
  </si>
  <si>
    <t xml:space="preserve">Small-bore pipework below DN150 - uPVC Schedule 40, supplied and installed</t>
  </si>
  <si>
    <t xml:space="preserve">Assessed - take-off required. The Contractor is procuring uPVC pipe of 160 mm and 110 mm outside diameter (nominal size subject to the pipe standard and to the Engineer's confirmation); whether the 160 mm pipe falls below or at the DN150 boundary of the specification depends on the pipe standard and is to be confirmed by the Engineer. Assessed market rate, Riyadh, Sep-2026 - assumption pending the Contractor's substantiation</t>
  </si>
  <si>
    <t xml:space="preserve">8.3</t>
  </si>
  <si>
    <t xml:space="preserve">Resilient-seated butterfly isolation valves DN150-DN300, lever-operated up to DN200 and gearbox-operated above, installed</t>
  </si>
  <si>
    <t xml:space="preserve">Assessed count - take-off required; the procurement tracker lists 2 valves (a gate valve DN300 and a motorised butterfly valve DN355), neither to the specified type or operation - see the alternative after line 8.21. Assessed market rate, Riyadh, Sep-2026 - assumption pending the Contractor's substantiation</t>
  </si>
  <si>
    <t xml:space="preserve">8.4</t>
  </si>
  <si>
    <t xml:space="preserve">Dismantling joints DN250</t>
  </si>
  <si>
    <t xml:space="preserve">8.5</t>
  </si>
  <si>
    <t xml:space="preserve">Blind flanges on spare nozzles</t>
  </si>
  <si>
    <t xml:space="preserve">8.6</t>
  </si>
  <si>
    <t xml:space="preserve">Flange sets, gaskets and bolting</t>
  </si>
  <si>
    <t xml:space="preserve">tank-set</t>
  </si>
  <si>
    <t xml:space="preserve">8.7</t>
  </si>
  <si>
    <t xml:space="preserve">Fabricated pipe supports, galvanised / 316 SS</t>
  </si>
  <si>
    <t xml:space="preserve">8.8</t>
  </si>
  <si>
    <t xml:space="preserve">Anchor and thrust blocks at bends and valves</t>
  </si>
  <si>
    <t xml:space="preserve">8.9</t>
  </si>
  <si>
    <t xml:space="preserve">Float-and-tape level indicators with local readout (RFP Scope of Works, work package 7 - level instrumentation)</t>
  </si>
  <si>
    <t xml:space="preserve">8.10</t>
  </si>
  <si>
    <t xml:space="preserve">Level transmitters with remote indication</t>
  </si>
  <si>
    <t xml:space="preserve">Excluded from the tank supplier scope; the programme shows level transmitters installed on both tanks (activities QCD18TSECONT1MW2060 and QCD18TSECONT2MW2040). Assessed market rate, Riyadh, Sep-2026 - assumption pending the Contractor's substantiation</t>
  </si>
  <si>
    <t xml:space="preserve">8.11</t>
  </si>
  <si>
    <t xml:space="preserve">Instrument cabling and conduit to readout points</t>
  </si>
  <si>
    <t xml:space="preserve">Assessed run length - take-off required. Assessed market rate, Riyadh, Sep-2026 - assumption pending the Contractor's substantiation</t>
  </si>
  <si>
    <t xml:space="preserve">8.12</t>
  </si>
  <si>
    <t xml:space="preserve">Pressure gauge assemblies on the outlet header (RFP Scope of Works 3.1)</t>
  </si>
  <si>
    <t xml:space="preserve">8.13</t>
  </si>
  <si>
    <t xml:space="preserve">Stainless steel sample taps on the outlet lines (RFP Scope of Works 3.1)</t>
  </si>
  <si>
    <t xml:space="preserve">8.14</t>
  </si>
  <si>
    <t xml:space="preserve">Tie-ins to the irrigation and firefighting networks</t>
  </si>
  <si>
    <t xml:space="preserve">Tie-in connections with the existing pump room after the readiness milestone of 03-Dec-2026 (activity QCD18TSECONTC2040, 4 working days). Assessed market rate, Riyadh, Sep-2026 - assumption pending the Contractor's substantiation</t>
  </si>
  <si>
    <t xml:space="preserve">8.15</t>
  </si>
  <si>
    <t xml:space="preserve">Tie-in coordination and out-of-hours working</t>
  </si>
  <si>
    <t xml:space="preserve">8.16</t>
  </si>
  <si>
    <t xml:space="preserve">Test pump and manifold hire</t>
  </si>
  <si>
    <t xml:space="preserve">8.17</t>
  </si>
  <si>
    <t xml:space="preserve">Test and flushing water for pipework, tankered</t>
  </si>
  <si>
    <t xml:space="preserve">8.18</t>
  </si>
  <si>
    <t xml:space="preserve">Pipework testing crew, 2 No. x 12 days</t>
  </si>
  <si>
    <t xml:space="preserve">8.19</t>
  </si>
  <si>
    <t xml:space="preserve">Test records, calibrated gauges and certificates</t>
  </si>
  <si>
    <t xml:space="preserve">system</t>
  </si>
  <si>
    <t xml:space="preserve">8.20</t>
  </si>
  <si>
    <t xml:space="preserve">Purple/lilac colour-band painting on external piping</t>
  </si>
  <si>
    <t xml:space="preserve">8.21</t>
  </si>
  <si>
    <t xml:space="preserve">Identification tags, flow arrows and labels</t>
  </si>
  <si>
    <t xml:space="preserve">At valves, direction changes and 3 m intervals. Assessed market rate, Riyadh, Sep-2026 - assumption pending the Contractor's substantiation</t>
  </si>
  <si>
    <t xml:space="preserve">TOTAL ITEM 8 - carried to 'Assessment'!J18</t>
  </si>
  <si>
    <t xml:space="preserve">Contractor's procured materials in place of lines 8.1 to 8.3 - shown for information, not carried</t>
  </si>
  <si>
    <t xml:space="preserve">a.1</t>
  </si>
  <si>
    <t xml:space="preserve">HDPE PE100 pipe, 355 mm and 315 mm outside diameter (nominal size subject to the pipe standard and SDR and to the Engineer's confirmation), with HDPE fittings, flange adaptors, reducer, elbow and tee, supplied and installed - in place of line 8.1</t>
  </si>
  <si>
    <t xml:space="preserve">Same assessed length as 8.1 (no take-off). Union Pipe Industry supply per the procurement tracker of 29-Sep-2026; PQD approved Code B 16-Sep-2026, material approval request under preparation - not approved against the GRP or ductile iron specification. The tracker gives outside diameters, not nominal sizes; the nominal size, pressure class and SDR are to be confirmed on the approved shop drawings and by the Engineer. Assessed market rate, Riyadh, Sep-2026 - assumption</t>
  </si>
  <si>
    <t xml:space="preserve">a.2</t>
  </si>
  <si>
    <t xml:space="preserve">uPVC pipe, 160 mm and 110 mm outside diameter (nominal size subject to the pipe standard and to the Engineer's confirmation), with uPVC elbows, supplied and installed - in place of line 8.2</t>
  </si>
  <si>
    <t xml:space="preserve">Same assessed length and rate as 8.2: the material conforms below DN150. Al Muneef supply; PQD submitted 15-Sep-2026, material approval request under preparation</t>
  </si>
  <si>
    <t xml:space="preserve">a.3</t>
  </si>
  <si>
    <t xml:space="preserve">Gate valve DN300, installed - in place of one valve at line 8.3</t>
  </si>
  <si>
    <t xml:space="preserve">Saudi Pipe Systems supply. Does not conform: the RFP General Piping Requirements call for resilient-seated butterfly isolation valves. Assessed market rate, Riyadh, Sep-2026 - assumption</t>
  </si>
  <si>
    <t xml:space="preserve">a.4</t>
  </si>
  <si>
    <t xml:space="preserve">Motorised butterfly valve DN355 as listed by the Contractor, installed, actuator included, power and control supply excluded - in place of one valve at line 8.3</t>
  </si>
  <si>
    <t xml:space="preserve">Saudi Pipe Systems supply. Does not conform: the RFP requires gearbox operation above DN200; a motorised valve needs a power and control supply that is in no party's scope. Assessed market rate, Riyadh, Sep-2026 - assumption</t>
  </si>
  <si>
    <t xml:space="preserve">a.5</t>
  </si>
  <si>
    <t xml:space="preserve">Remaining valves at line 8.3 to the RFP specification - 8 No. retained</t>
  </si>
  <si>
    <t xml:space="preserve">The tracker lists only 2 valves; the count at 8.3 stays assessed until the pipework shop drawings are approved and measured</t>
  </si>
  <si>
    <t xml:space="preserve">Alternative total for lines 8.1 to 8.3 on the procured materials - information only</t>
  </si>
  <si>
    <t xml:space="preserve">Assessed amount of lines 8.1 to 8.3 to the RFP specification, carried</t>
  </si>
  <si>
    <t xml:space="preserve">Difference - not carried: the substitution is not approved</t>
  </si>
  <si>
    <t xml:space="preserve">ASSUMPTIONS AND SOURCES</t>
  </si>
  <si>
    <t xml:space="preserve">1. Valuation basis: Sub-Clause 13.3.4 of the Conditions of Contract - Bill of Quantities or agreed rates where they apply (signage), otherwise fair and reasonable market rates. The Daywork Schedule applies only to Engineer-instructed daywork and is not used.</t>
  </si>
  <si>
    <t xml:space="preserve">2. Rates marked 'assumption' are assessed Riyadh market rates (Sep-2026): crane 50 t SAR 2,500/day; boom truck SAR 1,200/day; telehandler SAR 900/day; scaffolding SAR 55/m2; generator 100 kVA SAR 11,000/month with fuel; general labour SAR 150/day; rigger SAR 250/day; site engineer SAR 12,000/month; HSE and QA/QC SAR 10,000/month; foreman SAR 8,000/month; test water SAR 6.00/m3 tankered; site water SAR 350 per 10 m3 delivery; generator 30 kVA SAR 6,000/month continuous with fuel; local haulage SAR 450/load; HDPE PE100 pipe 355 mm outside diameter supplied and installed SAR 280/m; gate valve DN300 SAR 6,500; motorised butterfly valve DN355 as listed SAR 14,000 excluding power and control.</t>
  </si>
  <si>
    <t xml:space="preserve">3. Programme: the Contractor's baseline programme QC05958-BSL01THF-TSE.xer (data date 01-Jul-2026), issued 29-Sep-2026 with a cost S-curve, cash flow, manpower histogram and two-week look-ahead, is the source of every period on this tab, as set out on the 'Programme' tab. It is under the Engineer's approval (acceptable with minor comments, a procurement schedule required) and is not an agreed basis. Site period D1 on the 'Programme' tab, from mobilisation on 22-Aug-2026 to the end of demobilisation, its end set by the external readiness milestone of 03-Dec-2026 and the tie-in, sequential testing, commissioning and demobilisation that follow; labour, plant and site staff assessed phase by phase in the resource matrix on that tab. Supplier delivery terms are 7-9 weeks for the first tank and 12-14 weeks for the second, delivered duty paid from the UAE. The staged delivery is the Contractor's procurement risk: no standby, idle time or prolongation arising from it is assessed. Dates after the look-ahead data date of 28-Sep-2026 are forecasts.</t>
  </si>
  <si>
    <t xml:space="preserve">4. The Engineer's (KEO) email of 30-Aug-2026, relied on above: water and power are arranged by the Contractor pending the Employer's confirmation of local sources; one tank is filled and the water re-used for the second; dismantled materials are handed to the Employer at a location assumed to be local; thermal insulation is not required; the Contractor's methodology uses forklifts, cranes and pallet jacks; no CAD drawings exist beyond the marked-up schematic in the RFP.</t>
  </si>
  <si>
    <t xml:space="preserve">5. The tank site is outside the D-18 site boundary. Whether the Employer's security covers the lower plateau is to be confirmed; a watchman is included pending that confirmation. The Contract insurances cover the Site as defined, so an endorsement extending cover to the tank site is allowed. All documentation is issued electronically via Aconex.</t>
  </si>
  <si>
    <t xml:space="preserve">6. The 5 per cent Overhead and Profit on the 'Assessment' tab covers head-office overheads and profit only; every site-specific cost is priced in the items. The Contractor's cost loading of its programme spreads the proposal including that percentage across activities for progress measurement; it is an allocation, not evidence of cost, and is recorded on the 'Build-Up Comparison' tab, Section 8.</t>
  </si>
  <si>
    <t xml:space="preserve">7. Information requested from the Contractor and still outstanding is listed on the 'Build-Up Comparison' tab, Section 7.</t>
  </si>
  <si>
    <t xml:space="preserve">8. All amounts exclude VAT.</t>
  </si>
  <si>
    <t xml:space="preserve">CONTRACTOR'S BUILD-UP COMPARED WITH THE ASSESSMENT</t>
  </si>
  <si>
    <t xml:space="preserve">The Contractor was asked on 25-Aug-2026 to substantiate the lump-sum items in its proposal. It submitted a rate build-up for Items 1, 5, 7 and 8. This tab sets each component of that submission against the assessed build-up on the 'Build-Up' tab and records whether the amount claimed is supported. Column F sets against each of the Contractor's components the 'Build-Up' lines assessed for the same work, so that the two build-ups can be read side by side and both columns foot to the item totals. All amounts exclude VAT.</t>
  </si>
  <si>
    <t xml:space="preserve">1.  SUMMARY</t>
  </si>
  <si>
    <t xml:space="preserve">Claimed by the Contractor (SAR)</t>
  </si>
  <si>
    <t xml:space="preserve">Assessed (SAR)</t>
  </si>
  <si>
    <t xml:space="preserve">Difference (SAR)</t>
  </si>
  <si>
    <t xml:space="preserve">Conclusion</t>
  </si>
  <si>
    <t xml:space="preserve">1</t>
  </si>
  <si>
    <t xml:space="preserve">Site mobilisation, temporary facilities and welfare</t>
  </si>
  <si>
    <t xml:space="preserve">Not substantiated. A separate site establishment is allowable and is assessed in Section 3 of this tab.</t>
  </si>
  <si>
    <t xml:space="preserve">5</t>
  </si>
  <si>
    <t xml:space="preserve">Temporary works, construction equipment and site support</t>
  </si>
  <si>
    <t xml:space="preserve">Not substantiated. No plant numbers, periods or rates; includes a contingency line. See Section 4 of this tab.</t>
  </si>
  <si>
    <t xml:space="preserve">7</t>
  </si>
  <si>
    <t xml:space="preserve">Testing, commissioning and handover</t>
  </si>
  <si>
    <t xml:space="preserve">Not substantiated. No volumes, counts or rates; includes re-testing. See Section 5 of this tab.</t>
  </si>
  <si>
    <t xml:space="preserve">8</t>
  </si>
  <si>
    <t xml:space="preserve">Piping, instrumentation, supports and accessories</t>
  </si>
  <si>
    <t xml:space="preserve">Not substantiated. No quantities; take-off outstanding. See Section 6 of this tab.</t>
  </si>
  <si>
    <t xml:space="preserve">Total of the four items submitted</t>
  </si>
  <si>
    <t xml:space="preserve">The submission does not change the assessment.</t>
  </si>
  <si>
    <t xml:space="preserve">Items 2 (Design and engineering, SAR 85,000.00) and 4 (Removal and disposal, SAR 10,500.00) were also requested and have not been submitted.</t>
  </si>
  <si>
    <t xml:space="preserve">2.  HOW THE CONTRACTOR'S BUILD-UP IS CONSTRUCTED</t>
  </si>
  <si>
    <t xml:space="preserve">-   Each amount is the claimed lump sum multiplied by an assumed percentage, for example 25 per cent x SAR 504,192.02. The percentages are set to total 100 per cent, so each sheet returns the figure it started from.</t>
  </si>
  <si>
    <t xml:space="preserve">-   No quantities and no unit rates are stated in any of the four sheets.</t>
  </si>
  <si>
    <t xml:space="preserve">-   Plant is named without capacity, number, hire period or rate. Labour is given as ranges such as "approx. 4-6 crew", not as man-days.</t>
  </si>
  <si>
    <t xml:space="preserve">-   The Item 1 percentages are a weighting of 83 parts (20, 6, 8, 12, 8, 7, 10 and 12), which is why they carry six decimal places.</t>
  </si>
  <si>
    <t xml:space="preserve">-   The submission allocates the sums already claimed; it does not build them up, and it does not allow the quantities and rates to be substantiated as Sub-Clause 12.3.2 of the Conditions of Contract requires.</t>
  </si>
  <si>
    <t xml:space="preserve">3.  ITEM 1 - SITE MOBILISATION, TEMPORARY FACILITIES AND WELFARE</t>
  </si>
  <si>
    <t xml:space="preserve">The tank site is in the lower plateau, outside the D-18 site boundary, so a separate site establishment is allowable. The Contractor's components are the Contract Preliminaries headings restated with percentages; none is built up as quantity x rate.</t>
  </si>
  <si>
    <t xml:space="preserve">Component as submitted by the Contractor</t>
  </si>
  <si>
    <t xml:space="preserve">Basis stated by the Contractor</t>
  </si>
  <si>
    <t xml:space="preserve">% of item</t>
  </si>
  <si>
    <t xml:space="preserve">Amount claimed (SAR)</t>
  </si>
  <si>
    <t xml:space="preserve">Assessment comment</t>
  </si>
  <si>
    <t xml:space="preserve">Heavy equipment mobilization/demobilization (cranes, trucks, machinery transport to/from site)</t>
  </si>
  <si>
    <t xml:space="preserve">Site establishment cost driver for the scale of works</t>
  </si>
  <si>
    <t xml:space="preserve">Assessed as mobilisation trips for cabins, containers and small plant ('Build-Up' 1.14); demobilisation is assessed against the Contractor's line 1.8 in this table. No trips or rates stated. The tank installer's own mobilisation is within the supplier quotation adopted under Item 6 (Al Mousa S04488 dated 09-Jul-2026).</t>
  </si>
  <si>
    <t xml:space="preserve">Construction Facilities - welfare &amp; First Aid facilities</t>
  </si>
  <si>
    <t xml:space="preserve">Per Contract Preliminaries: welfare and First Aid facilities provision at site</t>
  </si>
  <si>
    <t xml:space="preserve">Assessed as a site office cabin, a welfare cabin and a WC unit for 3 months ('Build-Up' 1.6 to 1.8). No units, period or rate stated.</t>
  </si>
  <si>
    <t xml:space="preserve">Vehicular Access &amp; Parking (traffic signs, safety barriers, etc.)</t>
  </si>
  <si>
    <t xml:space="preserve">Per Contract: Vehicular Access and Parking, including traffic signs, safety barriers, etc.</t>
  </si>
  <si>
    <t xml:space="preserve">Assessed as 12 traffic signs at the RFP-021 agreed rate and 100 Lm of hired barriers ('Build-Up' 1.20 and 1.21). No quantities stated.</t>
  </si>
  <si>
    <t xml:space="preserve">Personnel mobilization (transport, camp/accommodation setup, induction)</t>
  </si>
  <si>
    <t xml:space="preserve">Personnel mobilization to site</t>
  </si>
  <si>
    <t xml:space="preserve">Assessed as daily workforce transport to the tank site ('Build-Up' 1.12). Camp and accommodation set-up is not allowed: the workforce is already employed and accommodated under the Contract.</t>
  </si>
  <si>
    <t xml:space="preserve">Temporary utilities connection (power distribution, water supply to site)</t>
  </si>
  <si>
    <t xml:space="preserve">Standard site establishment item</t>
  </si>
  <si>
    <t xml:space="preserve">Assessed as tankered site water and a storage tank for the whole period ('Build-Up' 1.9 and 1.10). Power is assessed against the Contractor's Item 5, line 5.4 (generators), in Section 4 of this tab, and is not repeated here. No basis stated.</t>
  </si>
  <si>
    <t xml:space="preserve">Permits, insurance, HSE setup &amp; signage</t>
  </si>
  <si>
    <t xml:space="preserve">Standard preliminary cost</t>
  </si>
  <si>
    <t xml:space="preserve">Assessed as a dedicated HSE officer, an insurance endorsement extending the Contract cover to the tank site, PPE and site safety signage ('Build-Up' 1.2 and 1.17 to 1.19). Traffic signs are against line 1.3. No basis stated.</t>
  </si>
  <si>
    <t xml:space="preserve">Close out (Completion and Correction List, Warranties, Project Record Documents)</t>
  </si>
  <si>
    <t xml:space="preserve">Per Contract Preliminaries Item 22: Close out documentation</t>
  </si>
  <si>
    <t xml:space="preserve">Assessed as a separate completion procedure for the tank site: inspections, correction list and warranties ('Build-Up' 1.22 and 1.23). Test records, ITP/WIR close-out and as-built drawings are assessed under Item 7 and not repeated. No resource or duration stated.</t>
  </si>
  <si>
    <t xml:space="preserve">Demobilization at completion (equipment removal, site clean-up, facility removal)</t>
  </si>
  <si>
    <t xml:space="preserve">Mirrors mobilization scope at close-out</t>
  </si>
  <si>
    <t xml:space="preserve">Assessed as demobilisation trips and site clean-up ('Build-Up' 1.15 and 1.16). No trips, labour or rates stated.</t>
  </si>
  <si>
    <t xml:space="preserve">Assessed but not identified in the Contractor's build-up: site supervision, storage and security</t>
  </si>
  <si>
    <t xml:space="preserve">Site engineer, QA/QC inspector, works foreman, storekeeper, storage containers and watchman ('Build-Up' 1.1, 1.3 to 1.5, 1.11 and 1.13). The Contractor's manpower schedule places site staff in general overheads and prices none here.</t>
  </si>
  <si>
    <t xml:space="preserve">Totals for this item</t>
  </si>
  <si>
    <t xml:space="preserve">Column F foots to the item total on the 'Assessment' tab, row 8.</t>
  </si>
  <si>
    <t xml:space="preserve">The manpower schedule submitted with Item 1 states that the full-time roles' 151-day cost and the part-time allocations are carried under the Contractor's general overheads and preliminaries, and that it "does not reprice Item 1's Est. % / Est. Amount values". It provides no support for the amount claimed. The 151-day duration is asserted without a programme.</t>
  </si>
  <si>
    <t xml:space="preserve">4.  ITEM 5 - TEMPORARY WORKS, CONSTRUCTION EQUIPMENT AND SITE SUPPORT</t>
  </si>
  <si>
    <t xml:space="preserve">The stated basis for six of the eight lines is a quotation of the RFP item description. Restating the description does not substantiate the price.</t>
  </si>
  <si>
    <t xml:space="preserve">Scaffolding &amp; access platforms (for tank erection/bracing works)</t>
  </si>
  <si>
    <t xml:space="preserve">Per RFP wording: 'Scaffolding'</t>
  </si>
  <si>
    <t xml:space="preserve">Assessed as 1,024 m2 of perimeter scaffold, access towers and podium steps ('Build-Up' 5.3 to 5.6). No area, period or rate stated.</t>
  </si>
  <si>
    <t xml:space="preserve">Mobile crane(s) rental for tank panel erection (duration-based)</t>
  </si>
  <si>
    <t xml:space="preserve">Per RFP wording: 'cranes'</t>
  </si>
  <si>
    <t xml:space="preserve">Assessed as a telehandler for the hire days on the 'Programme' tab, Section 4 ('Build-Up' 5.2): the existing base frames and 4 m panel height do not call for a mobile crane. The Contractor's plant schedule is awaited. No capacity, units, period or rate stated.</t>
  </si>
  <si>
    <t xml:space="preserve">Boom trucks / man-lifts for elevated works</t>
  </si>
  <si>
    <t xml:space="preserve">Per RFP wording: 'boom trucks'</t>
  </si>
  <si>
    <t xml:space="preserve">Assessed as a boom truck for the hire days on the 'Programme' tab, Section 4 ('Build-Up' 5.1). No units, period or rate stated.</t>
  </si>
  <si>
    <t xml:space="preserve">Generators - rental &amp; fuel for site power</t>
  </si>
  <si>
    <t xml:space="preserve">Per RFP wording: 'generators'</t>
  </si>
  <si>
    <t xml:space="preserve">Assessed as a 100 kVA works set by day and a 30 kVA welfare set running continuously, both for the whole period with fuel, and distribution boards ('Build-Up' 5.7, 5.8 and 5.15). All site power is assessed here; none is assessed under the Contractor's Item 1, line 1.5 (temporary utilities), in Section 3 of this tab, so there is no double count. No set size, period or fuel basis stated.</t>
  </si>
  <si>
    <t xml:space="preserve">Site trucks &amp; transport (materials, spoil, deliveries)</t>
  </si>
  <si>
    <t xml:space="preserve">Per RFP wording: 'trucks'</t>
  </si>
  <si>
    <t xml:space="preserve">Assessed as a site pick-up for 3 months ('Build-Up' 5.9). No vehicles, period or rate stated.</t>
  </si>
  <si>
    <t xml:space="preserve">Small tools &amp; consumables (hand tools, torque tools, sealants application tools)</t>
  </si>
  <si>
    <t xml:space="preserve">Per RFP wording: 'small tools'</t>
  </si>
  <si>
    <t xml:space="preserve">Assessed as power-tool hire, jointing and general consumables ('Build-Up' 5.11 to 5.13). No basis stated.</t>
  </si>
  <si>
    <t xml:space="preserve">Temporary facilities upkeep (site cabins, storage, lighting) for works duration</t>
  </si>
  <si>
    <t xml:space="preserve">Per RFP wording: 'temporary facilities'</t>
  </si>
  <si>
    <t xml:space="preserve">Assessed as lighting towers ('Build-Up' 5.14); cabins and storage are under Item 1. No units, period or rate stated.</t>
  </si>
  <si>
    <t xml:space="preserve">Other equipment/resources (contingency for unlisted items)</t>
  </si>
  <si>
    <t xml:space="preserve">Per RFP wording: 'other equipment/resources'</t>
  </si>
  <si>
    <t xml:space="preserve">Not allowed. A contingency for unidentified items is not a cost.</t>
  </si>
  <si>
    <t xml:space="preserve">Assessed but not identified in the Contractor's build-up: attendance labour for the tank supplier</t>
  </si>
  <si>
    <t xml:space="preserve">Helper-days assessed phase by phase on the 'Programme' tab, Section 4, converted to man-months ('Build-Up' 5.10).</t>
  </si>
  <si>
    <t xml:space="preserve">Column F foots to the item total on the 'Assessment' tab, row 14.</t>
  </si>
  <si>
    <t xml:space="preserve">5.  ITEM 7 - TESTING, COMMISSIONING AND HANDOVER</t>
  </si>
  <si>
    <t xml:space="preserve">Claimed as 2 No. at SAR 213,200.00 each. The basic leak-test supervision is already in the tank supplier's price under Item 6. Assessed amounts are for both tanks. 'Scope' in the Contractor's stated basis means the RFP Scope of Works.</t>
  </si>
  <si>
    <t xml:space="preserve">Hydrostatic / leak test per tank (water fill, 24-hr hold, drain, re-test if needed)</t>
  </si>
  <si>
    <t xml:space="preserve">Per Scope 5.1</t>
  </si>
  <si>
    <t xml:space="preserve">Assessed as one fill with transfer to the second tank, disinfection, flushing, water-quality testing and standby ('Build-Up' 7.1 to 7.12 and 7.22). Re-testing is the Contractor's obligation and is not allowed. No volume, source or rate stated.</t>
  </si>
  <si>
    <t xml:space="preserve">Component &amp; instrumentation function testing (level instruments, valves, nozzles)</t>
  </si>
  <si>
    <t xml:space="preserve">Per Scope 5.2 - T&amp;C Programme</t>
  </si>
  <si>
    <t xml:space="preserve">Assessed as an electrician, a calibration technician, certified calibrations and test equipment ('Build-Up' 7.15 and 7.17 to 7.19). No counts or rates stated.</t>
  </si>
  <si>
    <t xml:space="preserve">Subsystem validation (tank-pump-network interface verification)</t>
  </si>
  <si>
    <t xml:space="preserve">Per Scope 5.2</t>
  </si>
  <si>
    <t xml:space="preserve">Assessed as MEP technicians and integration coordination ('Build-Up' 7.14 and 7.16). No resource or duration stated.</t>
  </si>
  <si>
    <t xml:space="preserve">Integrated system commissioning (full operational demonstration, witness testing)</t>
  </si>
  <si>
    <t xml:space="preserve">Assessed as a commissioning engineer for 15 days ('Build-Up' 7.13). The Engineer's representative attendance, included in the Contractor's labour, is not a Contractor cost.</t>
  </si>
  <si>
    <t xml:space="preserve">Documentation &amp; handover (as-built, test certificates, O&amp;M manuals, ITP/WIR close-out)</t>
  </si>
  <si>
    <t xml:space="preserve">Per Scope 5.3</t>
  </si>
  <si>
    <t xml:space="preserve">Assessed as a technical clerk and as-built mark-ups ('Build-Up' 7.20 and 7.21). No resource or duration stated.</t>
  </si>
  <si>
    <t xml:space="preserve">Column F foots to the item total on the 'Assessment' tab, row 17.</t>
  </si>
  <si>
    <t xml:space="preserve">6.  ITEM 8 - PIPING, INSTRUMENTATION, SUPPORTS AND ACCESSORIES</t>
  </si>
  <si>
    <t xml:space="preserve">Material supply (lines 8.1 to 8.3) is 60 per cent of the claim, SAR 252,000.00, stated without a single length, diameter or count. The take-off from the marked-up schematic in the RFP was requested and has not been provided. The assessed rates are supplied and installed, so the Contractor's separate labour line is compared against the tie-in work only. 'Scope' in the Contractor's stated basis means the RFP Scope of Works.</t>
  </si>
  <si>
    <t xml:space="preserve">Pipe material supply (uPVC Sch.40 &lt;DN150 / GRP or DI &gt;DN150)</t>
  </si>
  <si>
    <t xml:space="preserve">Per Scope 3.1 General Piping Requirements</t>
  </si>
  <si>
    <t xml:space="preserve">Assessed as 200 m of DN200-300 and 60 m of small-bore pipework with joints and flanges, supplied and installed ('Build-Up' 8.1, 8.2 and 8.4 to 8.6). No lengths or diameters stated; take-off awaited.</t>
  </si>
  <si>
    <t xml:space="preserve">Valves supply (resilient-seated butterfly, lever or gearbox operated per size)</t>
  </si>
  <si>
    <t xml:space="preserve">Per Scope 3.1</t>
  </si>
  <si>
    <t xml:space="preserve">Assessed as 10 valves DN150-300, installed ('Build-Up' 8.3). No sizes or numbers stated.</t>
  </si>
  <si>
    <t xml:space="preserve">Pipe supports, brackets &amp; anchor clamps (galvanized/316SS)</t>
  </si>
  <si>
    <t xml:space="preserve">Assessed as 40 supports and 8 thrust blocks ('Build-Up' 8.7 and 8.8). No numbers stated.</t>
  </si>
  <si>
    <t xml:space="preserve">Fabrication &amp; installation labor (fitting, jointing, tie-ins to network)</t>
  </si>
  <si>
    <t xml:space="preserve">Standard piping installation cost driver</t>
  </si>
  <si>
    <t xml:space="preserve">Assessed as the two network tie-ins with coordination ('Build-Up' 8.14 and 8.15); installation of pipework, valves and supports is within the supplied-and-installed rates above. Crew range only stated.</t>
  </si>
  <si>
    <t xml:space="preserve">Instrumentation connections &amp; testing (pressure gauge tap, sample tap, 1.5x pressure test, hydrostatic test &amp; records)</t>
  </si>
  <si>
    <t xml:space="preserve">Per General Piping Requirements</t>
  </si>
  <si>
    <t xml:space="preserve">Assessed as level instrumentation, gauges, sample taps and pipework testing ('Build-Up' 8.9 to 8.13 and 8.16 to 8.19). No counts stated.</t>
  </si>
  <si>
    <t xml:space="preserve">Colour-coding, identification tagging &amp; flow direction marking</t>
  </si>
  <si>
    <t xml:space="preserve">Assessed as 260 m of colour banding and 70 tags ('Build-Up' 8.20 and 8.21). No lengths or counts stated.</t>
  </si>
  <si>
    <t xml:space="preserve">Column F foots to the item total on the 'Assessment' tab, row 18.</t>
  </si>
  <si>
    <t xml:space="preserve">7.  INFORMATION REQUESTED FROM THE CONTRACTOR AND STILL OUTSTANDING</t>
  </si>
  <si>
    <t xml:space="preserve">The substantiation request was issued by WT Partnership to the Contractor via Aconex on 25-Aug-2026 under Sub-Clauses 13.3.1 and 12.3.2 of the Conditions of Contract. A follow-up clarification request was prepared after the Engineer's (KEO) email of 30-Aug-2026; its issue is to be confirmed before it is relied on.</t>
  </si>
  <si>
    <t xml:space="preserve">No.</t>
  </si>
  <si>
    <t xml:space="preserve">Requested</t>
  </si>
  <si>
    <t xml:space="preserve">Requested in</t>
  </si>
  <si>
    <t xml:space="preserve">Status at 30-Sep-2026</t>
  </si>
  <si>
    <t xml:space="preserve">Detailed build-ups for Items 2 and 4</t>
  </si>
  <si>
    <t xml:space="preserve">WT Partnership Aconex substantiation request dated 25-Aug-2026</t>
  </si>
  <si>
    <t xml:space="preserve">Not submitted</t>
  </si>
  <si>
    <t xml:space="preserve">2</t>
  </si>
  <si>
    <t xml:space="preserve">Revalidated supplier quotations; both had lapsed before the proposal was submitted</t>
  </si>
  <si>
    <t xml:space="preserve">WT Partnership Aconex substantiation request dated 25-Aug-2026; WT Partnership follow-up clarification request (issue to be confirmed).</t>
  </si>
  <si>
    <t xml:space="preserve">Not received</t>
  </si>
  <si>
    <t xml:space="preserve">3</t>
  </si>
  <si>
    <t xml:space="preserve">Written confirmation whether bottom/base panels are included in the tank price</t>
  </si>
  <si>
    <t xml:space="preserve">4</t>
  </si>
  <si>
    <t xml:space="preserve">Execution programme and the impact on the Key Dates and Time for Completion</t>
  </si>
  <si>
    <t xml:space="preserve">Baseline programme (data date 01-Jul-2026), S-curve, cash flow, manpower histogram and look-ahead received 29-Sep-2026; under the Engineer's approval. The impact on the Key Dates and Time for Completion is not stated</t>
  </si>
  <si>
    <t xml:space="preserve">Revised quotations from all three suppliers priced on a non-insulated basis</t>
  </si>
  <si>
    <t xml:space="preserve">This assessment.</t>
  </si>
  <si>
    <t xml:space="preserve">6</t>
  </si>
  <si>
    <t xml:space="preserve">Basis of Item 7 reflecting re-use of test water from the first tank to the second</t>
  </si>
  <si>
    <t xml:space="preserve">Not addressed</t>
  </si>
  <si>
    <t xml:space="preserve">Basis of Item 4 reflecting handover of dismantled materials to the Employer</t>
  </si>
  <si>
    <t xml:space="preserve">Quantity take-off for Item 8 from the marked-up schematic forming part of the RFP</t>
  </si>
  <si>
    <t xml:space="preserve">9</t>
  </si>
  <si>
    <t xml:space="preserve">Plant schedule showing type, number, duration and utilisation</t>
  </si>
  <si>
    <t xml:space="preserve">Not submitted; the programme is cost-loaded but carries no plant resources</t>
  </si>
  <si>
    <t xml:space="preserve">Whose labour the direct manpower histogram (221 man-weeks, 28-Aug to 11-Dec-2026) represents: whether the tank supplier's erection crews, priced within Item 6, are included</t>
  </si>
  <si>
    <t xml:space="preserve">Not yet requested</t>
  </si>
  <si>
    <t xml:space="preserve">Quantity take-off for Item 8 from the pipework shop drawings once approved (returned Code C; resubmission 28 to 30-Sep-2026 per the look-ahead)</t>
  </si>
  <si>
    <t xml:space="preserve">Material approval requests for the HDPE main-line pipe, the gate valve DN300 and the motorised butterfly valve DN355 against the RFP General Piping Requirements, and the power and control supply for the motorised valve</t>
  </si>
  <si>
    <t xml:space="preserve">Basis on which a third-party factory acceptance test is being arranged (PQD, ITP, procedure and inspector CV submitted 26 to 28-Sep-2026): whether instructed by the Engineer or the Contractor's own quality plan</t>
  </si>
  <si>
    <t xml:space="preserve">8.  THE CONTRACTOR'S PROGRAMME DOCUMENTS OF 29-SEP-2026 AS EVIDENCE</t>
  </si>
  <si>
    <t xml:space="preserve">The programme is cost-loaded to the proposal value: the Contractor has spread SAR 8,110,296.62 including Overhead and Profit across its activities for progress measurement. That spread is the Contractor's own allocation of the sums claimed; it is evidence of how the Contractor intends to apply for payment against each activity, not evidence of the cost of any activity or of where any part of a lump sum sits. It is recorded here against the claimed and assessed amounts for that reason only.</t>
  </si>
  <si>
    <t xml:space="preserve">Programme section (as named)</t>
  </si>
  <si>
    <t xml:space="preserve">Activities</t>
  </si>
  <si>
    <t xml:space="preserve">Loaded in the programme, incl. 5% OHP (SAR)</t>
  </si>
  <si>
    <t xml:space="preserve">Loaded, net of 5% OHP (SAR)</t>
  </si>
  <si>
    <t xml:space="preserve">Note</t>
  </si>
  <si>
    <t xml:space="preserve">Mobilization (manpower and equipment; welfare facilities; project deliverables and submittals) and Demobilization and Closeout</t>
  </si>
  <si>
    <t xml:space="preserve">QCD18TSEMOB1040 to 1250; QCD18TSEDMOB1020</t>
  </si>
  <si>
    <t xml:space="preserve">Equals Item 1 x 1.05 exactly. Site establishment and welfare are loaded on the 5-day mobilisation activities (22 to 26-Aug-2026), so the Contractor will apply for the whole of Item 1 except SAR 50,000.00 on mobilisation</t>
  </si>
  <si>
    <t xml:space="preserve">Engineering - Shop Drawings</t>
  </si>
  <si>
    <t xml:space="preserve">QCD18TSEENG1240 and 1250</t>
  </si>
  <si>
    <t xml:space="preserve">Equals Item 2 x 1.05 exactly</t>
  </si>
  <si>
    <t xml:space="preserve">3, 4</t>
  </si>
  <si>
    <t xml:space="preserve">Construction - Dismantling of Existing TSE Tank; Survey and Levelling</t>
  </si>
  <si>
    <t xml:space="preserve">QCD18TSECONDSM1020 to 1040; QCD18TSECONSL1050</t>
  </si>
  <si>
    <t xml:space="preserve">Equals Items 3 and 4 x 1.05 exactly</t>
  </si>
  <si>
    <t xml:space="preserve">5 to 8</t>
  </si>
  <si>
    <t xml:space="preserve">Procurement (long-lead and short-lead items), Construction - TSE Tank 01 and 02, Testing and Commissioning, Tie-in Interface</t>
  </si>
  <si>
    <t xml:space="preserve">QCD18TSEPRC1060 to 1210; QCD18TSECONT1 and CONT2 series; QCD18TSECONTCT12050 and CT22030; QCD18TSECONTC2040</t>
  </si>
  <si>
    <t xml:space="preserve">Equals Items 5 to 8 x 1.05 exactly. Item 5 (temporary works) is not loaded on any mobilisation activity: it is spread into the tank erection activities, which is consistent with plant and attendance being consumed by erection, not by the whole site period</t>
  </si>
  <si>
    <t xml:space="preserve">Within Items 5 to 8 above: Construction - Testing and Commissioning (both tanks)</t>
  </si>
  <si>
    <t xml:space="preserve">QCD18TSECONTCT12050 and CT22030</t>
  </si>
  <si>
    <t xml:space="preserve">The Contractor's allocation to testing and commissioning is less than half of its Item 7 claim; the balance of Item 7 is not identifiable within the loading of the erection and tie-in activities. Recorded as the Contractor's own valuation of the testing activity, not as a cost</t>
  </si>
  <si>
    <t xml:space="preserve">Total loaded</t>
  </si>
  <si>
    <t xml:space="preserve">Equals the proposal of SAR 8,110,296.62 including Overhead and Profit</t>
  </si>
  <si>
    <t xml:space="preserve">Cash flow as submitted (workbook 'SAMA-D18 -THS-TSE - Cost S-Curves Cash Flow Manpower Histogram.xlsx', sheet 'Cash Flow - MN'). August carries the purchase order for the tanks (SAR 348,110.34) and the start of manufacturing: value the Contractor expects to draw before anything is installed. The payment stance for these works is no advance, no payment on account and no material on site, with tank works paid on installation and successful testing; the cash flow is recorded, not adopted, and the point is for certification, not for this assessment.</t>
  </si>
  <si>
    <t xml:space="preserve">Month</t>
  </si>
  <si>
    <t xml:space="preserve">Monthly (SAR)</t>
  </si>
  <si>
    <t xml:space="preserve">Cumulative (SAR)</t>
  </si>
  <si>
    <t xml:space="preserve">Jul-2026</t>
  </si>
  <si>
    <t xml:space="preserve">Submittals</t>
  </si>
  <si>
    <t xml:space="preserve">Aug-2026</t>
  </si>
  <si>
    <t xml:space="preserve">Mobilisation, welfare, purchase order and manufacturing</t>
  </si>
  <si>
    <t xml:space="preserve">Sep-2026</t>
  </si>
  <si>
    <t xml:space="preserve">Dismantling, base-panel delivery and Tank 1 base</t>
  </si>
  <si>
    <t xml:space="preserve">Oct-2026</t>
  </si>
  <si>
    <t xml:space="preserve">Deliveries and erection of both tanks</t>
  </si>
  <si>
    <t xml:space="preserve">Nov-2026</t>
  </si>
  <si>
    <t xml:space="preserve">Erection and mechanical works</t>
  </si>
  <si>
    <t xml:space="preserve">Dec-2026</t>
  </si>
  <si>
    <t xml:space="preserve">Tie-in, testing, demobilisation</t>
  </si>
  <si>
    <t xml:space="preserve">Total</t>
  </si>
  <si>
    <t xml:space="preserve">Equals the proposal within one halala of rounding</t>
  </si>
  <si>
    <t xml:space="preserve">Direct manpower histogram as submitted (same workbook, sheet 'MP-HST-WK'): 16 weeks of labour on site, week ending 28-Aug to week ending 11-Dec-2026; 221 man-weeks in total, 136 skilled and 85 helpers; peak 35 in the week ending 30-Oct-2026 when the Tank 1 walls and bracing overlap the Tank 2 base. The workbook does not say whose labour it is. The tank supplier's price under Item 6 includes installation and requires 4 to 6 helpers from the Contractor; if the histogram includes the supplier's erection crews it cannot support the Contractor's Items 1, 5 or 7, and if it is the Contractor's own labour, 136 skilled man-weeks on a job whose erection is subcontracted are unexplained. Until the Contractor answers (Section 7, item 10), the histogram is used only as evidence of the 16-week labour window, which sits inside the works period carried.</t>
  </si>
  <si>
    <t xml:space="preserve">Week ending</t>
  </si>
  <si>
    <t xml:space="preserve">Skilled</t>
  </si>
  <si>
    <t xml:space="preserve">Helper</t>
  </si>
  <si>
    <t xml:space="preserve">28-Aug-2026</t>
  </si>
  <si>
    <t xml:space="preserve">Dismantling</t>
  </si>
  <si>
    <t xml:space="preserve">04-Sep-2026</t>
  </si>
  <si>
    <t xml:space="preserve">11-Sep-2026</t>
  </si>
  <si>
    <t xml:space="preserve">18-Sep-2026</t>
  </si>
  <si>
    <t xml:space="preserve">25-Sep-2026</t>
  </si>
  <si>
    <t xml:space="preserve">02-Oct-2026</t>
  </si>
  <si>
    <t xml:space="preserve">Tank 1 base panels</t>
  </si>
  <si>
    <t xml:space="preserve">09-Oct-2026</t>
  </si>
  <si>
    <t xml:space="preserve">16-Oct-2026</t>
  </si>
  <si>
    <t xml:space="preserve">23-Oct-2026</t>
  </si>
  <si>
    <t xml:space="preserve">30-Oct-2026</t>
  </si>
  <si>
    <t xml:space="preserve">Peak: Tank 1 walls and bracing with Tank 2 base</t>
  </si>
  <si>
    <t xml:space="preserve">06-Nov-2026</t>
  </si>
  <si>
    <t xml:space="preserve">13-Nov-2026</t>
  </si>
  <si>
    <t xml:space="preserve">20-Nov-2026</t>
  </si>
  <si>
    <t xml:space="preserve">27-Nov-2026</t>
  </si>
  <si>
    <t xml:space="preserve">04-Dec-2026</t>
  </si>
  <si>
    <t xml:space="preserve">Mechanical works and tie-in</t>
  </si>
  <si>
    <t xml:space="preserve">11-Dec-2026</t>
  </si>
  <si>
    <t xml:space="preserve">Testing</t>
  </si>
  <si>
    <t xml:space="preserve">Total man-weeks</t>
  </si>
  <si>
    <t xml:space="preserve">Whose labour: to be confirmed by the Contractor</t>
  </si>
  <si>
    <t xml:space="preserve">THE CONTRACTOR'S PROGRAMME - ACTIVITY DATA AND DURATION BASES</t>
  </si>
  <si>
    <t xml:space="preserve">How to read this tab: Section 1 records the status of the programme and of the instruction. Section 2 is the working calendar taken from the programme file. Section 3 sets the programme's windows as submitted beside the basis carried, every date derived by formula from the activity data in Section 7. Section 4 is the resource matrix: for each phase, what material is on site, which activities are active and what they depend on, whose crew does the work, which Contractor helpers, plant and site staff are needed, and where each is priced. Section 5 lists each 'Build-Up' line whose quantity is taken from this tab, with the programme exactly as submitted beside the basis carried; the carried quantity is the one linked into column D of the 'Build-Up' tab. Section 6 links every 'Build-Up' line to its activities or site service. All amounts exclude VAT.</t>
  </si>
  <si>
    <t xml:space="preserve">1. STATUS OF THE PROGRAMME AND OF THE INSTRUCTION</t>
  </si>
  <si>
    <t xml:space="preserve">Programme: baseline schedule 'QC05958-BSL01THF-TSE-Final' (QC05958-BSL01THF-TSE.xer, data date 01-Jul-2026, 81 activities, cost-loaded to the proposal value of SAR 8,110,296.62 including 5 per cent Overhead and Profit), submitted by the Contractor to the Engineer on 12-Sep-2026 and issued to the Cost Consultant on 29-Sep-2026 with a cost S-curve, a monthly cash flow, a weekly direct-manpower histogram and a two-week look-ahead (data date 28-Sep-2026). Status at 30-Sep-2026: under the Engineer's approval process - returned as acceptable with minor comments, a procurement schedule being required; not approved. The programme is therefore evidence of the Contractor's intended sequence and durations, not an agreed basis; every line on the 'Build-Up' tab that relies on it says so.</t>
  </si>
  <si>
    <t xml:space="preserve">Instruction: the Contractor has been instructed to proceed and is on site (the existing tank is dismantled and the Tank 1 base panels are being received). The instruction reference and date have not been supplied to the Cost Consultant and are to be recorded on the 'Project Info' tab when received. RFP-027 dated 28-Jun-2026 stated that it was not itself an instruction to proceed. The instruction affects entitlement and the certification route, not the assessed value.</t>
  </si>
  <si>
    <t xml:space="preserve">Use made of the programme: (i) the site period is taken as submitted, its end being governed by the external milestone 'SAJCO Readiness for Tie-In Connections' on 03-Dec-2026 and the tie-in, sequential testing, commissioning and demobilisation that follow it; (ii) the erection windows and their durations are taken as submitted, and the labour and plant that attend them are assessed for those durations (Section 4); (iii) testing is carried on the Engineer's basis of 30-Aug-2026 (one tank filled, water re-used for the second), fitted to the submitted dates. Slippage against the baseline shown in the look-ahead (Tank 1 base panels forecast to start 30-Sep-2026 against 12-Sep-2026 programmed) is delivery-driven and adds nothing to the assessment. Dates after the look-ahead data date of 28-Sep-2026 are forecasts, not actuals.</t>
  </si>
  <si>
    <t xml:space="preserve">2. WORKING CALENDAR</t>
  </si>
  <si>
    <t xml:space="preserve">Calendar item</t>
  </si>
  <si>
    <t xml:space="preserve">Value</t>
  </si>
  <si>
    <t xml:space="preserve">Source</t>
  </si>
  <si>
    <t xml:space="preserve">C1</t>
  </si>
  <si>
    <t xml:space="preserve">Working week for site activities</t>
  </si>
  <si>
    <t xml:space="preserve">6 days, Friday non-working, 10 hours a day</t>
  </si>
  <si>
    <t xml:space="preserve">Calendar 'QIC 6 Days 10 Hrs' in QC05958-BSL01THF-TSE.xer, applied to every site activity; the approval activities use 'QIC 5 Days 10 Hrs' and the milestones 'QIC 7 Days 10 Hrs'</t>
  </si>
  <si>
    <t xml:space="preserve">C2</t>
  </si>
  <si>
    <t xml:space="preserve">Non-working day within the works period</t>
  </si>
  <si>
    <t xml:space="preserve">Calendar exception in QC05958-BSL01THF-TSE.xer (Saudi National Day). Every working-day formula on this tab excludes Fridays and this date</t>
  </si>
  <si>
    <t xml:space="preserve">C3</t>
  </si>
  <si>
    <t xml:space="preserve">Calendar days per month used to convert periods to months</t>
  </si>
  <si>
    <t xml:space="preserve">Average month (365 days / 12); months are rounded to one decimal place</t>
  </si>
  <si>
    <t xml:space="preserve">3. PROGRAMME WINDOWS - A: AS SUBMITTED; B: AS CARRIED (SUBMITTED ERECTION DATES, SEQUENTIAL TESTING)</t>
  </si>
  <si>
    <t xml:space="preserve">Column A reproduces the submitted programme, including its parallel testing. Column B is the basis carried: the erection dates exactly as submitted - no activity is compressed - with the Engineer's sequential testing fitted after the tank each test needs, and demobilisation following completion. Both columns are derived by formula from the activity data in Section 6 and the calendar in Section 2. The resources that each window carries are assessed in Section 4; the site period is set by the external readiness milestone of 03-Dec-2026 and the tie-in, testing, commissioning and demobilisation that follow it.</t>
  </si>
  <si>
    <t xml:space="preserve">Window</t>
  </si>
  <si>
    <t xml:space="preserve">Start - Basis A</t>
  </si>
  <si>
    <t xml:space="preserve">Finish - Basis A</t>
  </si>
  <si>
    <t xml:space="preserve">Days - A</t>
  </si>
  <si>
    <t xml:space="preserve">Start - Basis B</t>
  </si>
  <si>
    <t xml:space="preserve">Finish - Basis B</t>
  </si>
  <si>
    <t xml:space="preserve">Days - B</t>
  </si>
  <si>
    <t xml:space="preserve">Derivation and source</t>
  </si>
  <si>
    <t xml:space="preserve">P1</t>
  </si>
  <si>
    <t xml:space="preserve">Mobilisation and site establishment (calendar days)</t>
  </si>
  <si>
    <t xml:space="preserve">Activities QCD18TSEMOB1240 and QCD18TSEMOB1250, 22 to 26-Aug-2026, QC05958-BSL01THF-TSE.xer. Mobilisation has taken place (the existing tank is dismantled)</t>
  </si>
  <si>
    <t xml:space="preserve">P2</t>
  </si>
  <si>
    <t xml:space="preserve">Dismantling of the existing damaged Tank-1 (calendar days)</t>
  </si>
  <si>
    <t xml:space="preserve">Activities QCD18TSECONDSM1020 to 1030, 27-Aug to 12-Sep-2026, QC05958-BSL01THF-TSE.xer. Complete per the look-ahead of 29-Sep-2026 (data date 28-Sep-2026); the completion date is not recorded, so the programmed dates are kept. Dismantling, segregation and loading are within the Item 3 quotation</t>
  </si>
  <si>
    <t xml:space="preserve">P3</t>
  </si>
  <si>
    <t xml:space="preserve">Tank 1 - base panels (working days)</t>
  </si>
  <si>
    <t xml:space="preserve">Activity QCD18TSECONT1INS1020, 12-Sep to 05-Oct-2026, 20 working days, linked to the partial delivery QCD18TSEPRC1120 (08-Sep to 03-Oct-2026, start 3 days after, finish 2 days after). Taken as submitted. The identical work on Tank 2 (QCD18TSECONT2INS1020) is programmed at 6 working days - a productivity cross-check only (Section 4, S5). The look-ahead forecasts the start as 30-Sep-2026, delivery-driven, the Contractor's risk</t>
  </si>
  <si>
    <t xml:space="preserve">P4</t>
  </si>
  <si>
    <t xml:space="preserve">Tank 1 - wall panels (working days)</t>
  </si>
  <si>
    <t xml:space="preserve">Activity QCD18TSECONT1INS1030, 06 to 24-Oct-2026, 16 working days, linked to the wall-panel delivery QCD18TSEPRC1170 (start 2 days after, finish 4 days after). Taken as submitted; Tank 2 walls (QCD18TSECONT2INS1030) 12 working days, cross-check only</t>
  </si>
  <si>
    <t xml:space="preserve">P5</t>
  </si>
  <si>
    <t xml:space="preserve">Tank 1 - bracing (working days)</t>
  </si>
  <si>
    <t xml:space="preserve">Activity QCD18TSECONT1INS1060, 08 to 29-Oct-2026, 19 working days, starting 2 days after the walls and finishing 5 days after them. Taken as submitted; Tank 2 bracing 15 working days, cross-check only</t>
  </si>
  <si>
    <t xml:space="preserve">P6</t>
  </si>
  <si>
    <t xml:space="preserve">Tank 1 - roof supports and ladder (working days)</t>
  </si>
  <si>
    <t xml:space="preserve">Activity QCD18TSECONT1INS1040, 31-Oct to 04-Nov-2026, 5 working days, the same as Tank 2</t>
  </si>
  <si>
    <t xml:space="preserve">P7</t>
  </si>
  <si>
    <t xml:space="preserve">Tank 1 - roof panels (working days)</t>
  </si>
  <si>
    <t xml:space="preserve">Activity QCD18TSECONT1INS1050, 05 to 11-Nov-2026, 6 working days, the same as Tank 2</t>
  </si>
  <si>
    <t xml:space="preserve">P8</t>
  </si>
  <si>
    <t xml:space="preserve">Tank 1 - mechanical works: nozzles, level transmitter, pipes and fittings (working days)</t>
  </si>
  <si>
    <t xml:space="preserve">Activities QCD18TSECONT1MW2050, 2060 and 2055, 09 to 16-Nov-2026. Nozzles and internals are within the supplier's scope (Item 6); the level transmitter and the pipes and fittings are priced supplied and installed under Item 8</t>
  </si>
  <si>
    <t xml:space="preserve">P9</t>
  </si>
  <si>
    <t xml:space="preserve">Tank 2 - base panels (working days)</t>
  </si>
  <si>
    <t xml:space="preserve">Activity QCD18TSECONT2INS1020, 22 to 28-Oct-2026, 6 working days, starting 2 working days after the Tank 2 delivery begins (QCD18TSEPRC1210, 20-Oct-2026); from here the two tanks are erected on two fronts at once until 17-Nov-2026</t>
  </si>
  <si>
    <t xml:space="preserve">P10</t>
  </si>
  <si>
    <t xml:space="preserve">Tank 2 - wall panels (working days)</t>
  </si>
  <si>
    <t xml:space="preserve">Activity QCD18TSECONT2INS1030, 29-Oct to 11-Nov-2026, 12 working days</t>
  </si>
  <si>
    <t xml:space="preserve">P11</t>
  </si>
  <si>
    <t xml:space="preserve">Tank 2 - bracing (working days)</t>
  </si>
  <si>
    <t xml:space="preserve">Activity QCD18TSECONT2INS1060, 01 to 17-Nov-2026, 15 working days</t>
  </si>
  <si>
    <t xml:space="preserve">P12</t>
  </si>
  <si>
    <t xml:space="preserve">Tank 2 - roof supports and ladder (working days)</t>
  </si>
  <si>
    <t xml:space="preserve">Activity QCD18TSECONT2INS1040, 18 to 23-Nov-2026, 5 working days</t>
  </si>
  <si>
    <t xml:space="preserve">P13</t>
  </si>
  <si>
    <t xml:space="preserve">Tank 2 - roof panels (working days)</t>
  </si>
  <si>
    <t xml:space="preserve">Activity QCD18TSECONT2INS1050, 24 to 30-Nov-2026, 6 working days</t>
  </si>
  <si>
    <t xml:space="preserve">P14</t>
  </si>
  <si>
    <t xml:space="preserve">Tank 2 - mechanical works: nozzles, level transmitter, pipes and fittings (working days)</t>
  </si>
  <si>
    <t xml:space="preserve">Activities QCD18TSECONT2MW2030, 2040 and 2020, 28-Nov to 03-Dec-2026</t>
  </si>
  <si>
    <t xml:space="preserve">P15</t>
  </si>
  <si>
    <t xml:space="preserve">Milestone - SAJCO readiness for the tie-in connections (external)</t>
  </si>
  <si>
    <t xml:space="preserve">-</t>
  </si>
  <si>
    <t xml:space="preserve">Activity QCD18TSECONIF2050, 03-Dec-2026, zero duration. An interface milestone outside the Contractor's control, taken as submitted on both bases; it, not the tank erection, fixes the earliest tie-in date</t>
  </si>
  <si>
    <t xml:space="preserve">P16</t>
  </si>
  <si>
    <t xml:space="preserve">Tie-in connections with the existing pump room (working days)</t>
  </si>
  <si>
    <t xml:space="preserve">Activity QCD18TSECONTC2040, 05 to 08-Dec-2026, 4 working days, following the readiness milestone</t>
  </si>
  <si>
    <t xml:space="preserve">P17</t>
  </si>
  <si>
    <t xml:space="preserve">Testing and commissioning as programmed - both tanks in parallel (working days)</t>
  </si>
  <si>
    <t xml:space="preserve">Basis A only: activities QCD18TSECONTCT12050 and QCD18TSECONTCT22030, 09 to 16-Dec-2026, 7 working days each, in parallel, with two simultaneous fills. Not carried: the Engineer's (KEO) email of 30-Aug-2026 states that installation and testing will not be in parallel and that one tank is filled and the water re-used for the second. The sequential, task-based sequence carried is at P18 to P22</t>
  </si>
  <si>
    <t xml:space="preserve">P18</t>
  </si>
  <si>
    <t xml:space="preserve">Hydrostatic test - Tank 1, before the tie-in (working days)</t>
  </si>
  <si>
    <t xml:space="preserve">Carried basis: starts the working day after the Tank 1 mechanical works (submitted date) and takes the 7 working days the Contractor programmed per tank. Elapsed sequence assumed within those 7 days: tankered filling about 5 working days, the 24-hour hold (unattended apart from level readings), inspection of joints and nozzles and records 1 day. The fill rate is an assumption, not a measured throughput: 3,774 m3 in 5 days needs about 750 m3 a day, for example two 30 m3 tankers on about 12 round trips each, which depends on the water source the Employer has yet to confirm; if the source is further away the elapsed time lengthens but the attendance does not. Attendance: the QA/QC inspector (1.3, monthly) and the commissioning engineer for one day at the end of the hold (7.13); the supplier's leak-test supervision is within Item 6. It sits inside the 15 working days of float the programme gives Tank 1 (17 to 24-Nov-2026). Conditional on an Engineer-approved method: internals flushed and nozzles blind-flanged (RFP Scope of Works work packages 4 and 5), the water retained in Tank 1 until Tank 2 is ready, losses at 'Build-Up' line 7.5</t>
  </si>
  <si>
    <t xml:space="preserve">P19</t>
  </si>
  <si>
    <t xml:space="preserve">Transfer of the test water from Tank 1 to Tank 2 (working days)</t>
  </si>
  <si>
    <t xml:space="preserve">Starts the working day after both the Tank 1 test has passed (P18) and Tank 2 is ready to receive water (mechanical works complete, P14, interior flushed). Pumped tank to tank through temporary hoses with the outlet valves isolated; the tie-in is not needed for the transfer. 3 working days is an assessed assumption pending the Contractor's method statement: 3,774 m3 at about 130 m3 an hour over 10-hour shifts, a 150 mm self-priming diesel pump against a low head (adjacent tanks at one level, about 4 m static plus hose friction) - 'Build-Up' lines 7.2 to 7.4</t>
  </si>
  <si>
    <t xml:space="preserve">P20</t>
  </si>
  <si>
    <t xml:space="preserve">Hydrostatic test - Tank 2, after the transfer (working days)</t>
  </si>
  <si>
    <t xml:space="preserve">Elapsed: the Tank 2 test sequence is 7 working days from the start of the transfer, the same as the programme's per-tank figure - 3 days of transfer (P19, attended by the transfer labour at 7.4), then 4 days here: top-up to test level (1), the 24-hour hold (1, unattended apart from level readings), inspection of joints and nozzles and records (2). Attendance as for P18. Assessed assumption</t>
  </si>
  <si>
    <t xml:space="preserve">P21</t>
  </si>
  <si>
    <t xml:space="preserve">Component and subsystem checks after the tie-in - instruments, nozzles, valves, ladders; tank-pump-network interfaces (working days)</t>
  </si>
  <si>
    <t xml:space="preserve">RFP Scope of Works 5.2, component testing and subsystem validation. Follows the tie-in and may overlap the Tank 2 hydrostatic test, because these checks do not need both tanks in service. 3 working days is an assessed assumption, not a programme figure: the Contractor's programme has no separate activity for this stage (its two 7-working-day 'Testing &amp; Commissioning' activities cover the hydrostatic test and the commissioning of each tank together). Staffing at 'Build-Up' lines 7.13 to 7.18</t>
  </si>
  <si>
    <t xml:space="preserve">P21b</t>
  </si>
  <si>
    <t xml:space="preserve">Integrated system commissioning - full operational demonstration and witness testing (working days)</t>
  </si>
  <si>
    <t xml:space="preserve">RFP Scope of Works 5.2, integrated system commissioning. Starts the working day after the last of the tie-in (P16), the Tank 2 hydrostatic test (P20) and the component checks (P21): both tanks must have passed and be connected before full operation is demonstrated. 3 working days (pump interface run, network demonstration, witnessed test and records) is an assessed assumption on the same footing as P21</t>
  </si>
  <si>
    <t xml:space="preserve">P22</t>
  </si>
  <si>
    <t xml:space="preserve">Completion of testing and commissioning - both tanks</t>
  </si>
  <si>
    <t xml:space="preserve">A: completion milestones QCD18TSEOMS1040 and 1050, 16-Dec-2026, with parallel testing. B: end of the integrated system commissioning, conditional on the Tank 1 test preceding the tie-in (P18); if it cannot, see sensitivity S2</t>
  </si>
  <si>
    <t xml:space="preserve">P23</t>
  </si>
  <si>
    <t xml:space="preserve">Demobilisation, as-built drawings and close-out documents (working days)</t>
  </si>
  <si>
    <t xml:space="preserve">Activities QCD18TSEDMOB1020 and QCD18TSEDMOB3020, 17 to 24-Dec-2026, 7 working days in parallel. B follows the completion of testing (P22)</t>
  </si>
  <si>
    <t xml:space="preserve">Derived periods used in Sections 4 and 5</t>
  </si>
  <si>
    <t xml:space="preserve">D1</t>
  </si>
  <si>
    <t xml:space="preserve">Site period - mobilisation start to demobilisation finish (calendar days)</t>
  </si>
  <si>
    <t xml:space="preserve">The continuous site establishment runs for this period: welfare cabins, WC, water tank and deliveries, the 30 kVA welfare generator, the site pick-up, workforce transport and the watchman, and the site staff whose duties cover the demobilisation week (Section 4, roles). A: the programme as submitted, 22-Aug to 24-Dec-2026. B: the same erection dates with the sequential testing carried, conditional on the early Tank 1 test (P18). The site engineer's 3 close-out days at 'Build-Up' line 1.22 fall after this period and are intentionally off-site visits, not a second allowance</t>
  </si>
  <si>
    <t xml:space="preserve">D2</t>
  </si>
  <si>
    <t xml:space="preserve">Works period - mobilisation start to completion of testing and commissioning (calendar days)</t>
  </si>
  <si>
    <t xml:space="preserve">The daytime 100 kVA works generator runs for this period; no works power is needed during demobilisation, when the welfare generator alone continues</t>
  </si>
  <si>
    <t xml:space="preserve">D3</t>
  </si>
  <si>
    <t xml:space="preserve">Erection window - Tank 1 base panels start to Tank 2 mechanical finish (calendar days)</t>
  </si>
  <si>
    <t xml:space="preserve">Power tools and lighting towers are hired by the month while erection is in progress, 12-Sep to 03-Dec-2026 as submitted; the same on both bases</t>
  </si>
  <si>
    <t xml:space="preserve">D6</t>
  </si>
  <si>
    <t xml:space="preserve">Access equipment window - Tank 1 walls start to Tank 2 roof finish (calendar days)</t>
  </si>
  <si>
    <t xml:space="preserve">Mobile access towers and podium steps are hired by the month for the period the walls, bracing and roofs are worked on; rounded up to whole months at 'Build-Up' lines 5.4 and 5.6</t>
  </si>
  <si>
    <t xml:space="preserve">D7</t>
  </si>
  <si>
    <t xml:space="preserve">Storage containers window - first panels on site to last roof panel installed (calendar days)</t>
  </si>
  <si>
    <t xml:space="preserve">First delivery 08-Sep-2026 to the Tank 2 roof finish 30-Nov-2026. Panels have to be stored from the first delivery whatever the erection pace; storage is priced by the container-month, so the delivery staging adds no separate cost here</t>
  </si>
  <si>
    <t xml:space="preserve">Sensitivity - not carried; same durations and dependencies as P18 to P23</t>
  </si>
  <si>
    <t xml:space="preserve">S2</t>
  </si>
  <si>
    <t xml:space="preserve">Carried basis if the Tank 1 test cannot precede the tie-in - Tank 1 test after the tie-in, transfer, Tank 2 test, integrated commissioning, demobilisation (calendar days from mobilisation)</t>
  </si>
  <si>
    <t xml:space="preserve">Tank 1 test 09 to 16-Dec-2026; transfer 17 to 20-Dec; Tank 2 test 21 to 24-Dec; component checks 09 to 12-Dec in parallel; integrated commissioning 26 to 28-Dec-2026; demobilisation 29-Dec-2026 to 05-Jan-2027 (Fridays excluded). The additional site days against D1 are shown at S3</t>
  </si>
  <si>
    <t xml:space="preserve">S3</t>
  </si>
  <si>
    <t xml:space="preserve">S2 - complete incremental amount, excluding Overhead and Profit (first column: additional site days; third column: SAR)</t>
  </si>
  <si>
    <t xml:space="preserve">Every Section 5 line re-evaluated with the S2 dates by its own formula and rounding: the site-period lines and site staff ('Build-Up' 1.1 to 1.8, 1.10, 1.12, 1.13, 5.8 and 5.9) at the S2 days in months; welfare-water deliveries (1.9) at two per rounded-up week; the works generator (5.7) to the S2 end of commissioning. The erection-window, plant, helper, access, container and Item 7 lines do not move because only the testing tail moves. Not carried: it applies only if the Engineer does not accept the early Tank 1 test</t>
  </si>
  <si>
    <t xml:space="preserve">S4</t>
  </si>
  <si>
    <t xml:space="preserve">S2 - Overhead and Profit at 5 per cent on S3 (first column) and incremental amount including it (third column), SAR</t>
  </si>
  <si>
    <t xml:space="preserve">Applied once at the rate on the 'Assessment' tab. Nothing in S2 to S4 is carried into the assessment</t>
  </si>
  <si>
    <t xml:space="preserve">4. RESOURCE MATRIX - LABOUR, PLANT AND SITE STAFF BY PHASE, RECONCILED TO THE 'BUILD-UP' TAB</t>
  </si>
  <si>
    <t xml:space="preserve">Supplier scope - recorded basis, not yet verified from the offer itself. The Contractor's Item 6 reads 'Supply and install'. The previous revision records the adopted Al Mousa quotation S04488 with the Stalwart offer SS-07-26-1516 as including erection, with the Contractor providing offloading and hoisting, scaffold, storage and handling, power and 4 to 6 non-skilled labourers. The offer is not attached to this revision, so that scope is carried provisionally on the recorded basis and is to be confirmed against the original offer; on it, GRP erectors are within Item 6 and are not priced here. The histogram names no employer or trade, so its skilled row is not treated as evidence either way ('Build-Up Comparison' tab, Section 7, item 10).</t>
  </si>
  <si>
    <t xml:space="preserve">Fronts and gangs. Only Tank 1 material is planned on site until the Tank 2 kit is expected (20 to 21-Oct-2026 per the tracker, 20-Oct to 04-Nov-2026 programmed - forecast dates): one erection front, one helper gang. From 22-Oct-2026 the programme runs two fronts until the Tank 1 nozzles finish on 14-Nov-2026; a second gang is carried only for that interval. Walls and bracing are one front (bracing starts 2 working days after the walls and finishes 5 after them, tier by tier), so one gang serves both. Deliveries that fall on erection days are offloaded by the gang on site for part of its shift; only deliveries before a front has opened carry extra people.</t>
  </si>
  <si>
    <t xml:space="preserve">Attendance basis. Helper-days are carried for the submitted durations of each activity: the gang attends the supplier's crew for as long as the crew is there. Crew production and redeployment are not evidenced, so no idle time is deducted; the Contractor's own shorter Tank 2 durations for the same work are shown as a conditional efficiency sensitivity (S5), not as a deduction. Conversions: helpers to man-months at 26 working days; plant by the working day on site; monthly hire at 30.4 calendar days, rounded to one decimal or up to whole months where hire is monthly. Nothing priced in Items 3, 7, 8 or at line 1.16 is repeated here.</t>
  </si>
  <si>
    <t xml:space="preserve">Phase, activities and window as submitted</t>
  </si>
  <si>
    <t xml:space="preserve">Working days - submitted</t>
  </si>
  <si>
    <t xml:space="preserve">Working days - Tank 2 pace (cross-check)</t>
  </si>
  <si>
    <t xml:space="preserve">Helpers (No.)</t>
  </si>
  <si>
    <t xml:space="preserve">Helper-days carried</t>
  </si>
  <si>
    <t xml:space="preserve">Helper-days above Tank 2 pace - sensitivity only</t>
  </si>
  <si>
    <t xml:space="preserve">Boom truck days</t>
  </si>
  <si>
    <t xml:space="preserve">Telehandler days</t>
  </si>
  <si>
    <t xml:space="preserve">Crew, predecessors, basis; priced item</t>
  </si>
  <si>
    <t xml:space="preserve">M1</t>
  </si>
  <si>
    <t xml:space="preserve">Mobilisation and site establishment, 22 to 26-Aug-2026 (P1)</t>
  </si>
  <si>
    <t xml:space="preserve">2 helpers setting out cabins, storage and barriers - assessed; trips at 1.14. Priced at 5.10</t>
  </si>
  <si>
    <t xml:space="preserve">M2</t>
  </si>
  <si>
    <t xml:space="preserve">Dismantling of the existing tank, 27-Aug to 12-Sep-2026 (P2) - Contractor attendance</t>
  </si>
  <si>
    <t xml:space="preserve">Dismantling, segregation, loading and the crane are within the Item 3 quotation (recorded scope, offer not attached). 2 helpers for the Contractor's own duties: exclusion zone and barriers, decontamination wash-down support, housekeeping of the segregation area - assessed, provisional. Priced at 5.10</t>
  </si>
  <si>
    <t xml:space="preserve">M3</t>
  </si>
  <si>
    <t xml:space="preserve">Offloading of deliveries before a front has opened - first Tank 1 base batch (08-Sep programmed), Tank 2 kit (20 to 21-Oct forecast)</t>
  </si>
  <si>
    <t xml:space="preserve">Extra people only on these 3 days; every other delivery day (18 assumed in all: 4 + 4 + 8 + 2) is offloaded by the gang already on site for part of its shift. Truck-arrival days are an assumption pending the delivery schedule. Boom truck and telehandler on all delivery days are in the plant rows. Priced at 5.10</t>
  </si>
  <si>
    <t xml:space="preserve">M4</t>
  </si>
  <si>
    <t xml:space="preserve">SINGLE FRONT - Tank 1 base panels, 12-Sep to 05-Oct-2026 (P3); after the base-panel delivery starts (+3 days), dismantling and survey</t>
  </si>
  <si>
    <t xml:space="preserve">Supplier's crew erects (Item 6, recorded). One gang of 5 helpers - midpoint of the supplier's 4 to 6, assumed per front - attends for the submitted 20 days, which the programme paces to the batched delivery (finish 2 days after it). Tank 2 does the same work in 6 days; the difference is the S5 sensitivity. Telehandler daily; no lifting plant. Priced at 5.10, 5.2</t>
  </si>
  <si>
    <t xml:space="preserve">M5</t>
  </si>
  <si>
    <t xml:space="preserve">SINGLE FRONT - Tank 1 wall panels and bracing, 06 to 29-Oct-2026 (P4, P5 - one front); after the base and the wall-panel delivery (+2 days)</t>
  </si>
  <si>
    <t xml:space="preserve">One gang of 5 serves walls and bracing together for the submitted 21 days (Tank 2: 17 days - S5). Telehandler on wall days (16); boom truck alternate days for upper tiers and bracing members - assessed. Priced at 5.10, 5.1, 5.2</t>
  </si>
  <si>
    <t xml:space="preserve">M6</t>
  </si>
  <si>
    <t xml:space="preserve">Tank 1 roof supports and ladder, 31-Oct to 04-Nov-2026 (P6); after the bracing</t>
  </si>
  <si>
    <t xml:space="preserve">TWO FRONTS from 22-Oct: Tank 1 gang down to 3 (little panel handling) while the second gang is on Tank 2 (M9, M10). Priced at 5.10, 5.1, 5.2</t>
  </si>
  <si>
    <t xml:space="preserve">M7</t>
  </si>
  <si>
    <t xml:space="preserve">Tank 1 roof panels, 05 to 11-Nov-2026 (P7); after the roof supports</t>
  </si>
  <si>
    <t xml:space="preserve">Tank 1 gang back to 5; boom truck and telehandler daily, concurrent with the Tank 2 walls - see the plant concurrency row. Priced at 5.10, 5.1, 5.2</t>
  </si>
  <si>
    <t xml:space="preserve">M8</t>
  </si>
  <si>
    <t xml:space="preserve">Tank 1 nozzles and internals, 09 to 14-Nov-2026 (within P8); roof panels finish 2 days before</t>
  </si>
  <si>
    <t xml:space="preserve">2 helpers with the supplier's fitters. The level transmitter and pipework in P8 are Item 8 supplied-and-installed lines. Priced at 5.10</t>
  </si>
  <si>
    <t xml:space="preserve">M9</t>
  </si>
  <si>
    <t xml:space="preserve">TWO FRONTS - Tank 2 base panels, 22 to 28-Oct-2026 (P9); 2 days after the Tank 2 kit delivery starts (forecast)</t>
  </si>
  <si>
    <t xml:space="preserve">Second gang of 5: the Tank 1 gang is still on the Tank 1 walls and bracing to 29-Oct; a shared gang would hold Tank 2 until 30-Oct and push its mechanical completion past the 03-Dec-2026 readiness date. Priced at 5.10, 5.2</t>
  </si>
  <si>
    <t xml:space="preserve">M10</t>
  </si>
  <si>
    <t xml:space="preserve">Tank 2 wall panels and bracing, 29-Oct to 17-Nov-2026 (P10, P11 - one front)</t>
  </si>
  <si>
    <t xml:space="preserve">As M5, second gang. Priced at 5.10, 5.1, 5.2</t>
  </si>
  <si>
    <t xml:space="preserve">M11</t>
  </si>
  <si>
    <t xml:space="preserve">Tank 2 roof supports and ladder, 18 to 23-Nov-2026 (P12) - single front again from 15-Nov</t>
  </si>
  <si>
    <t xml:space="preserve">As M6; one gang remains. Priced at 5.10, 5.1, 5.2</t>
  </si>
  <si>
    <t xml:space="preserve">M12</t>
  </si>
  <si>
    <t xml:space="preserve">Tank 2 roof panels, 24 to 30-Nov-2026 (P13)</t>
  </si>
  <si>
    <t xml:space="preserve">As M7. Priced at 5.10, 5.1, 5.2</t>
  </si>
  <si>
    <t xml:space="preserve">M13</t>
  </si>
  <si>
    <t xml:space="preserve">Tank 2 nozzles and internals, 28-Nov to 02-Dec-2026 (within P14)</t>
  </si>
  <si>
    <t xml:space="preserve">As M8. Priced at 5.10</t>
  </si>
  <si>
    <t xml:space="preserve">M14</t>
  </si>
  <si>
    <t xml:space="preserve">Tie-in, hydrostatic tests, transfer and commissioning, 17-Nov to 15-Dec-2026 (P16, P18 to P21b)</t>
  </si>
  <si>
    <t xml:space="preserve">No helpers here: transfer labour 7.4, disinfection labour 7.8, commissioning staff 7.13 to 7.17, pipework testing crew 8.18, tie-in 8.14 and 8.15; tankers, pump and hoses 7.1 to 7.3 and 7.22</t>
  </si>
  <si>
    <t xml:space="preserve">M15</t>
  </si>
  <si>
    <t xml:space="preserve">Demobilisation and site clean-up, 16 to 23-Dec-2026 (P23)</t>
  </si>
  <si>
    <t xml:space="preserve">Site clean-up 4 No. x 3 days is line 1.16; trips 1.15</t>
  </si>
  <si>
    <t xml:space="preserve">Helper-days carried - 'Build-Up' line 5.10 (submitted durations, unique people, no double allocation)</t>
  </si>
  <si>
    <t xml:space="preserve">M1 to M13. Peak on any day: 10 (two gangs of 5, 22 to 29-Oct-2026); a gang offloading on an erection day is the same people</t>
  </si>
  <si>
    <t xml:space="preserve">Helper-days above the Tank 2 pace on the Tank 1 base, walls and bracing - efficiency sensitivity only, not deducted</t>
  </si>
  <si>
    <t xml:space="preserve">M4 and M5. Would apply only if the Tank 1 gang could have been released on the Contractor's Tank 2 durations; crew production and redeployment are not evidenced. Value at S5 in Section 5</t>
  </si>
  <si>
    <t xml:space="preserve">Helper man-months at 26 working days - 'Build-Up' line 5.10 quantity</t>
  </si>
  <si>
    <t xml:space="preserve">Conversion for the man-month rate (6-day week)</t>
  </si>
  <si>
    <t xml:space="preserve">Histogram as submitted: helpers 85 man-weeks (510 man-days), skilled 136 man-weeks, peak 35 in the week ending 30-Oct-2026</t>
  </si>
  <si>
    <t xml:space="preserve">The Contractor's own helper row, for comparison only; not used to set any figure above. Employers and trades are not identified</t>
  </si>
  <si>
    <t xml:space="preserve">Plant-days summed by activity, M4 to M12, plus 18 delivery days for each unit</t>
  </si>
  <si>
    <t xml:space="preserve">Before allowing for one unit serving two concurrent activities; delivery days assumed 18</t>
  </si>
  <si>
    <t xml:space="preserve">Less days on which one unit serves two concurrent activities</t>
  </si>
  <si>
    <t xml:space="preserve">Counted on dated activity-days (submitted windows, boom truck on alternate wall and bracing days, delivery days spread through their windows): the hire days below are the number of distinct days on which either unit is needed. One unit of each is a provisional utilisation assumption - panel and pallet data, lift weights and cycle times are in no document received. Concurrent demand 29-Oct to 11-Nov-2026 (Tank 1 roof with Tank 2 walls); a second telehandler for those days is S6</t>
  </si>
  <si>
    <t xml:space="preserve">Plant hire days assessed - carried to 'Build-Up' lines 5.1 (boom truck) and 5.2 (telehandler)</t>
  </si>
  <si>
    <t xml:space="preserve">Day-rate hire on working days on site; idle days between staged deliveries are not paid</t>
  </si>
  <si>
    <t xml:space="preserve">Week ending (histogram weeks) - activities in the assessed allocation</t>
  </si>
  <si>
    <t xml:space="preserve">Histogram helpers (No.)</t>
  </si>
  <si>
    <t xml:space="preserve">Histogram helper-days</t>
  </si>
  <si>
    <t xml:space="preserve">Assessed helper-days</t>
  </si>
  <si>
    <t xml:space="preserve">Assessed helpers a day</t>
  </si>
  <si>
    <t xml:space="preserve">W1</t>
  </si>
  <si>
    <t xml:space="preserve">28-Aug-2026 - Mobilisation; dismantling</t>
  </si>
  <si>
    <t xml:space="preserve">W2</t>
  </si>
  <si>
    <t xml:space="preserve">04-Sep-2026 - Dismantling (Item 3 crew); attendance</t>
  </si>
  <si>
    <t xml:space="preserve">W3</t>
  </si>
  <si>
    <t xml:space="preserve">11-Sep-2026 - Dismantling; survey; first base-panel batch</t>
  </si>
  <si>
    <t xml:space="preserve">W4</t>
  </si>
  <si>
    <t xml:space="preserve">18-Sep-2026 - Single front: Tank 1 base panels (programmed)</t>
  </si>
  <si>
    <t xml:space="preserve">W5</t>
  </si>
  <si>
    <t xml:space="preserve">25-Sep-2026 - Single front: Tank 1 base (first batch received 28-Sep)</t>
  </si>
  <si>
    <t xml:space="preserve">W6</t>
  </si>
  <si>
    <t xml:space="preserve">02-Oct-2026 - Single front: Tank 1 base</t>
  </si>
  <si>
    <t xml:space="preserve">W7</t>
  </si>
  <si>
    <t xml:space="preserve">09-Oct-2026 - Single front: Tank 1 walls and bracing; wall-panel batches</t>
  </si>
  <si>
    <t xml:space="preserve">W8</t>
  </si>
  <si>
    <t xml:space="preserve">16-Oct-2026 - Single front: Tank 1 walls and bracing</t>
  </si>
  <si>
    <t xml:space="preserve">W9</t>
  </si>
  <si>
    <t xml:space="preserve">23-Oct-2026 - Tank 2 kit expected 20-Oct; second front opens 22-Oct</t>
  </si>
  <si>
    <t xml:space="preserve">W10</t>
  </si>
  <si>
    <t xml:space="preserve">30-Oct-2026 - Two fronts: Tank 1 bracing and roof supports; Tank 2 base and walls</t>
  </si>
  <si>
    <t xml:space="preserve">W11</t>
  </si>
  <si>
    <t xml:space="preserve">06-Nov-2026 - Two fronts: Tank 1 roof; Tank 2 walls and bracing</t>
  </si>
  <si>
    <t xml:space="preserve">W12</t>
  </si>
  <si>
    <t xml:space="preserve">13-Nov-2026 - Two fronts: Tank 1 roof and nozzles; Tank 2 bracing; pipe delivery</t>
  </si>
  <si>
    <t xml:space="preserve">W13</t>
  </si>
  <si>
    <t xml:space="preserve">20-Nov-2026 - Single front: Tank 2 roof supports</t>
  </si>
  <si>
    <t xml:space="preserve">W14</t>
  </si>
  <si>
    <t xml:space="preserve">27-Nov-2026 - Single front: Tank 2 roof panels; Tank 1 test</t>
  </si>
  <si>
    <t xml:space="preserve">W15</t>
  </si>
  <si>
    <t xml:space="preserve">04-Dec-2026 - Tank 2 nozzles; readiness milestone</t>
  </si>
  <si>
    <t xml:space="preserve">W16</t>
  </si>
  <si>
    <t xml:space="preserve">11-Dec-2026 - Tie-in; transfer; Tank 2 test</t>
  </si>
  <si>
    <t xml:space="preserve">Totals - histogram helper row against the assessed allocation</t>
  </si>
  <si>
    <t xml:space="preserve">The assessed column places the M1 to M13 helper-days on their submitted dates and sums them by histogram week; its total equals the helper-days carried above. The Contractor's row is lower than 5 in the single-front weeks and higher in the dismantling weeks; neither difference is used to adjust the assessment</t>
  </si>
  <si>
    <t xml:space="preserve">Site staff role and phase duties</t>
  </si>
  <si>
    <t xml:space="preserve">From</t>
  </si>
  <si>
    <t xml:space="preserve">To</t>
  </si>
  <si>
    <t xml:space="preserve">Calendar days</t>
  </si>
  <si>
    <t xml:space="preserve">Months</t>
  </si>
  <si>
    <t xml:space="preserve">Coverage and source; priced item</t>
  </si>
  <si>
    <t xml:space="preserve">R1</t>
  </si>
  <si>
    <t xml:space="preserve">Site engineer - by phase: mobilisation and permits (Aug); dismantling supervision and handover records (Sep); deliveries, inspection requests and two erection fronts (Sep to Nov); tie-in, tests and commissioning coordination (Nov to Dec); demobilisation and close-out (Dec)</t>
  </si>
  <si>
    <t xml:space="preserve">Dedicated for the site period D1: every phase has a duty that needs a responsible engineer present on a site outside the D-18 boundary, and no phase is quiet enough to share the role. Priced at 1.1</t>
  </si>
  <si>
    <t xml:space="preserve">R2</t>
  </si>
  <si>
    <t xml:space="preserve">HSE officer - by phase: lifting and demolition controls (dismantling); working at height, lifting and two fronts (erection); confined-space entry and water handling (tests); lifting and traffic (demobilisation)</t>
  </si>
  <si>
    <t xml:space="preserve">Dedicated for the site period D1: each phase carries a high-risk activity under the project HSE plan (RFP Scope of Works section 4, item 7), and the quietest phase, testing and commissioning, still has confined-space work. Priced at 1.2</t>
  </si>
  <si>
    <t xml:space="preserve">R3</t>
  </si>
  <si>
    <t xml:space="preserve">QA/QC inspector - material inspection requests, erection inspections and bolt-torque verification, hydrostatic test witnessing and records</t>
  </si>
  <si>
    <t xml:space="preserve">From the start of dismantling to completion of testing and commissioning; not needed during mobilisation or demobilisation. Priced at 1.3</t>
  </si>
  <si>
    <t xml:space="preserve">R4</t>
  </si>
  <si>
    <t xml:space="preserve">Works foreman - the Contractor's own labour: helpers, deliveries, scaffold and access, temporary works, pipework crew, demobilisation</t>
  </si>
  <si>
    <t xml:space="preserve">Full-time for the site period D1: Contractor labour is on site from mobilisation to demobilisation. Priced at 1.4</t>
  </si>
  <si>
    <t xml:space="preserve">R5</t>
  </si>
  <si>
    <t xml:space="preserve">Storekeeper / timekeeper - receipt of panels, accessories and pipework, storage and issue to the erection fronts, attendance records</t>
  </si>
  <si>
    <t xml:space="preserve">From the first delivery (08-Sep-2026) to completion of testing; not needed before deliveries or during demobilisation. Priced at 1.5</t>
  </si>
  <si>
    <t xml:space="preserve">5. 'BUILD-UP' LINES WHOSE QUANTITY IS TAKEN FROM THIS TAB - THE PROGRAMME AS SUBMITTED BESIDE THE BASIS CARRIED</t>
  </si>
  <si>
    <t xml:space="preserve">Rates are those on the 'Build-Up' tab. Column G (carried) is linked into column D of the 'Build-Up' tab; column F (Basis A) shows what the same rate would give on the programme exactly as submitted - parallel testing, every submitted day paid, the Contractor's own helper histogram - and is a comparison, not a target. Lines not listed here are unchanged from the previous revision because the programme does not inform them (mobilisation trips, design resources, scaffold area, consumables and pipework quantities); their basis is stated on the 'Build-Up' tab.</t>
  </si>
  <si>
    <t xml:space="preserve">'Build-Up' line</t>
  </si>
  <si>
    <t xml:space="preserve">Qty - previous revision</t>
  </si>
  <si>
    <t xml:space="preserve">Qty - Basis A</t>
  </si>
  <si>
    <t xml:space="preserve">Qty - Basis B (carried)</t>
  </si>
  <si>
    <t xml:space="preserve">Amount - Basis A (SAR)</t>
  </si>
  <si>
    <t xml:space="preserve">Amount - Basis B (SAR)</t>
  </si>
  <si>
    <t xml:space="preserve">Derivation</t>
  </si>
  <si>
    <t xml:space="preserve">Section 4, role R1: phase coverage stated there. A: the whole submitted site period</t>
  </si>
  <si>
    <t xml:space="preserve">Section 4, role R2: phase coverage stated there. A: the whole submitted site period</t>
  </si>
  <si>
    <t xml:space="preserve">Section 4, role R3: phase coverage stated there. A: the whole submitted site period</t>
  </si>
  <si>
    <t xml:space="preserve">Section 4, role R4: phase coverage stated there. A: the whole submitted site period</t>
  </si>
  <si>
    <t xml:space="preserve">Section 4, role R5: phase coverage stated there. A: the whole submitted site period</t>
  </si>
  <si>
    <t xml:space="preserve">Site period D1 in months (facilities run to the end of demobilisation)</t>
  </si>
  <si>
    <t xml:space="preserve">Two 10 m3 deliveries a week for the weeks of the site period D1, rounded up to whole weeks</t>
  </si>
  <si>
    <t xml:space="preserve">2 No. containers for the storage window D7 in months</t>
  </si>
  <si>
    <t xml:space="preserve">Site period D1 in months, transport being needed while the workforce demobilises; the manpower histogram shows labour on site for 16 weeks, 28-Aug to 11-Dec-2026, inside this period</t>
  </si>
  <si>
    <t xml:space="preserve">Site period D1 in months; still subject to whether the Employer's security covers the lower plateau</t>
  </si>
  <si>
    <t xml:space="preserve">Section 4, plant hire days on the submitted windows, one unit; the same on A</t>
  </si>
  <si>
    <t xml:space="preserve">As 5.1</t>
  </si>
  <si>
    <t xml:space="preserve">2 No. towers for the access window D6, rounded up to whole hire months</t>
  </si>
  <si>
    <t xml:space="preserve">As 5.4</t>
  </si>
  <si>
    <t xml:space="preserve">Works period D2 in months - daytime works power to completion of commissioning; none during demobilisation</t>
  </si>
  <si>
    <t xml:space="preserve">Site period D1 in months - welfare power runs continuously to the end of demobilisation</t>
  </si>
  <si>
    <t xml:space="preserve">Site period D1 in months</t>
  </si>
  <si>
    <t xml:space="preserve">Section 4, helper man-months: helper-days M1 to M13 on the submitted durations at 26 working days a month. A: the Contractor's histogram helper row, 85 man-weeks, converted the same way</t>
  </si>
  <si>
    <t xml:space="preserve">Erection window D3 in months</t>
  </si>
  <si>
    <t xml:space="preserve">2 No. lighting towers for the erection window D3 in months</t>
  </si>
  <si>
    <t xml:space="preserve">A: both tanks filled at once for parallel testing (7,548 m3, RFP Scope of Works section 1). Carried: one fill, water re-used for the second tank - the Engineer's (KEO) email of 30-Aug-2026</t>
  </si>
  <si>
    <t xml:space="preserve">Transfer pump: not needed on A; carried for the transfer P19 and the Tank 2 test P20 (top-up and hold)</t>
  </si>
  <si>
    <t xml:space="preserve">Transfer hoses: not needed on A; 1 week carried</t>
  </si>
  <si>
    <t xml:space="preserve">Transfer labour: not needed on A; 2 No. for the transfer P19</t>
  </si>
  <si>
    <t xml:space="preserve">Top-up at 10 per cent of the water filled: of two fills on A, of one fill carried (retention in Tank 1 between P18 and P19)</t>
  </si>
  <si>
    <t xml:space="preserve">A: the programmed 7-working-day parallel testing and commissioning activity plus one day at the hold. Carried: component checks P21 (3 days) and integrated commissioning P21b (3 days), both assessed assumptions, plus one day at each hydrostatic test hold; the fills and holds themselves are supervised by the QA/QC inspector (line 1.3) and the supplier's leak-test supervision within Item 6</t>
  </si>
  <si>
    <t xml:space="preserve">2 No. technicians: A for the 7-day programmed activity; carried for the component checks P21 and the integrated commissioning P21b (6 days)</t>
  </si>
  <si>
    <t xml:space="preserve">Tie-in P16 working days plus one day of integrated commissioning, both bases</t>
  </si>
  <si>
    <t xml:space="preserve">Pump and hose set standing by through the two 24-hour holds and two days of contingency between the Tank 1 test and the transfer; tankers are working, not standing by, during the fill. The same on A, where two simultaneous fills need the same standby</t>
  </si>
  <si>
    <t xml:space="preserve">Item 1 - lines listed above</t>
  </si>
  <si>
    <t xml:space="preserve">Sum of the Item 1 lines in this table only; the full item total is on the 'Build-Up' tab</t>
  </si>
  <si>
    <t xml:space="preserve">Item 5 - lines listed above</t>
  </si>
  <si>
    <t xml:space="preserve">Sum of the Item 5 lines in this table only; the full item total is on the 'Build-Up' tab</t>
  </si>
  <si>
    <t xml:space="preserve">Item 7 - lines listed above</t>
  </si>
  <si>
    <t xml:space="preserve">Sum of the Item 7 lines in this table only; the full item total is on the 'Build-Up' tab</t>
  </si>
  <si>
    <t xml:space="preserve">All lines listed above</t>
  </si>
  <si>
    <t xml:space="preserve">Difference between the two bases before Overhead and Profit</t>
  </si>
  <si>
    <t xml:space="preserve">Assessment total on each basis, VAT excluded, including 5 per cent Overhead and Profit</t>
  </si>
  <si>
    <t xml:space="preserve">The carried basis is the 'Assessment' tab total (row 21). Basis A replaces the listed lines with their Basis A amounts and applies the Overhead and Profit once, as on the 'Assessment' tab</t>
  </si>
  <si>
    <t xml:space="preserve">Sensitivities on the resource matrix - not carried</t>
  </si>
  <si>
    <t xml:space="preserve">S5</t>
  </si>
  <si>
    <t xml:space="preserve">Efficiency sensitivity - helper-days above the Tank 2 pace on the Tank 1 base, walls and bracing (Section 4), if the gang could have been released</t>
  </si>
  <si>
    <t xml:space="preserve">Reduction, excluding Overhead and Profit, not carried: crew production and redeployment are not evidenced, so the attendance is carried for the submitted durations</t>
  </si>
  <si>
    <t xml:space="preserve">S6</t>
  </si>
  <si>
    <t xml:space="preserve">A second telehandler for the 11 concurrent days (Tank 1 roof with Tank 2 walls, 29-Oct to 11-Nov-2026), if one unit proves insufficient</t>
  </si>
  <si>
    <t xml:space="preserve">Excluding Overhead and Profit. To be decided on the Contractor's plant schedule and method statement</t>
  </si>
  <si>
    <t xml:space="preserve">6. LINK REGISTER - EVERY 'BUILD-UP' LINE TO ITS PROGRAMME ACTIVITIES OR SITE SERVICE</t>
  </si>
  <si>
    <t xml:space="preserve">One row for each line on the 'Build-Up' tab: the activities or the site service it serves, what the money buys and when the work can happen, who performs or provides it, the basis (fixed sum, measured quantity, attendance or hire), whether the same work is paid elsewhere, and the assessed amount linked from the 'Build-Up' tab. Lines that serve the whole site are shown as site services rather than tied to an activity they do not belong to. A resource that serves several activities is charged once, on the row where it is priced.</t>
  </si>
  <si>
    <t xml:space="preserve">'Build-Up' line (as described there)</t>
  </si>
  <si>
    <t xml:space="preserve">Programme activities or site service</t>
  </si>
  <si>
    <t xml:space="preserve">What it buys, when it can happen, who provides it</t>
  </si>
  <si>
    <t xml:space="preserve">Basis: fixed, quantity, attendance or hire</t>
  </si>
  <si>
    <t xml:space="preserve">Paid elsewhere?</t>
  </si>
  <si>
    <t xml:space="preserve">Site service - all phases; role R1</t>
  </si>
  <si>
    <t xml:space="preserve">Management of the separate tank site from mobilisation to demobilisation; Contractor</t>
  </si>
  <si>
    <t xml:space="preserve">Dedicated, monthly, site period</t>
  </si>
  <si>
    <t xml:space="preserve">No - supplier supervises its own erection crew within Item 6</t>
  </si>
  <si>
    <t xml:space="preserve">Site service - all phases; role R2</t>
  </si>
  <si>
    <t xml:space="preserve">HSE control of dismantling, erection, testing and demobilisation; Contractor</t>
  </si>
  <si>
    <t xml:space="preserve">QCD18TSECONDSM1020 to QCD18TSECONTCT22030; role R3</t>
  </si>
  <si>
    <t xml:space="preserve">Material inspections, erection inspections, test witnessing; Contractor</t>
  </si>
  <si>
    <t xml:space="preserve">Dedicated, monthly, dismantling start to completion of testing</t>
  </si>
  <si>
    <t xml:space="preserve">Site service - all phases; role R4</t>
  </si>
  <si>
    <t xml:space="preserve">Supervision of the Contractor's own labour and plant; Contractor</t>
  </si>
  <si>
    <t xml:space="preserve">No - not the supplier's erection foreman</t>
  </si>
  <si>
    <t xml:space="preserve">QCD18TSEPRC1120 to QCD18TSECONTCT22030; role R5</t>
  </si>
  <si>
    <t xml:space="preserve">Receipt, storage and issue of materials; Contractor</t>
  </si>
  <si>
    <t xml:space="preserve">Dedicated, monthly, first delivery to completion of testing</t>
  </si>
  <si>
    <t xml:space="preserve">Site service - whole site period D1 (QCD18TSEMOB1240 to QCD18TSEDMOB1020)</t>
  </si>
  <si>
    <t xml:space="preserve">Site office; Contractor</t>
  </si>
  <si>
    <t xml:space="preserve">Monthly hire, site period</t>
  </si>
  <si>
    <t xml:space="preserve">Welfare cabin; Contractor</t>
  </si>
  <si>
    <t xml:space="preserve">WC unit; Contractor</t>
  </si>
  <si>
    <t xml:space="preserve">Monthly hire with servicing, site period</t>
  </si>
  <si>
    <t xml:space="preserve">Welfare and general site water, no mains supply; Contractor</t>
  </si>
  <si>
    <t xml:space="preserve">Quantity: two 10 m3 deliveries a week, weeks rounded up</t>
  </si>
  <si>
    <t xml:space="preserve">No - test water is 7.1, 7.5 and 8.17</t>
  </si>
  <si>
    <t xml:space="preserve">Site water storage tank; Contractor</t>
  </si>
  <si>
    <t xml:space="preserve">QCD18TSEPRC1120 to QCD18TSECONT2INS1050 (window D7)</t>
  </si>
  <si>
    <t xml:space="preserve">Secure storage of accessories, bolts and small items from the first delivery to the last roof panel; Contractor</t>
  </si>
  <si>
    <t xml:space="preserve">Container-months, 2 No.</t>
  </si>
  <si>
    <t xml:space="preserve">No - panels stay on pallets in the open</t>
  </si>
  <si>
    <t xml:space="preserve">Daily workforce bus to the separate site; Contractor</t>
  </si>
  <si>
    <t xml:space="preserve">Monthly, site period</t>
  </si>
  <si>
    <t xml:space="preserve">Night security pending confirmation of the Employer's cover; Contractor</t>
  </si>
  <si>
    <t xml:space="preserve">Monthly, site period; provisional</t>
  </si>
  <si>
    <t xml:space="preserve">QCD18TSEMOB1240 and QCD18TSEMOB1250 (22 to 26-Aug-2026)</t>
  </si>
  <si>
    <t xml:space="preserve">Delivery of cabins, containers and small plant; Contractor</t>
  </si>
  <si>
    <t xml:space="preserve">Quantity: 5 flatbed trips, assessed</t>
  </si>
  <si>
    <t xml:space="preserve">No - the supplier's own mobilisation is within Item 6; plant mobilisation is within the day rates at 5.1 and 5.2</t>
  </si>
  <si>
    <t xml:space="preserve">QCD18TSEDMOB1020 (17 to 24-Dec-2026 programmed)</t>
  </si>
  <si>
    <t xml:space="preserve">Removal of the same; Contractor</t>
  </si>
  <si>
    <t xml:space="preserve">QCD18TSEDMOB1020</t>
  </si>
  <si>
    <t xml:space="preserve">Site clean-up at demobilisation; Contractor labour</t>
  </si>
  <si>
    <t xml:space="preserve">Attendance: 4 No. x 3 days</t>
  </si>
  <si>
    <t xml:space="preserve">No - the demobilisation helpers are not in 5.10 (matrix M15)</t>
  </si>
  <si>
    <t xml:space="preserve">Lump-sum deliverable - insurance endorsement, before mobilisation</t>
  </si>
  <si>
    <t xml:space="preserve">Extension of the Contract insurances to a site outside the Site; Contractor's insurer</t>
  </si>
  <si>
    <t xml:space="preserve">Fixed: 0.2 per cent of the works value, to be substantiated</t>
  </si>
  <si>
    <t xml:space="preserve">Site service - peak Contractor headcount (matrix M3, M5, M9, R1 to R5)</t>
  </si>
  <si>
    <t xml:space="preserve">PPE for the Contractor's own people; Contractor</t>
  </si>
  <si>
    <t xml:space="preserve">Quantity: 20 sets</t>
  </si>
  <si>
    <t xml:space="preserve">No - the supplier's crews wear their own</t>
  </si>
  <si>
    <t xml:space="preserve">Site service - HSE plan (RFP Scope of Works section 4, item 7)</t>
  </si>
  <si>
    <t xml:space="preserve">Safety signage and notice boards; Contractor</t>
  </si>
  <si>
    <t xml:space="preserve">Quantity: 12 No.</t>
  </si>
  <si>
    <t xml:space="preserve">Site service - access route to the tank site</t>
  </si>
  <si>
    <t xml:space="preserve">Work-zone traffic signs; Contractor</t>
  </si>
  <si>
    <t xml:space="preserve">Quantity: 12 No. at the RFP-021 agreed rate</t>
  </si>
  <si>
    <t xml:space="preserve">Site service - work-area protection</t>
  </si>
  <si>
    <t xml:space="preserve">Temporary Jersey barriers; Contractor</t>
  </si>
  <si>
    <t xml:space="preserve">Hire: 100 Lm, to be confirmed against the layout</t>
  </si>
  <si>
    <t xml:space="preserve">After QCD18TSEDMOB1020 - completion inspection</t>
  </si>
  <si>
    <t xml:space="preserve">Engineer's completion inspection, correction list and warranties; Contractor site engineer, off-site visits</t>
  </si>
  <si>
    <t xml:space="preserve">Attendance: 3 days</t>
  </si>
  <si>
    <t xml:space="preserve">No - the monthly period at 1.1 ends at demobilisation</t>
  </si>
  <si>
    <t xml:space="preserve">QCD18TSEDMOB3020 - close-out documents</t>
  </si>
  <si>
    <t xml:space="preserve">Collation of the close-out file; Contractor document controller</t>
  </si>
  <si>
    <t xml:space="preserve">Attendance: 4 days</t>
  </si>
  <si>
    <t xml:space="preserve">No - test records and as-builts are 7.20 and 7.21</t>
  </si>
  <si>
    <t xml:space="preserve">QCD18TSEENG1240, QCD18TSEENG1250 and the submittal activities QCD18TSEMOB1040 to 1230</t>
  </si>
  <si>
    <t xml:space="preserve">Coordination of the supplier's design, method statements, ITPs, shop-drawing resubmissions; Contractor</t>
  </si>
  <si>
    <t xml:space="preserve">Attendance: 2 months, shared with the main Contract</t>
  </si>
  <si>
    <t xml:space="preserve">No - tank structural design is the supplier's within Item 6</t>
  </si>
  <si>
    <t xml:space="preserve">QCD18TSEENG1240 and the pipework shop drawings (Code C, resubmission 28 to 30-Sep-2026)</t>
  </si>
  <si>
    <t xml:space="preserve">Shop drawings and submittal drawings; Contractor</t>
  </si>
  <si>
    <t xml:space="preserve">Attendance: 1.5 months</t>
  </si>
  <si>
    <t xml:space="preserve">No - as-built mark-ups are 7.21</t>
  </si>
  <si>
    <t xml:space="preserve">QCD18TSECONSL1050 (07 to 13-Sep-2026) and after QCD18TSECONT1INS1060 / QCD18TSECONT2INS1060</t>
  </si>
  <si>
    <t xml:space="preserve">Foundation level verification, then dimensional and verticality survey of each erected tank; Contractor surveyor</t>
  </si>
  <si>
    <t xml:space="preserve">Attendance: 3 + 1.5 + 1.5 crew-days</t>
  </si>
  <si>
    <t xml:space="preserve">QCD18TSEMOB1040 to QCD18TSEMOB1230 (19 submittal activities) and the MAR / MIR activities</t>
  </si>
  <si>
    <t xml:space="preserve">Submittal administration via Aconex; Contractor</t>
  </si>
  <si>
    <t xml:space="preserve">Attendance: 8 days</t>
  </si>
  <si>
    <t xml:space="preserve">QCD18TSECONDSM1020 to 1030 (27-Aug to 12-Sep-2026, complete)</t>
  </si>
  <si>
    <t xml:space="preserve">Dismantling, segregation and loading of the damaged tank; Al Mousa under quotation S04647 for the Contractor</t>
  </si>
  <si>
    <t xml:space="preserve">Fixed: lowest of three quotations, recorded scope</t>
  </si>
  <si>
    <t xml:space="preserve">No - haulage is 4.1; crane and crew within the quotation on its recorded scope (offer not attached), so no plant at Item 5; matrix M2 carries Contractor attendance only</t>
  </si>
  <si>
    <t xml:space="preserve">c.1 to c.14</t>
  </si>
  <si>
    <t xml:space="preserve">First-principles check of 3.1 - information only</t>
  </si>
  <si>
    <t xml:space="preserve">Not carried</t>
  </si>
  <si>
    <t xml:space="preserve">After QCD18TSECONDSM1030 - handover to the Employer</t>
  </si>
  <si>
    <t xml:space="preserve">Haulage of the dismantled materials to the Employer's local handover point; Contractor</t>
  </si>
  <si>
    <t xml:space="preserve">Quantity: 14 loads, assessed; location unconfirmed</t>
  </si>
  <si>
    <t xml:space="preserve">No - loading is within 3.1</t>
  </si>
  <si>
    <t xml:space="preserve">Matrix M3, M5 to M7, M10 to M12 (plant rows)</t>
  </si>
  <si>
    <t xml:space="preserve">Boom truck for offloading and lifting wall tiers, bracing, roof supports and roof panels; Contractor for the supplier</t>
  </si>
  <si>
    <t xml:space="preserve">Hire: working days on site, one unit</t>
  </si>
  <si>
    <t xml:space="preserve">No - the supplier's own lifting is excluded from its offer</t>
  </si>
  <si>
    <t xml:space="preserve">Matrix M3 to M5, M7, M9 to M12 (plant rows)</t>
  </si>
  <si>
    <t xml:space="preserve">Telehandler moving pallets from the trucks to storage and into the tank footprint; Contractor for the supplier</t>
  </si>
  <si>
    <t xml:space="preserve">Hire: working days on site, one unit, provisional</t>
  </si>
  <si>
    <t xml:space="preserve">QCD18TSECONT1INS1030 to QCD18TSECONT2INS1050 (window D6)</t>
  </si>
  <si>
    <t xml:space="preserve">Perimeter scaffold and edge protection for wall, bracing and roof work; Contractor (supplier condition)</t>
  </si>
  <si>
    <t xml:space="preserve">Quantity: 1,024 m2 supplied, erected, 3-month hire, dismantled</t>
  </si>
  <si>
    <t xml:space="preserve">Window D6</t>
  </si>
  <si>
    <t xml:space="preserve">Mobile access towers; Contractor</t>
  </si>
  <si>
    <t xml:space="preserve">Hire: 2 No., whole months</t>
  </si>
  <si>
    <t xml:space="preserve">Relocation and re-inspection of the towers; Contractor</t>
  </si>
  <si>
    <t xml:space="preserve">Quantity: 4 No.</t>
  </si>
  <si>
    <t xml:space="preserve">Podium steps; Contractor</t>
  </si>
  <si>
    <t xml:space="preserve">QCD18TSEMOB1240 to QCD18TSECONTCT22030 (window D2)</t>
  </si>
  <si>
    <t xml:space="preserve">Daytime works power for the supplier's tools and the Contractor's works; Contractor (supplier condition)</t>
  </si>
  <si>
    <t xml:space="preserve">Hire with fuel: monthly, works period</t>
  </si>
  <si>
    <t xml:space="preserve">No - welfare power is 5.8</t>
  </si>
  <si>
    <t xml:space="preserve">Continuous welfare power; Contractor</t>
  </si>
  <si>
    <t xml:space="preserve">Hire with fuel: monthly, site period</t>
  </si>
  <si>
    <t xml:space="preserve">Site pick-up; Contractor</t>
  </si>
  <si>
    <t xml:space="preserve">Hire: monthly, site period</t>
  </si>
  <si>
    <t xml:space="preserve">No - workforce bus is 1.12; plant is 5.1 and 5.2</t>
  </si>
  <si>
    <t xml:space="preserve">Matrix M1 to M13</t>
  </si>
  <si>
    <t xml:space="preserve">Contractor's helpers: mobilisation, dismantling attendance, offloading, panel handling on one front then two, nozzle attendance</t>
  </si>
  <si>
    <t xml:space="preserve">Attendance: task-based helper-days converted to man-months</t>
  </si>
  <si>
    <t xml:space="preserve">No - erectors within Item 6; transfer, disinfection and testing labour in Item 7; clean-up 1.16</t>
  </si>
  <si>
    <t xml:space="preserve">QCD18TSECONT1INS1020 to QCD18TSECONT2MW2020 (window D3)</t>
  </si>
  <si>
    <t xml:space="preserve">Power tools for the Contractor's own works; Contractor</t>
  </si>
  <si>
    <t xml:space="preserve">Hire: monthly, erection window</t>
  </si>
  <si>
    <t xml:space="preserve">No - the supplier's erection tools are within Item 6</t>
  </si>
  <si>
    <t xml:space="preserve">Within Item 6 on its recorded scope (RFP work package 2)</t>
  </si>
  <si>
    <t xml:space="preserve">Sealant application - supplier erection work</t>
  </si>
  <si>
    <t xml:space="preserve">Provisionally not assessed</t>
  </si>
  <si>
    <t xml:space="preserve">Yes - Item 6, to confirm</t>
  </si>
  <si>
    <t xml:space="preserve">Within Item 6 on its recorded scope</t>
  </si>
  <si>
    <t xml:space="preserve">Fixings and touch-up - supplier supply and erection</t>
  </si>
  <si>
    <t xml:space="preserve">Window D3</t>
  </si>
  <si>
    <t xml:space="preserve">Lighting towers for the erection fronts and the work area at dusk; Contractor</t>
  </si>
  <si>
    <t xml:space="preserve">Hire: 2 No., monthly, erection window</t>
  </si>
  <si>
    <t xml:space="preserve">Site service - power distribution from 5.7 and 5.8</t>
  </si>
  <si>
    <t xml:space="preserve">Distribution boards and cabling; Contractor</t>
  </si>
  <si>
    <t xml:space="preserve">Quantity: 2 sets</t>
  </si>
  <si>
    <t xml:space="preserve">QCD18TSEPRC1060 to QCD18TSEPRC1230, QCD18TSECONT1INS1020 to QCD18TSECONT2MW2030</t>
  </si>
  <si>
    <t xml:space="preserve">Design, manufacture, delivery duty paid, erection, sealing, bracing, nozzles and internals of both tanks; Al Mousa / Stalwart</t>
  </si>
  <si>
    <t xml:space="preserve">Fixed: quotation per tank, insulated, provisional; erection scope as recorded, offer not attached</t>
  </si>
  <si>
    <t xml:space="preserve">No - the Contractor provides offloading, scaffold, storage, power and helpers (Items 1 and 5)</t>
  </si>
  <si>
    <t xml:space="preserve">P18 (17 to 24-Nov-2026 carried)</t>
  </si>
  <si>
    <t xml:space="preserve">Tankered water for the first fill; Contractor</t>
  </si>
  <si>
    <t xml:space="preserve">Quantity: 3,774 m3, one fill</t>
  </si>
  <si>
    <t xml:space="preserve">P19 and P20</t>
  </si>
  <si>
    <t xml:space="preserve">Transfer pump; Contractor</t>
  </si>
  <si>
    <t xml:space="preserve">Hire: transfer plus test days</t>
  </si>
  <si>
    <t xml:space="preserve">Transfer hoses and fittings; Contractor</t>
  </si>
  <si>
    <t xml:space="preserve">Hire: 1 week</t>
  </si>
  <si>
    <t xml:space="preserve">Pump attendance during the transfer; Contractor labour</t>
  </si>
  <si>
    <t xml:space="preserve">Attendance: 2 No. for the transfer days</t>
  </si>
  <si>
    <t xml:space="preserve">No - not in 5.10 (matrix M14)</t>
  </si>
  <si>
    <t xml:space="preserve">P18 to P20</t>
  </si>
  <si>
    <t xml:space="preserve">Top-up for losses and test level; Contractor</t>
  </si>
  <si>
    <t xml:space="preserve">Quantity: 10 per cent of one fill</t>
  </si>
  <si>
    <t xml:space="preserve">P18 and P20 (AWWA C652)</t>
  </si>
  <si>
    <t xml:space="preserve">Disinfection chemicals; Contractor</t>
  </si>
  <si>
    <t xml:space="preserve">Quantity: 800 kg</t>
  </si>
  <si>
    <t xml:space="preserve">P18 and P20</t>
  </si>
  <si>
    <t xml:space="preserve">Dosing equipment; Contractor</t>
  </si>
  <si>
    <t xml:space="preserve">Hire: 2 weeks</t>
  </si>
  <si>
    <t xml:space="preserve">Disinfection and flushing labour; Contractor</t>
  </si>
  <si>
    <t xml:space="preserve">Attendance: 2 No. x 10 days</t>
  </si>
  <si>
    <t xml:space="preserve">No - not in 5.10</t>
  </si>
  <si>
    <t xml:space="preserve">After P20</t>
  </si>
  <si>
    <t xml:space="preserve">Dechlorination for discharge; Contractor</t>
  </si>
  <si>
    <t xml:space="preserve">Quantity: 400 kg</t>
  </si>
  <si>
    <t xml:space="preserve">Sampling and transport; Contractor</t>
  </si>
  <si>
    <t xml:space="preserve">Quantity: 2 tanks</t>
  </si>
  <si>
    <t xml:space="preserve">Laboratory water-quality tests; third-party laboratory</t>
  </si>
  <si>
    <t xml:space="preserve">Quantity: 6 samples</t>
  </si>
  <si>
    <t xml:space="preserve">No - excluded by both tank suppliers</t>
  </si>
  <si>
    <t xml:space="preserve">None - no third-party inspection in the RFP</t>
  </si>
  <si>
    <t xml:space="preserve">Not assessed</t>
  </si>
  <si>
    <t xml:space="preserve">Engineer witness only (RFP 5.1, 5.2)</t>
  </si>
  <si>
    <t xml:space="preserve">P18, P20, P21, P21b</t>
  </si>
  <si>
    <t xml:space="preserve">Commissioning engineer at the test holds, the component checks and the integrated commissioning; Contractor</t>
  </si>
  <si>
    <t xml:space="preserve">No - the supplier's leak-test supervision is within Item 6</t>
  </si>
  <si>
    <t xml:space="preserve">P21 and P21b</t>
  </si>
  <si>
    <t xml:space="preserve">MEP technicians on the pump and network interfaces; Contractor</t>
  </si>
  <si>
    <t xml:space="preserve">Attendance: 2 No. x 6 days</t>
  </si>
  <si>
    <t xml:space="preserve">P21 (after QCD18TSECONT1MW2060 and QCD18TSECONT2MW2040)</t>
  </si>
  <si>
    <t xml:space="preserve">Electrical connection and readout checks of the level instruments; Contractor</t>
  </si>
  <si>
    <t xml:space="preserve">Attendance: 5 days</t>
  </si>
  <si>
    <t xml:space="preserve">No - the cabling is supplied and installed at 8.11</t>
  </si>
  <si>
    <t xml:space="preserve">P16 and P21b</t>
  </si>
  <si>
    <t xml:space="preserve">Coordination of the tie-in and the witnessed demonstration with the Employer and Engineer; Contractor</t>
  </si>
  <si>
    <t xml:space="preserve">Attendance: tie-in days plus 1</t>
  </si>
  <si>
    <t xml:space="preserve">Calibration of the instruments; technician</t>
  </si>
  <si>
    <t xml:space="preserve">Certified calibrations; laboratory</t>
  </si>
  <si>
    <t xml:space="preserve">Quantity: 6 No.</t>
  </si>
  <si>
    <t xml:space="preserve">P18 to P21b</t>
  </si>
  <si>
    <t xml:space="preserve">Calibrated gauges and data logger; Contractor</t>
  </si>
  <si>
    <t xml:space="preserve">P18 to P23</t>
  </si>
  <si>
    <t xml:space="preserve">Test records and ITP / WIR close-out; Contractor clerk</t>
  </si>
  <si>
    <t xml:space="preserve">Attendance: 1 month</t>
  </si>
  <si>
    <t xml:space="preserve">No - the document controller at 1.23 collates the close-out file</t>
  </si>
  <si>
    <t xml:space="preserve">QCD18TSEDMOB3020</t>
  </si>
  <si>
    <t xml:space="preserve">As-built mark-ups; Contractor draughtsman</t>
  </si>
  <si>
    <t xml:space="preserve">Attendance: 0.5 month</t>
  </si>
  <si>
    <t xml:space="preserve">No - shop drawings are 2.2</t>
  </si>
  <si>
    <t xml:space="preserve">P18 and P20 holds</t>
  </si>
  <si>
    <t xml:space="preserve">Pump and hose set standing by through the holds; Contractor</t>
  </si>
  <si>
    <t xml:space="preserve">Hire: 4 days</t>
  </si>
  <si>
    <t xml:space="preserve">No - tankers are paid at 7.1</t>
  </si>
  <si>
    <t xml:space="preserve">Deliverables list 26 to 28-Sep-2026 (PQD, ITP, procedure, inspector CV)</t>
  </si>
  <si>
    <t xml:space="preserve">Third-party factory acceptance test - not required by the RFP</t>
  </si>
  <si>
    <t xml:space="preserve">Nil pending evidence</t>
  </si>
  <si>
    <t xml:space="preserve">Manufacturer test reports are within Item 6</t>
  </si>
  <si>
    <t xml:space="preserve">QCD18TSEPRC1160 to 1250 (procurement), QCD18TSECONT1MW2055 and QCD18TSECONT2MW2020 (installation)</t>
  </si>
  <si>
    <t xml:space="preserve">Main pipework above DN150 to the RFP specification, supplied and installed; Contractor</t>
  </si>
  <si>
    <t xml:space="preserve">Quantity: 200 m assessed, take-off pending</t>
  </si>
  <si>
    <t xml:space="preserve">As 8.1</t>
  </si>
  <si>
    <t xml:space="preserve">Small-bore uPVC pipework; Contractor</t>
  </si>
  <si>
    <t xml:space="preserve">Quantity: 60 m assessed</t>
  </si>
  <si>
    <t xml:space="preserve">Butterfly isolation valves to the RFP; Contractor</t>
  </si>
  <si>
    <t xml:space="preserve">Quantity: 10 No. assessed</t>
  </si>
  <si>
    <t xml:space="preserve">Dismantling joints; Contractor</t>
  </si>
  <si>
    <t xml:space="preserve">QCD18TSECONT1MW2050 and QCD18TSECONT2MW2030</t>
  </si>
  <si>
    <t xml:space="preserve">Blind flanges on spare nozzles; Contractor</t>
  </si>
  <si>
    <t xml:space="preserve">Quantity: 8 No.</t>
  </si>
  <si>
    <t xml:space="preserve">No - the nozzles themselves are the supplier's</t>
  </si>
  <si>
    <t xml:space="preserve">Flange sets, gaskets and bolting; Contractor</t>
  </si>
  <si>
    <t xml:space="preserve">Quantity: 2 tank-sets</t>
  </si>
  <si>
    <t xml:space="preserve">Pipe supports; Contractor</t>
  </si>
  <si>
    <t xml:space="preserve">Quantity: 40 No.</t>
  </si>
  <si>
    <t xml:space="preserve">Anchor and thrust blocks; Contractor</t>
  </si>
  <si>
    <t xml:space="preserve">QCD18TSECONT1MW2060 and QCD18TSECONT2MW2040</t>
  </si>
  <si>
    <t xml:space="preserve">Float-and-tape level indicators; Contractor</t>
  </si>
  <si>
    <t xml:space="preserve">Quantity: 2 No.</t>
  </si>
  <si>
    <t xml:space="preserve">No - excluded from the tank supply</t>
  </si>
  <si>
    <t xml:space="preserve">As 8.9</t>
  </si>
  <si>
    <t xml:space="preserve">Level transmitters; Contractor</t>
  </si>
  <si>
    <t xml:space="preserve">Instrument cabling and conduit; Contractor</t>
  </si>
  <si>
    <t xml:space="preserve">Quantity: 160 m assessed</t>
  </si>
  <si>
    <t xml:space="preserve">No - connection checks are 7.15</t>
  </si>
  <si>
    <t xml:space="preserve">QCD18TSECONTC2040</t>
  </si>
  <si>
    <t xml:space="preserve">Pressure gauge assemblies; Contractor</t>
  </si>
  <si>
    <t xml:space="preserve">Sample taps; Contractor</t>
  </si>
  <si>
    <t xml:space="preserve">QCD18TSECONTC2040 after QCD18TSECONIF2050 (03-Dec-2026)</t>
  </si>
  <si>
    <t xml:space="preserve">Tie-ins to the networks after the external readiness milestone; Contractor</t>
  </si>
  <si>
    <t xml:space="preserve">Tie-in coordination and out-of-hours working; Contractor</t>
  </si>
  <si>
    <t xml:space="preserve">No - the coordination engineer at 7.16 is the Contractor's attendance at the demonstration</t>
  </si>
  <si>
    <t xml:space="preserve">After QCD18TSECONT2MW2020, before P21</t>
  </si>
  <si>
    <t xml:space="preserve">Pipework test pump and manifold; Contractor</t>
  </si>
  <si>
    <t xml:space="preserve">No - tank testing is Item 7</t>
  </si>
  <si>
    <t xml:space="preserve">As 8.16</t>
  </si>
  <si>
    <t xml:space="preserve">Pipework test and flushing water; Contractor</t>
  </si>
  <si>
    <t xml:space="preserve">Quantity: 300 m3</t>
  </si>
  <si>
    <t xml:space="preserve">Pipework testing crew; Contractor</t>
  </si>
  <si>
    <t xml:space="preserve">Attendance: 2 No. x 12 days</t>
  </si>
  <si>
    <t xml:space="preserve">Test records and certificates; Contractor</t>
  </si>
  <si>
    <t xml:space="preserve">Quantity: 2 systems</t>
  </si>
  <si>
    <t xml:space="preserve">Colour banding; Contractor</t>
  </si>
  <si>
    <t xml:space="preserve">Quantity: 260 m</t>
  </si>
  <si>
    <t xml:space="preserve">Tags, arrows and labels; Contractor</t>
  </si>
  <si>
    <t xml:space="preserve">Quantity: 70 No.</t>
  </si>
  <si>
    <t xml:space="preserve">a.1 to a.5</t>
  </si>
  <si>
    <t xml:space="preserve">The Contractor's procured materials - information only</t>
  </si>
  <si>
    <t xml:space="preserve">Total of the priced lines above, before Overhead and Profit</t>
  </si>
  <si>
    <t xml:space="preserve">Equals the 'Assessment' tab subtotal, row 19 (Item 6 counted for the second tank)</t>
  </si>
  <si>
    <t xml:space="preserve">Check: difference to 'Assessment'!K19 (must be nil)</t>
  </si>
  <si>
    <t xml:space="preserve">7. ACTIVITY DATA - QC05958-BSL01THF-TSE.xer, PROJECT 'QC05958-BSL01THF-TSE-FINAL', DATA DATE 01-JUL-2026</t>
  </si>
  <si>
    <t xml:space="preserve">All 81 activities as submitted, sorted by start date; names and sections are reproduced as they appear in the programme file. Working days are on each activity's own calendar: '6-day, 10 h' is the calendar 'QIC 6 Days 10 Hrs', '5-day, 10 h' is 'QIC 5 Days 10 Hrs' and '7-day, 10 h' is 'QIC 7 Days 10 Hrs' or 'QIC 7D/10H'. 'Cost loaded' is the Contractor's allocation of its proposal of SAR 8,110,296.62 including 5 per cent Overhead and Profit to the single cost resource 'TSE Tank Cost'; it is an allocation for progress measurement, not evidence of the cost of any activity.</t>
  </si>
  <si>
    <t xml:space="preserve">Activity (as named in the programme)</t>
  </si>
  <si>
    <t xml:space="preserve">Start</t>
  </si>
  <si>
    <t xml:space="preserve">Finish</t>
  </si>
  <si>
    <t xml:space="preserve">Working days</t>
  </si>
  <si>
    <t xml:space="preserve">Cost loaded (SAR, incl. 5% OHP)</t>
  </si>
  <si>
    <t xml:space="preserve">Activity ID</t>
  </si>
  <si>
    <t xml:space="preserve">Calendar</t>
  </si>
  <si>
    <t xml:space="preserve">Total float (days)</t>
  </si>
  <si>
    <t xml:space="preserve">GRP TSE Tank - Supplier identifcation</t>
  </si>
  <si>
    <t xml:space="preserve">QCD18TSEMOB1020</t>
  </si>
  <si>
    <t xml:space="preserve">6-day, 10 h</t>
  </si>
  <si>
    <t xml:space="preserve">MOBILIZATION / Supplier Identification &amp; Evaluation</t>
  </si>
  <si>
    <t xml:space="preserve">Project Start</t>
  </si>
  <si>
    <t xml:space="preserve">QCD18TSEMS1000</t>
  </si>
  <si>
    <t xml:space="preserve">7-day, 10 h</t>
  </si>
  <si>
    <t xml:space="preserve">MILESTONES</t>
  </si>
  <si>
    <t xml:space="preserve">Issuance of Engineer's Instruction</t>
  </si>
  <si>
    <t xml:space="preserve">QCD18TSEOMS1020</t>
  </si>
  <si>
    <t xml:space="preserve">MILESTONES / Other Milestones</t>
  </si>
  <si>
    <t xml:space="preserve">GRP TSE Tank - Supplier Evaluation &amp; Proposal</t>
  </si>
  <si>
    <t xml:space="preserve">QCD18TSEMOB1030</t>
  </si>
  <si>
    <t xml:space="preserve">Preparation &amp; Submission of MOS - TSE Tank Dismantling</t>
  </si>
  <si>
    <t xml:space="preserve">QCD18TSEMOB1040</t>
  </si>
  <si>
    <t xml:space="preserve">MOBILIZATION / Project Deliverables &amp; Submittals / Project Submittals / Submissions of Submittals</t>
  </si>
  <si>
    <t xml:space="preserve">Preparation &amp; Submission of MOS - TSE Tank Installation</t>
  </si>
  <si>
    <t xml:space="preserve">QCD18TSEMOB1050</t>
  </si>
  <si>
    <t xml:space="preserve">Approval of MOS - TSE Tank Dismantling</t>
  </si>
  <si>
    <t xml:space="preserve">QCD18TSEMOB1060</t>
  </si>
  <si>
    <t xml:space="preserve">5-day, 10 h</t>
  </si>
  <si>
    <t xml:space="preserve">MOBILIZATION / Project Deliverables &amp; Submittals / Project Submittals / Approval of Submittals</t>
  </si>
  <si>
    <t xml:space="preserve">Approval of MOS - TSE Tank Installation</t>
  </si>
  <si>
    <t xml:space="preserve">QCD18TSEMOB1070</t>
  </si>
  <si>
    <t xml:space="preserve">Preparation &amp; Submission of Health &amp; Safety Managment Plan</t>
  </si>
  <si>
    <t xml:space="preserve">QCD18TSEMOB1080</t>
  </si>
  <si>
    <t xml:space="preserve">MOBILIZATION / Project Deliverables &amp; Submittals / Project Deliverables / Submissions of Deliverables</t>
  </si>
  <si>
    <t xml:space="preserve">Preparation &amp; Submission of CEMP Plan</t>
  </si>
  <si>
    <t xml:space="preserve">QCD18TSEMOB1090</t>
  </si>
  <si>
    <t xml:space="preserve">Preparation &amp; Submission of Project Execution Plan</t>
  </si>
  <si>
    <t xml:space="preserve">QCD18TSEMOB1100</t>
  </si>
  <si>
    <t xml:space="preserve">Preparation &amp; Submission of Project Mobilization Plan</t>
  </si>
  <si>
    <t xml:space="preserve">QCD18TSEMOB1110</t>
  </si>
  <si>
    <t xml:space="preserve">Preparation &amp; Submission of Project Quality Plan</t>
  </si>
  <si>
    <t xml:space="preserve">QCD18TSEMOB1120</t>
  </si>
  <si>
    <t xml:space="preserve">Preparation &amp; Submission of MOS - Pipe Installation</t>
  </si>
  <si>
    <t xml:space="preserve">QCD18TSEMOB1130</t>
  </si>
  <si>
    <t xml:space="preserve">Preparation &amp; Submission of MOS - Tie in Connections</t>
  </si>
  <si>
    <t xml:space="preserve">QCD18TSEMOB1140</t>
  </si>
  <si>
    <t xml:space="preserve">Preparation &amp; Submission of ITP</t>
  </si>
  <si>
    <t xml:space="preserve">QCD18TSEMOB1150</t>
  </si>
  <si>
    <t xml:space="preserve">Vendor/Supplier PQD Submission</t>
  </si>
  <si>
    <t xml:space="preserve">QCD18TSEPRC1020</t>
  </si>
  <si>
    <t xml:space="preserve">PROCUREMENT / Long Lead Item / GRP Material / Vendor / Supplier Approval</t>
  </si>
  <si>
    <t xml:space="preserve">Submisison of MAR</t>
  </si>
  <si>
    <t xml:space="preserve">QCD18TSEPRC1030</t>
  </si>
  <si>
    <t xml:space="preserve">PROCUREMENT / Long Lead Item / GRP Material / Material Approval</t>
  </si>
  <si>
    <t xml:space="preserve">Preparation &amp; Submission of Vendor/Supplier PQD</t>
  </si>
  <si>
    <t xml:space="preserve">QCD18TSEPRC1090</t>
  </si>
  <si>
    <t xml:space="preserve">PROCUREMENT / Short Lead Item / Pipes,Valves &amp; Accessories / Vendor / Supplier Approval</t>
  </si>
  <si>
    <t xml:space="preserve">Vendor/Supplier PQD Approval</t>
  </si>
  <si>
    <t xml:space="preserve">QCD18TSEPRC1040</t>
  </si>
  <si>
    <t xml:space="preserve">Approval of MAR</t>
  </si>
  <si>
    <t xml:space="preserve">QCD18TSEPRC1050</t>
  </si>
  <si>
    <t xml:space="preserve">Issuance of Purchase Order</t>
  </si>
  <si>
    <t xml:space="preserve">QCD18TSEPRC1060</t>
  </si>
  <si>
    <t xml:space="preserve">PROCUREMENT / Long Lead Item / GRP Material / PO Issuance</t>
  </si>
  <si>
    <t xml:space="preserve">Approval of Vendor/Supplier PQD</t>
  </si>
  <si>
    <t xml:space="preserve">QCD18TSEPRC1100</t>
  </si>
  <si>
    <t xml:space="preserve">Submission of Shop Drawings</t>
  </si>
  <si>
    <t xml:space="preserve">QCD18TSEENG1240</t>
  </si>
  <si>
    <t xml:space="preserve">ENGINEERING / Shop Drawings</t>
  </si>
  <si>
    <t xml:space="preserve">Manufacturing of Material</t>
  </si>
  <si>
    <t xml:space="preserve">QCD18TSEPRC1070</t>
  </si>
  <si>
    <t xml:space="preserve">PROCUREMENT / Long Lead Item / GRP Material / Manufacturing &amp; Delivery / TSE Tank-02</t>
  </si>
  <si>
    <t xml:space="preserve">QCD18TSEPRC1080</t>
  </si>
  <si>
    <t xml:space="preserve">PROCUREMENT / Long Lead Item / GRP Material / Manufacturing &amp; Delivery / TSE Tank-01</t>
  </si>
  <si>
    <t xml:space="preserve">Approval of Project Quality Plan</t>
  </si>
  <si>
    <t xml:space="preserve">QCD18TSEMOB1160</t>
  </si>
  <si>
    <t xml:space="preserve">MOBILIZATION / Project Deliverables &amp; Submittals / Project Deliverables / Aprroval of Deliverables</t>
  </si>
  <si>
    <t xml:space="preserve">Approval of Shop Drawings</t>
  </si>
  <si>
    <t xml:space="preserve">QCD18TSEENG1250</t>
  </si>
  <si>
    <t xml:space="preserve">Approval of Health &amp; Safety Managment Plan</t>
  </si>
  <si>
    <t xml:space="preserve">QCD18TSEMOB1170</t>
  </si>
  <si>
    <t xml:space="preserve">Approval of Project Execution Plan</t>
  </si>
  <si>
    <t xml:space="preserve">QCD18TSEMOB1180</t>
  </si>
  <si>
    <t xml:space="preserve">Approval of Project Mobilization Plan</t>
  </si>
  <si>
    <t xml:space="preserve">QCD18TSEMOB1190</t>
  </si>
  <si>
    <t xml:space="preserve">Approval of MOS - Pipe Installation</t>
  </si>
  <si>
    <t xml:space="preserve">QCD18TSEMOB1200</t>
  </si>
  <si>
    <t xml:space="preserve">Approval of MOS - Tie in Connections</t>
  </si>
  <si>
    <t xml:space="preserve">QCD18TSEMOB1210</t>
  </si>
  <si>
    <t xml:space="preserve">Approval of CEMP Plan</t>
  </si>
  <si>
    <t xml:space="preserve">QCD18TSEMOB1220</t>
  </si>
  <si>
    <t xml:space="preserve">Approval of ITP</t>
  </si>
  <si>
    <t xml:space="preserve">QCD18TSEMOB1230</t>
  </si>
  <si>
    <t xml:space="preserve">Mobilization of Manpower &amp; Equipment</t>
  </si>
  <si>
    <t xml:space="preserve">QCD18TSEMOB1240</t>
  </si>
  <si>
    <t xml:space="preserve">MOBILIZATION / Manpower &amp; Equipment Mobilization</t>
  </si>
  <si>
    <t xml:space="preserve">Site Establishment &amp; Temporaray Welfare Facilities</t>
  </si>
  <si>
    <t xml:space="preserve">QCD18TSEMOB1250</t>
  </si>
  <si>
    <t xml:space="preserve">MOBILIZATION / Welfare Facilities</t>
  </si>
  <si>
    <t xml:space="preserve">QCD18TSEPRC1110</t>
  </si>
  <si>
    <t xml:space="preserve">PROCUREMENT / Short Lead Item / Pipes,Valves &amp; Accessories / Material Approval</t>
  </si>
  <si>
    <t xml:space="preserve">Removal &amp; Disposal of Roof panels &amp; Structure</t>
  </si>
  <si>
    <t xml:space="preserve">QCD18TSECONDSM1020</t>
  </si>
  <si>
    <t xml:space="preserve">CONSTRUCTION / Dismantling of Existing TSE Tank</t>
  </si>
  <si>
    <t xml:space="preserve">Removal &amp; Disposal of Side Panels</t>
  </si>
  <si>
    <t xml:space="preserve">QCD18TSECONDSM1040</t>
  </si>
  <si>
    <t xml:space="preserve">QCD18TSEPRC1140</t>
  </si>
  <si>
    <t xml:space="preserve">Removal &amp; Disposal of base Panels</t>
  </si>
  <si>
    <t xml:space="preserve">QCD18TSECONDSM1030</t>
  </si>
  <si>
    <t xml:space="preserve">Survey &amp; Leveling verfication for the existing foundation</t>
  </si>
  <si>
    <t xml:space="preserve">QCD18TSECONSL1050</t>
  </si>
  <si>
    <t xml:space="preserve">CONSTRUCTION / Survey &amp; Levelling (Existing Foundations)</t>
  </si>
  <si>
    <t xml:space="preserve">Partial Delivery of material TSE Tank - 01  (Base panels)</t>
  </si>
  <si>
    <t xml:space="preserve">QCD18TSEPRC1120</t>
  </si>
  <si>
    <t xml:space="preserve">Submission of MIR for TSE Tank - 01  (Base panels)</t>
  </si>
  <si>
    <t xml:space="preserve">QCD18TSEPRC1130</t>
  </si>
  <si>
    <t xml:space="preserve">PROCUREMENT / Long Lead Item / GRP Material / Material Inspection / TSE Tank-01</t>
  </si>
  <si>
    <t xml:space="preserve">Approval of MIR for TSE Tank - 01  (Base panels)</t>
  </si>
  <si>
    <t xml:space="preserve">QCD18TSEPRC1150</t>
  </si>
  <si>
    <t xml:space="preserve">Installation of Base Panels with Internal lining &amp; food grade joint sealent</t>
  </si>
  <si>
    <t xml:space="preserve">QCD18TSECONT1INS1020</t>
  </si>
  <si>
    <t xml:space="preserve">CONSTRUCTION / TSE Tank -01 / Tank Installation</t>
  </si>
  <si>
    <t xml:space="preserve">QCD18TSEPRC1160</t>
  </si>
  <si>
    <t xml:space="preserve">PROCUREMENT / Short Lead Item / Pipes,Valves &amp; Accessories / PO Issuance</t>
  </si>
  <si>
    <t xml:space="preserve">Manufacturing of Material &amp; delivery</t>
  </si>
  <si>
    <t xml:space="preserve">QCD18TSEPRC1190</t>
  </si>
  <si>
    <t xml:space="preserve">PROCUREMENT / Short Lead Item / Pipes,Valves &amp; Accessories / Manufacturing &amp; Delivery</t>
  </si>
  <si>
    <t xml:space="preserve">Partial Delievery of wall panels + associated material TSE Tank - 01</t>
  </si>
  <si>
    <t xml:space="preserve">QCD18TSEPRC1170</t>
  </si>
  <si>
    <t xml:space="preserve">Submission of MIR of wall panels + associated material TSE Tank - 01</t>
  </si>
  <si>
    <t xml:space="preserve">QCD18TSEPRC1180</t>
  </si>
  <si>
    <t xml:space="preserve">Approval of MIR of wall panels + associated material TSE Tank - 01</t>
  </si>
  <si>
    <t xml:space="preserve">QCD18TSEPRC1200</t>
  </si>
  <si>
    <t xml:space="preserve">Installation of Wall Panels with Internal lining &amp; food grade joint sealent</t>
  </si>
  <si>
    <t xml:space="preserve">QCD18TSECONT1INS1030</t>
  </si>
  <si>
    <t xml:space="preserve">Installation of Bracing</t>
  </si>
  <si>
    <t xml:space="preserve">QCD18TSECONT1INS1060</t>
  </si>
  <si>
    <t xml:space="preserve">Delievery of TSE Tanks -02 (Base+Wall Panel + associated material)</t>
  </si>
  <si>
    <t xml:space="preserve">QCD18TSEPRC1210</t>
  </si>
  <si>
    <t xml:space="preserve">Submission of MIR  TSE Tanks -02 (Base+Wall Panel + associated material)</t>
  </si>
  <si>
    <t xml:space="preserve">QCD18TSEPRC1220</t>
  </si>
  <si>
    <t xml:space="preserve">PROCUREMENT / Long Lead Item / GRP Material / Material Inspection / TSE Tank-02</t>
  </si>
  <si>
    <t xml:space="preserve">QCD18TSECONT2INS1020</t>
  </si>
  <si>
    <t xml:space="preserve">CONSTRUCTION / TSE Tank -02 / Tank Installation</t>
  </si>
  <si>
    <t xml:space="preserve">Approval of MIR  TSE Tanks -02 (Base+Wall Panel + associated material)</t>
  </si>
  <si>
    <t xml:space="preserve">QCD18TSEPRC1230</t>
  </si>
  <si>
    <t xml:space="preserve">QCD18TSECONT2INS1030</t>
  </si>
  <si>
    <t xml:space="preserve">Installation of Roof Supports &amp; Ladder</t>
  </si>
  <si>
    <t xml:space="preserve">QCD18TSECONT1INS1040</t>
  </si>
  <si>
    <t xml:space="preserve">QCD18TSECONT2INS1060</t>
  </si>
  <si>
    <t xml:space="preserve">Submission of MIR for Pipe, Vlaves &amp; Accessories</t>
  </si>
  <si>
    <t xml:space="preserve">QCD18TSEPRC1240</t>
  </si>
  <si>
    <t xml:space="preserve">PROCUREMENT / Short Lead Item / Pipes,Valves &amp; Accessories / Material Inspection</t>
  </si>
  <si>
    <t xml:space="preserve">Approval of MIR for  Pipe, Vlaves &amp; Accessories</t>
  </si>
  <si>
    <t xml:space="preserve">QCD18TSEPRC1250</t>
  </si>
  <si>
    <t xml:space="preserve">Installation of Roof Panels with Internal lining &amp; food grade joint sealent</t>
  </si>
  <si>
    <t xml:space="preserve">QCD18TSECONT1INS1050</t>
  </si>
  <si>
    <t xml:space="preserve">Installation of Inlet/Outlet, Overflow &amp; Drain Nozzles, Internals &amp; Blind Flanges</t>
  </si>
  <si>
    <t xml:space="preserve">QCD18TSECONT1MW2050</t>
  </si>
  <si>
    <t xml:space="preserve">CONSTRUCTION / TSE Tank -01 / Mechanical Works</t>
  </si>
  <si>
    <t xml:space="preserve">Installation of Level Trabsmitter / Remote level indication.</t>
  </si>
  <si>
    <t xml:space="preserve">QCD18TSECONT1MW2060</t>
  </si>
  <si>
    <t xml:space="preserve">Installation of Pipes &amp; Fittings</t>
  </si>
  <si>
    <t xml:space="preserve">QCD18TSECONT1MW2055</t>
  </si>
  <si>
    <t xml:space="preserve">QCD18TSECONT2INS1040</t>
  </si>
  <si>
    <t xml:space="preserve">QCD18TSECONT2INS1050</t>
  </si>
  <si>
    <t xml:space="preserve">QCD18TSECONT2MW2030</t>
  </si>
  <si>
    <t xml:space="preserve">CONSTRUCTION / TSE Tank -02 / Mechanical Works</t>
  </si>
  <si>
    <t xml:space="preserve">QCD18TSECONT2MW2040</t>
  </si>
  <si>
    <t xml:space="preserve">QCD18TSECONT2MW2020</t>
  </si>
  <si>
    <t xml:space="preserve">SAJCO Readiness for Tie-In Connections</t>
  </si>
  <si>
    <t xml:space="preserve">QCD18TSECONIF2050</t>
  </si>
  <si>
    <t xml:space="preserve">CONSTRUCTION / Tie in Interface</t>
  </si>
  <si>
    <t xml:space="preserve">Tie in Connections with Existing Pump Room</t>
  </si>
  <si>
    <t xml:space="preserve">Testing &amp; Commissioning-TSE TanK-01</t>
  </si>
  <si>
    <t xml:space="preserve">QCD18TSECONTCT12050</t>
  </si>
  <si>
    <t xml:space="preserve">CONSTRUCTION / Testing &amp; Commissioning</t>
  </si>
  <si>
    <t xml:space="preserve">Testing &amp; Commissioning-TSE TanK-02</t>
  </si>
  <si>
    <t xml:space="preserve">QCD18TSECONTCT22030</t>
  </si>
  <si>
    <t xml:space="preserve">Completion of TSE Tank - 01</t>
  </si>
  <si>
    <t xml:space="preserve">QCD18TSEOMS1040</t>
  </si>
  <si>
    <t xml:space="preserve">Completion of TSE Tank - 02</t>
  </si>
  <si>
    <t xml:space="preserve">QCD18TSEOMS1050</t>
  </si>
  <si>
    <t xml:space="preserve">Demobilization of Manpower, Equipment &amp; Temporary Facilities</t>
  </si>
  <si>
    <t xml:space="preserve">DEMOBILIZATION &amp; CLOSEOUT / Manpower, Equipment &amp; Temp. Facilities</t>
  </si>
  <si>
    <t xml:space="preserve">As Built Drawing &amp; Closeout documents</t>
  </si>
  <si>
    <t xml:space="preserve">DEMOBILIZATION &amp; CLOSEOUT / Closeout</t>
  </si>
  <si>
    <t xml:space="preserve">Project Finish</t>
  </si>
  <si>
    <t xml:space="preserve">QCD18TSEMS1010</t>
  </si>
  <si>
    <t xml:space="preserve">Total cost loaded</t>
  </si>
  <si>
    <t xml:space="preserve">Equals the Contractor's proposal of SAR 8,110,296.62 including Overhead and Profit</t>
  </si>
  <si>
    <t xml:space="preserve">SUPERSEDED PROPOSAL - REFERENCE ONLY</t>
  </si>
  <si>
    <t xml:space="preserve">Contractor's earlier proposal for 3 No. GRP tanks of 3,000 m3 each - SAR 9,149,460.00 excluding VAT</t>
  </si>
  <si>
    <t xml:space="preserve">Contractor: SAMA Construction   |   Superseded by the revised proposal SAMACO-RRFP-000001 dated 13-Aug-2026</t>
  </si>
  <si>
    <t xml:space="preserve">Reproduced as submitted for reference. The Engineer's RFP-027 dated 28-Jun-2026 changed the scheme to 2 No. tanks of 4,080 m3 on the existing foundations, and the revised proposal replaced this one. It is not assessed.</t>
  </si>
  <si>
    <t xml:space="preserve">CONTRACTOR PROPOSAL (SAMA CONSTRUCTION)</t>
  </si>
  <si>
    <t xml:space="preserve">Remarks</t>
  </si>
  <si>
    <t xml:space="preserve">PRELIMINARY WORK</t>
  </si>
  <si>
    <t xml:space="preserve">Site Mobilization &amp; Demobilization Works
Site Mobilization and Demobilization of Site temporary Facilities, Welfare, Personnel, Equipment, and Resources</t>
  </si>
  <si>
    <t xml:space="preserve">Site Mobilization &amp; Demobilization Works
Performing the complete design and engineering for GRP water tanks, including tank sizing, structural analysis, panel arrangement, foundation reaction loads, nozzle orientation, accessories layout, shop drawings, technical submittals and method statments in accordance with project specifications and applicable standards.</t>
  </si>
  <si>
    <t xml:space="preserve">SURVEY WORKS</t>
  </si>
  <si>
    <t xml:space="preserve">Topographic survey
The topographic survey includes the location, dimensions and characterization of natural and man-made elements within and around the 3rd tank area, for detailed work shall based on topographic specification</t>
  </si>
  <si>
    <t xml:space="preserve">Geotechnical survey
Carrying out the Geotechnical Investigation in accordance with QIC requirements and SBC 303 (2018), including boreholes up to 15 m depth or 3 m into competent rock, or until refusal strata (SPT N &gt;100) is encountered (If required). The investigation shall include the required field and laboratory testing to determine soil characteristics, groundwater conditions, safe bearing capacity (SBC), settlement, and foundation recommendations for the proposed GRP water tank foundation. Testing shall include, but not be limited to, SPT, soil classification, compaction, shear strength, consolidation, chemical analysis, and rock assessment where applicable. The Geotechnical Report shall include foundation recommendations, allowable bearing capacity, settlement analysis, pile capacity assessment (if required), and all relevant geotechnical design parameters in compliance with QIC requirements and SBC 303 (2018). Trial pits shall be carried out where undisturbed sampling is not achievable, with pit depth extending at least to the proposed foundation level.</t>
  </si>
  <si>
    <t xml:space="preserve">EARTHWORKS</t>
  </si>
  <si>
    <t xml:space="preserve">Site clearance with compaction
Stripping and grubbing of top soil layer including bushes, grass, and/or contamination, grading and compaction for subsequent work, disposal of soil and vegetation to the designated area, inspections and Compaction tests.</t>
  </si>
  <si>
    <t xml:space="preserve">m²</t>
  </si>
  <si>
    <t xml:space="preserve">Excavation
Excavation of normal soil for general excavation, loading and transportation of excavated soil to the designated stockpile area for future re-use or directly to the backfill area within the site, protection of excavated area from debris, water, and other unsuitable material, provision of protective system for excavation slope if applicable</t>
  </si>
  <si>
    <t xml:space="preserve">m³</t>
  </si>
  <si>
    <t xml:space="preserve">Soil Replacement
Supply, placement, and compaction of approved replacement/backfill material in layers to achieve the specified density requirements. Preparation of existing ground, including scarification and compaction prior to backfilling works. Moisture conditioning, grading, and leveling of the backfilled area to the required levels. Disposal of unsuitable/excess materials at approved designated areas. Carrying out all required inspections, field tests, laboratory tests, and quality control procedures in accordance with project specifications.</t>
  </si>
  <si>
    <t xml:space="preserve">CONCRETE WORKS / REINFORCEMENT STEEL (SE)</t>
  </si>
  <si>
    <t xml:space="preserve">Lean concrete (Sulphate Resistant Cement)
Supply and placement of lean concrete including surface finishing works such as troweling, floating, edging, and brooming as required, including all necessary inspections and testing.</t>
  </si>
  <si>
    <t xml:space="preserve">Concrete for foundation
Supply and placement of reinforced concrete (RC) including concrete consolidation by vibrator, provision and installation of spacers, chamfers, and all miscellaneous items as indicated on drawings, preparation of construction joints by chipping and roughening existing concrete surfaces, surface finishing works including troweling, floating, edging, brooming, concrete curing using water or approved curing compounds including supply of curing and insulation materials such as wet blankets, hessian fabric, and curing tarpaulins, removal of concrete laitance, filling of form-tie holes with cement mortar of equivalent strength, surface preparation and moisture testing for protective coating application, including all required inspections and testing.</t>
  </si>
  <si>
    <t xml:space="preserve">Waterproofing membrane at the bottom of foundation
Surface preparation of blinding concrete and supply, installation, protection, and sealing of waterproofing membrane system at bottom of foundation slabs for water-retaining structures, including all laps, joints, terminations, accessories, and related works to ensure full watertight integrity in accordance with approved drawings, project specifications, and manufacturer's recommendations; rectification of defects, protection layers, temporary works, handling, storage, and all inspections and testing necessary for complete execution, all complete as per unit rate.</t>
  </si>
  <si>
    <t xml:space="preserve">Epoxy paint
Epoxy paint above the foundations</t>
  </si>
  <si>
    <t xml:space="preserve">GRP Tanks
Supply, fabrication, delivery, installation, of 3,000 m³ sectional GRP panel water tank without heat insulation, with internal partition, overall tank size 30m (15m+15m) × 25m × 4m, manufactured in accordance with Korean Agency for Technology and Standards and Saudi Standards, Metrology and Quality Organization requirements, produced by MNT National Factory for Fiberglass, including all internal accessories, bolts, nuts, washers and tie rods in stainless steel grade 316, all external accessories, bolts, nuts and washers hot dip galvanized (HDG), water level indicator tube, non-toxic leak sealant, UPVC screened air vent, lockable GRP manhole, internal GRP ladder, external HDG ladder, UPVC roof panel supports, all required openings for inlet, outlet, overflow and drain connections, complete with HDG steel skid base and all necessary fittings, supports and accessories for complete operational system as per approved drawings and specifications.</t>
  </si>
  <si>
    <t xml:space="preserve">GRP Tanks testing and commissioning
Testing, flushing, disinfection and commissioning of GRP water tanks including hydrostatic/watertightness testing, inspection of all panels, joints, sealants, fittings and accessories, checking of inlet, outlet, overflow and drain connections, verification of water level indicators and appurtenances, rectification of leakage if any, complete cleaning and sterilization of tank in accordance with approved specifications and authority requirements, and handing over the system in complete operational condition.</t>
  </si>
  <si>
    <t xml:space="preserve">Piping Connections
Supply, fabrication, installation, testing and commissioning of all required piping connections for GRP water tanks including inlet, outlet, overflow, drain and interconnection piping, fittings, flanges, valves, flexible joints, supports, sleeves, accessories and connection to existing/new piping network, complete with sealing, alignment, pressure testing and all necessary works as per approved drawings and specifications.</t>
  </si>
  <si>
    <t xml:space="preserve">TOTAL (SAR) - VAT excluded</t>
  </si>
  <si>
    <t xml:space="preserve">DATA - MASTER LISTS</t>
  </si>
  <si>
    <t xml:space="preserve">Basis of Rate</t>
  </si>
  <si>
    <t xml:space="preserve">Assessment Outcome</t>
  </si>
  <si>
    <t xml:space="preserve">Contractual Basis</t>
  </si>
  <si>
    <t xml:space="preserve">Submission Type</t>
  </si>
  <si>
    <t xml:space="preserve">Revision Type</t>
  </si>
  <si>
    <t xml:space="preserve">Submitted</t>
  </si>
  <si>
    <t xml:space="preserve">BOQ Identical</t>
  </si>
  <si>
    <t xml:space="preserve">Accepted</t>
  </si>
  <si>
    <t xml:space="preserve">BOQ Item</t>
  </si>
  <si>
    <t xml:space="preserve">Initial Submission</t>
  </si>
  <si>
    <t xml:space="preserve">Rate Change</t>
  </si>
  <si>
    <t xml:space="preserve">Under Review</t>
  </si>
  <si>
    <t xml:space="preserve">BOQ Similar</t>
  </si>
  <si>
    <t xml:space="preserve">Not Accepted</t>
  </si>
  <si>
    <t xml:space="preserve">Contract Clause</t>
  </si>
  <si>
    <t xml:space="preserve">Revised Submission</t>
  </si>
  <si>
    <t xml:space="preserve">Quantity Change</t>
  </si>
  <si>
    <t xml:space="preserve">Query Raised</t>
  </si>
  <si>
    <t xml:space="preserve">Pro Rata</t>
  </si>
  <si>
    <t xml:space="preserve">Accepted with Qualification</t>
  </si>
  <si>
    <t xml:space="preserve">Specification Section</t>
  </si>
  <si>
    <t xml:space="preserve">Final Submission</t>
  </si>
  <si>
    <t xml:space="preserve">Scope Change</t>
  </si>
  <si>
    <t xml:space="preserve">Substantiation Required</t>
  </si>
  <si>
    <t xml:space="preserve">CESMM4 Class/Rule</t>
  </si>
  <si>
    <t xml:space="preserve">Formal Claim</t>
  </si>
  <si>
    <t xml:space="preserve">Unit Change</t>
  </si>
  <si>
    <t xml:space="preserve">Deferred</t>
  </si>
  <si>
    <t xml:space="preserve">NRM Rule</t>
  </si>
  <si>
    <t xml:space="preserve">Budget Estimate</t>
  </si>
  <si>
    <t xml:space="preserve">Description Change</t>
  </si>
  <si>
    <t xml:space="preserve">Agreed</t>
  </si>
  <si>
    <t xml:space="preserve">Dayworks</t>
  </si>
  <si>
    <t xml:space="preserve">Instruction Reference</t>
  </si>
  <si>
    <t xml:space="preserve">Cost Proposal</t>
  </si>
  <si>
    <t xml:space="preserve">New Item Added</t>
  </si>
  <si>
    <t xml:space="preserve">Not Agreed</t>
  </si>
  <si>
    <t xml:space="preserve">Provisional Sum</t>
  </si>
  <si>
    <t xml:space="preserve">Correspondence</t>
  </si>
  <si>
    <t xml:space="preserve">Item Omitted</t>
  </si>
  <si>
    <t xml:space="preserve">Included in Valuation</t>
  </si>
  <si>
    <t xml:space="preserve">Lump Sum</t>
  </si>
  <si>
    <t xml:space="preserve">Drawing Reference</t>
  </si>
  <si>
    <t xml:space="preserve">No Change</t>
  </si>
  <si>
    <t xml:space="preserve">Excluded</t>
  </si>
  <si>
    <t xml:space="preserve">Not Yet Determined</t>
  </si>
  <si>
    <t xml:space="preserve">Supplier Quotation</t>
  </si>
  <si>
    <t xml:space="preserve">Closed</t>
  </si>
  <si>
    <t xml:space="preserve">Provisional</t>
  </si>
</sst>
</file>

<file path=xl/styles.xml><?xml version="1.0" encoding="utf-8"?>
<styleSheet xmlns="http://schemas.openxmlformats.org/spreadsheetml/2006/main">
  <numFmts count="9">
    <numFmt numFmtId="164" formatCode="General"/>
    <numFmt numFmtId="165" formatCode="#,##0.00"/>
    <numFmt numFmtId="166" formatCode="0.0%"/>
    <numFmt numFmtId="167" formatCode="#,##0"/>
    <numFmt numFmtId="168" formatCode="dd\-mmm\-yyyy"/>
    <numFmt numFmtId="169" formatCode="0.0"/>
    <numFmt numFmtId="170" formatCode="#,##0.0"/>
    <numFmt numFmtId="171" formatCode="#,##0.00;\-#,##0.00"/>
    <numFmt numFmtId="172" formatCode="#,##0.00;\(#,##0.00\);\-"/>
  </numFmts>
  <fonts count="22">
    <font>
      <sz val="11"/>
      <color theme="1"/>
      <name val="Calibri"/>
      <family val="2"/>
      <charset val="1"/>
    </font>
    <font>
      <sz val="10"/>
      <name val="Arial"/>
      <family val="0"/>
    </font>
    <font>
      <sz val="10"/>
      <name val="Arial"/>
      <family val="0"/>
    </font>
    <font>
      <sz val="10"/>
      <name val="Arial"/>
      <family val="0"/>
    </font>
    <font>
      <b val="true"/>
      <sz val="13"/>
      <color rgb="FF000000"/>
      <name val="PT Sans"/>
      <family val="0"/>
      <charset val="1"/>
    </font>
    <font>
      <b val="true"/>
      <sz val="13"/>
      <color rgb="FF0045BF"/>
      <name val="PT Sans"/>
      <family val="0"/>
      <charset val="1"/>
    </font>
    <font>
      <b val="true"/>
      <sz val="11"/>
      <color rgb="FF0045BF"/>
      <name val="PT Sans"/>
      <family val="0"/>
      <charset val="1"/>
    </font>
    <font>
      <b val="true"/>
      <sz val="10"/>
      <color rgb="FF000000"/>
      <name val="PT Sans"/>
      <family val="0"/>
      <charset val="1"/>
    </font>
    <font>
      <b val="true"/>
      <sz val="10"/>
      <color rgb="FFFFFFFF"/>
      <name val="PT Sans"/>
      <family val="0"/>
      <charset val="1"/>
    </font>
    <font>
      <b val="true"/>
      <sz val="10"/>
      <color rgb="FF0045BF"/>
      <name val="PT Sans"/>
      <family val="0"/>
      <charset val="1"/>
    </font>
    <font>
      <b val="true"/>
      <sz val="22"/>
      <color rgb="FF000000"/>
      <name val="PT Sans"/>
      <family val="0"/>
      <charset val="1"/>
    </font>
    <font>
      <i val="true"/>
      <sz val="10"/>
      <color rgb="FF0045BF"/>
      <name val="PT Sans"/>
      <family val="0"/>
      <charset val="1"/>
    </font>
    <font>
      <sz val="10"/>
      <color rgb="FF000000"/>
      <name val="PT Sans"/>
      <family val="0"/>
      <charset val="1"/>
    </font>
    <font>
      <b val="true"/>
      <i val="true"/>
      <sz val="10"/>
      <color rgb="FF0045BF"/>
      <name val="PT Sans"/>
      <family val="0"/>
      <charset val="1"/>
    </font>
    <font>
      <i val="true"/>
      <sz val="10"/>
      <color rgb="FF000000"/>
      <name val="PT Sans"/>
      <family val="0"/>
      <charset val="1"/>
    </font>
    <font>
      <b val="true"/>
      <sz val="18"/>
      <color rgb="FF000000"/>
      <name val="PT Sans"/>
      <family val="0"/>
      <charset val="1"/>
    </font>
    <font>
      <i val="true"/>
      <sz val="9"/>
      <color rgb="FF000000"/>
      <name val="PT Sans"/>
      <family val="0"/>
      <charset val="1"/>
    </font>
    <font>
      <b val="true"/>
      <sz val="11"/>
      <color rgb="FFFFFFFF"/>
      <name val="PT Sans"/>
      <family val="0"/>
      <charset val="1"/>
    </font>
    <font>
      <b val="true"/>
      <sz val="9"/>
      <color rgb="FF000000"/>
      <name val="PT Sans"/>
      <family val="0"/>
      <charset val="1"/>
    </font>
    <font>
      <b val="true"/>
      <sz val="9"/>
      <color rgb="FF0045BF"/>
      <name val="PT Sans"/>
      <family val="0"/>
      <charset val="1"/>
    </font>
    <font>
      <sz val="9"/>
      <color rgb="FF000000"/>
      <name val="PT Sans"/>
      <family val="0"/>
      <charset val="1"/>
    </font>
    <font>
      <i val="true"/>
      <sz val="9"/>
      <color rgb="FF0045BF"/>
      <name val="PT Sans"/>
      <family val="0"/>
      <charset val="1"/>
    </font>
  </fonts>
  <fills count="4">
    <fill>
      <patternFill patternType="none"/>
    </fill>
    <fill>
      <patternFill patternType="gray125"/>
    </fill>
    <fill>
      <patternFill patternType="solid">
        <fgColor rgb="FF0045BF"/>
        <bgColor rgb="FF003366"/>
      </patternFill>
    </fill>
    <fill>
      <patternFill patternType="solid">
        <fgColor rgb="FFEDF0F2"/>
        <bgColor rgb="FFFFFFFF"/>
      </patternFill>
    </fill>
  </fills>
  <borders count="18">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top/>
      <bottom style="medium">
        <color rgb="FF0045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FFC425"/>
      </left>
      <right style="medium">
        <color rgb="FFFFC425"/>
      </right>
      <top style="medium">
        <color rgb="FFFFC425"/>
      </top>
      <bottom style="thin">
        <color rgb="FFFFFFFF"/>
      </bottom>
      <diagonal/>
    </border>
    <border diagonalUp="false" diagonalDown="false">
      <left/>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medium">
        <color rgb="FFFFC425"/>
      </left>
      <right style="medium">
        <color rgb="FFFFC425"/>
      </right>
      <top style="thin">
        <color rgb="FFD9D9D9"/>
      </top>
      <bottom style="thin">
        <color rgb="FFD9D9D9"/>
      </bottom>
      <diagonal/>
    </border>
    <border diagonalUp="false" diagonalDown="false">
      <left/>
      <right/>
      <top style="medium">
        <color rgb="FF0045BF"/>
      </top>
      <bottom style="thin">
        <color rgb="FFD9D9D9"/>
      </bottom>
      <diagonal/>
    </border>
    <border diagonalUp="false" diagonalDown="false">
      <left style="medium">
        <color rgb="FFFFC425"/>
      </left>
      <right style="medium">
        <color rgb="FFFFC425"/>
      </right>
      <top style="medium">
        <color rgb="FF0045BF"/>
      </top>
      <bottom style="thin">
        <color rgb="FFD9D9D9"/>
      </bottom>
      <diagonal/>
    </border>
    <border diagonalUp="false" diagonalDown="false">
      <left style="medium">
        <color rgb="FFFFC425"/>
      </left>
      <right style="medium">
        <color rgb="FFFFC425"/>
      </right>
      <top/>
      <bottom/>
      <diagonal/>
    </border>
    <border diagonalUp="false" diagonalDown="false">
      <left style="medium">
        <color rgb="FFFFC425"/>
      </left>
      <right style="medium">
        <color rgb="FFFFC425"/>
      </right>
      <top style="medium">
        <color rgb="FF0045BF"/>
      </top>
      <bottom style="medium">
        <color rgb="FFFFC425"/>
      </bottom>
      <diagonal/>
    </border>
    <border diagonalUp="false" diagonalDown="false">
      <left/>
      <right/>
      <top/>
      <bottom style="thin">
        <color rgb="FFD9D9D9"/>
      </bottom>
      <diagonal/>
    </border>
    <border diagonalUp="false" diagonalDown="false">
      <left style="thin">
        <color rgb="FFFFFFFF"/>
      </left>
      <right style="thin">
        <color rgb="FFFFFFFF"/>
      </right>
      <top style="thin">
        <color rgb="FFD9D9D9"/>
      </top>
      <bottom style="thin">
        <color rgb="FFD9D9D9"/>
      </bottom>
      <diagonal/>
    </border>
    <border diagonalUp="false" diagonalDown="false">
      <left style="medium">
        <color rgb="FFFFC425"/>
      </left>
      <right style="medium">
        <color rgb="FFFFC425"/>
      </right>
      <top style="thin">
        <color rgb="FFFFFFFF"/>
      </top>
      <bottom style="thin">
        <color rgb="FFFFFFFF"/>
      </bottom>
      <diagonal/>
    </border>
    <border diagonalUp="false" diagonalDown="false">
      <left style="thin">
        <color rgb="FFD9D9D9"/>
      </left>
      <right/>
      <top style="thin">
        <color rgb="FFD9D9D9"/>
      </top>
      <bottom style="thin">
        <color rgb="FFD9D9D9"/>
      </bottom>
      <diagonal/>
    </border>
    <border diagonalUp="false" diagonalDown="false">
      <left/>
      <right style="thin">
        <color rgb="FFD9D9D9"/>
      </right>
      <top style="thin">
        <color rgb="FFD9D9D9"/>
      </top>
      <bottom style="thin">
        <color rgb="FFD9D9D9"/>
      </bottom>
      <diagonal/>
    </border>
    <border diagonalUp="false" diagonalDown="false">
      <left style="thin">
        <color rgb="FFD9D9D9"/>
      </left>
      <right style="thin">
        <color rgb="FFD9D9D9"/>
      </right>
      <top style="medium">
        <color rgb="FF0045BF"/>
      </top>
      <bottom style="medium">
        <color rgb="FF0045BF"/>
      </bottom>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true" applyAlignment="true" applyProtection="true">
      <alignment horizontal="left" vertical="top" textRotation="0" wrapText="false" indent="0" shrinkToFit="false"/>
      <protection locked="true" hidden="false"/>
    </xf>
    <xf numFmtId="164" fontId="8" fillId="2" borderId="1" applyFont="true" applyBorder="true" applyAlignment="true" applyProtection="true">
      <alignment horizontal="center" vertical="center" textRotation="0" wrapText="true" indent="0" shrinkToFit="false"/>
      <protection locked="true" hidden="false"/>
    </xf>
    <xf numFmtId="164" fontId="9" fillId="0" borderId="2" applyFont="true" applyBorder="true" applyAlignment="true" applyProtection="true">
      <alignment horizontal="center" vertical="center" textRotation="0" wrapText="true" indent="0" shrinkToFit="false"/>
      <protection locked="true" hidden="false"/>
    </xf>
    <xf numFmtId="164" fontId="9" fillId="3" borderId="3" applyFont="true" applyBorder="true" applyAlignment="true" applyProtection="true">
      <alignment horizontal="center" vertical="center" textRotation="0" wrapText="tru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2" fillId="3" borderId="3"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3" borderId="3"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6" fillId="3" borderId="5" xfId="0" applyFont="true" applyBorder="true" applyAlignment="true" applyProtection="false">
      <alignment horizontal="general"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false" indent="0" shrinkToFit="false"/>
      <protection locked="true" hidden="false"/>
    </xf>
    <xf numFmtId="164" fontId="12" fillId="3" borderId="6" xfId="0" applyFont="true" applyBorder="true" applyAlignment="true" applyProtection="false">
      <alignment horizontal="general" vertical="center" textRotation="0" wrapText="true" indent="0" shrinkToFit="false"/>
      <protection locked="true" hidden="false"/>
    </xf>
    <xf numFmtId="165" fontId="12" fillId="0" borderId="6" xfId="0" applyFont="true" applyBorder="true" applyAlignment="true" applyProtection="false">
      <alignment horizontal="right" vertical="center" textRotation="0" wrapText="false" indent="0" shrinkToFit="false"/>
      <protection locked="true" hidden="false"/>
    </xf>
    <xf numFmtId="164" fontId="12" fillId="0" borderId="6" xfId="0" applyFont="true" applyBorder="true" applyAlignment="true" applyProtection="false">
      <alignment horizontal="general" vertical="center" textRotation="0" wrapText="true" indent="0" shrinkToFit="false"/>
      <protection locked="true" hidden="false"/>
    </xf>
    <xf numFmtId="165" fontId="12" fillId="0" borderId="7" xfId="0" applyFont="true" applyBorder="true" applyAlignment="true" applyProtection="false">
      <alignment horizontal="right"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6" fontId="12" fillId="0" borderId="6" xfId="0" applyFont="true" applyBorder="true" applyAlignment="true" applyProtection="false">
      <alignment horizontal="right" vertical="center" textRotation="0" wrapText="false" indent="0" shrinkToFit="false"/>
      <protection locked="true" hidden="false"/>
    </xf>
    <xf numFmtId="164" fontId="7" fillId="3" borderId="8" xfId="0" applyFont="true" applyBorder="true" applyAlignment="true" applyProtection="false">
      <alignment horizontal="general" vertical="center" textRotation="0" wrapText="false" indent="0" shrinkToFit="false"/>
      <protection locked="true" hidden="false"/>
    </xf>
    <xf numFmtId="165" fontId="7" fillId="3" borderId="8" xfId="0" applyFont="true" applyBorder="true" applyAlignment="true" applyProtection="false">
      <alignment horizontal="general" vertical="center" textRotation="0" wrapText="false" indent="0" shrinkToFit="false"/>
      <protection locked="true" hidden="false"/>
    </xf>
    <xf numFmtId="165" fontId="7" fillId="3" borderId="9" xfId="0" applyFont="true" applyBorder="true" applyAlignment="true" applyProtection="false">
      <alignment horizontal="general" vertical="center" textRotation="0" wrapText="false" indent="0" shrinkToFit="false"/>
      <protection locked="true" hidden="false"/>
    </xf>
    <xf numFmtId="166" fontId="7" fillId="3" borderId="8"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5" fontId="12" fillId="3" borderId="0" xfId="0" applyFont="true" applyBorder="false" applyAlignment="true" applyProtection="false">
      <alignment horizontal="general" vertical="center" textRotation="0" wrapText="false" indent="0" shrinkToFit="false"/>
      <protection locked="true" hidden="false"/>
    </xf>
    <xf numFmtId="165" fontId="12" fillId="3" borderId="10" xfId="0" applyFont="true" applyBorder="true" applyAlignment="true" applyProtection="false">
      <alignment horizontal="general" vertical="center" textRotation="0" wrapText="false" indent="0" shrinkToFit="false"/>
      <protection locked="true" hidden="false"/>
    </xf>
    <xf numFmtId="164" fontId="16" fillId="3" borderId="0" xfId="0" applyFont="true" applyBorder="false" applyAlignment="true" applyProtection="false">
      <alignment horizontal="general" vertical="center" textRotation="0" wrapText="true" indent="0" shrinkToFit="false"/>
      <protection locked="true" hidden="false"/>
    </xf>
    <xf numFmtId="166" fontId="12" fillId="3" borderId="0" xfId="0" applyFont="true" applyBorder="false" applyAlignment="true" applyProtection="false">
      <alignment horizontal="general" vertical="center" textRotation="0" wrapText="false" indent="0" shrinkToFit="false"/>
      <protection locked="true" hidden="false"/>
    </xf>
    <xf numFmtId="165" fontId="7" fillId="3" borderId="11" xfId="0" applyFont="true" applyBorder="true" applyAlignment="true" applyProtection="false">
      <alignment horizontal="general" vertical="center" textRotation="0" wrapText="fals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general" vertical="center" textRotation="0" wrapText="false" indent="0" shrinkToFit="false"/>
      <protection locked="true" hidden="false"/>
    </xf>
    <xf numFmtId="165" fontId="7" fillId="0" borderId="8"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5" fontId="19" fillId="0" borderId="0" xfId="0" applyFont="true" applyBorder="false" applyAlignment="true" applyProtection="false">
      <alignment horizontal="general"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false" indent="0" shrinkToFit="false"/>
      <protection locked="true" hidden="false"/>
    </xf>
    <xf numFmtId="164" fontId="7" fillId="3" borderId="12" xfId="0" applyFont="true" applyBorder="true" applyAlignment="true" applyProtection="false">
      <alignment horizontal="general" vertical="center" textRotation="0" wrapText="false" indent="0" shrinkToFit="false"/>
      <protection locked="true" hidden="false"/>
    </xf>
    <xf numFmtId="165" fontId="7" fillId="0" borderId="12"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8" fillId="2" borderId="13" xfId="0" applyFont="true" applyBorder="true" applyAlignment="true" applyProtection="false">
      <alignment horizontal="center" vertical="center" textRotation="0" wrapText="true" indent="0" shrinkToFit="false"/>
      <protection locked="true" hidden="false"/>
    </xf>
    <xf numFmtId="164" fontId="8" fillId="2" borderId="14" xfId="0" applyFont="true" applyBorder="true" applyAlignment="true" applyProtection="false">
      <alignment horizontal="center" vertical="center" textRotation="0" wrapText="true" indent="0" shrinkToFit="false"/>
      <protection locked="true" hidden="false"/>
    </xf>
    <xf numFmtId="164" fontId="12" fillId="3" borderId="6" xfId="0" applyFont="true" applyBorder="true" applyAlignment="true" applyProtection="false">
      <alignment horizontal="left" vertical="center" textRotation="0" wrapText="true" indent="0" shrinkToFit="false"/>
      <protection locked="true" hidden="false"/>
    </xf>
    <xf numFmtId="164" fontId="7" fillId="3" borderId="8"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6" fontId="12" fillId="0" borderId="6" xfId="0" applyFont="true" applyBorder="true" applyAlignment="true" applyProtection="false">
      <alignment horizontal="center" vertical="center" textRotation="0" wrapText="false" indent="0" shrinkToFit="false"/>
      <protection locked="true" hidden="false"/>
    </xf>
    <xf numFmtId="164" fontId="16" fillId="3" borderId="8" xfId="0" applyFont="true" applyBorder="true" applyAlignment="true" applyProtection="false">
      <alignment horizontal="general" vertical="center" textRotation="0" wrapText="true" indent="0" shrinkToFit="false"/>
      <protection locked="true" hidden="false"/>
    </xf>
    <xf numFmtId="164" fontId="12" fillId="0" borderId="6" xfId="0" applyFont="true" applyBorder="true" applyAlignment="true" applyProtection="false">
      <alignment horizontal="left" vertical="center" textRotation="0" wrapText="true" indent="0" shrinkToFit="false"/>
      <protection locked="true" hidden="false"/>
    </xf>
    <xf numFmtId="164" fontId="12" fillId="0" borderId="15" xfId="0" applyFont="true" applyBorder="true" applyAlignment="true" applyProtection="false">
      <alignment horizontal="left" vertical="center" textRotation="0" wrapText="true" indent="0" shrinkToFit="false"/>
      <protection locked="true" hidden="false"/>
    </xf>
    <xf numFmtId="164" fontId="12" fillId="0" borderId="5" xfId="0" applyFont="true" applyBorder="true" applyAlignment="true" applyProtection="false">
      <alignment horizontal="left" vertical="center" textRotation="0" wrapText="true" indent="0" shrinkToFit="false"/>
      <protection locked="true" hidden="false"/>
    </xf>
    <xf numFmtId="164" fontId="12" fillId="0" borderId="16"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7" fontId="12" fillId="0" borderId="6" xfId="0" applyFont="true" applyBorder="true" applyAlignment="true" applyProtection="false">
      <alignment horizontal="right" vertical="center" textRotation="0" wrapText="false" indent="0" shrinkToFit="false"/>
      <protection locked="true" hidden="false"/>
    </xf>
    <xf numFmtId="167" fontId="7" fillId="3" borderId="8" xfId="0" applyFont="true" applyBorder="true" applyAlignment="true" applyProtection="false">
      <alignment horizontal="general" vertical="center" textRotation="0" wrapText="false" indent="0" shrinkToFit="false"/>
      <protection locked="true" hidden="false"/>
    </xf>
    <xf numFmtId="168" fontId="12" fillId="0" borderId="6" xfId="0" applyFont="true" applyBorder="true" applyAlignment="true" applyProtection="false">
      <alignment horizontal="left" vertical="center" textRotation="0" wrapText="true" indent="0" shrinkToFit="false"/>
      <protection locked="true" hidden="false"/>
    </xf>
    <xf numFmtId="169" fontId="12" fillId="0" borderId="6" xfId="0" applyFont="true" applyBorder="true" applyAlignment="true" applyProtection="false">
      <alignment horizontal="left" vertical="center" textRotation="0" wrapText="true" indent="0" shrinkToFit="false"/>
      <protection locked="true" hidden="false"/>
    </xf>
    <xf numFmtId="168" fontId="12" fillId="0" borderId="6" xfId="0" applyFont="true" applyBorder="true" applyAlignment="true" applyProtection="false">
      <alignment horizontal="center" vertical="center" textRotation="0" wrapText="false" indent="0" shrinkToFit="false"/>
      <protection locked="true" hidden="false"/>
    </xf>
    <xf numFmtId="167" fontId="12" fillId="0" borderId="6" xfId="0" applyFont="true" applyBorder="true" applyAlignment="true" applyProtection="false">
      <alignment horizontal="center" vertical="center" textRotation="0" wrapText="false" indent="0" shrinkToFit="false"/>
      <protection locked="true" hidden="false"/>
    </xf>
    <xf numFmtId="165" fontId="12" fillId="0" borderId="6" xfId="0" applyFont="true" applyBorder="true" applyAlignment="true" applyProtection="false">
      <alignment horizontal="center" vertical="center" textRotation="0" wrapText="false" indent="0" shrinkToFit="false"/>
      <protection locked="true" hidden="false"/>
    </xf>
    <xf numFmtId="170" fontId="12" fillId="0" borderId="6" xfId="0" applyFont="true" applyBorder="true" applyAlignment="true" applyProtection="false">
      <alignment horizontal="right" vertical="center" textRotation="0" wrapText="false" indent="0" shrinkToFit="false"/>
      <protection locked="true" hidden="false"/>
    </xf>
    <xf numFmtId="167" fontId="7" fillId="0" borderId="8" xfId="0" applyFont="true" applyBorder="true" applyAlignment="true" applyProtection="false">
      <alignment horizontal="general" vertical="center" textRotation="0" wrapText="false" indent="0" shrinkToFit="false"/>
      <protection locked="true" hidden="false"/>
    </xf>
    <xf numFmtId="170" fontId="7" fillId="0" borderId="8" xfId="0" applyFont="true" applyBorder="true" applyAlignment="true" applyProtection="false">
      <alignment horizontal="general" vertical="center" textRotation="0" wrapText="false" indent="0" shrinkToFit="false"/>
      <protection locked="true" hidden="false"/>
    </xf>
    <xf numFmtId="169" fontId="12" fillId="0" borderId="6" xfId="0" applyFont="true" applyBorder="true" applyAlignment="true" applyProtection="false">
      <alignment horizontal="right" vertical="center" textRotation="0" wrapText="false" indent="0" shrinkToFit="false"/>
      <protection locked="true" hidden="false"/>
    </xf>
    <xf numFmtId="169" fontId="12" fillId="0" borderId="7" xfId="0" applyFont="true" applyBorder="true" applyAlignment="true" applyProtection="false">
      <alignment horizontal="right" vertical="center" textRotation="0" wrapText="false" indent="0" shrinkToFit="false"/>
      <protection locked="true" hidden="false"/>
    </xf>
    <xf numFmtId="171" fontId="12" fillId="0" borderId="6" xfId="0" applyFont="true" applyBorder="true" applyAlignment="true" applyProtection="false">
      <alignment horizontal="right" vertical="center" textRotation="0" wrapText="false" indent="0" shrinkToFit="false"/>
      <protection locked="true" hidden="false"/>
    </xf>
    <xf numFmtId="164" fontId="12" fillId="0" borderId="6"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0" fillId="0" borderId="6" xfId="0" applyFont="false" applyBorder="true" applyAlignment="true" applyProtection="false">
      <alignment horizontal="center" vertical="top" textRotation="0" wrapText="false" indent="0" shrinkToFit="false"/>
      <protection locked="true" hidden="false"/>
    </xf>
    <xf numFmtId="164" fontId="0" fillId="3" borderId="6" xfId="0" applyFont="true" applyBorder="true" applyAlignment="true" applyProtection="false">
      <alignment horizontal="left" vertical="top" textRotation="0" wrapText="true" indent="0" shrinkToFit="false"/>
      <protection locked="true" hidden="false"/>
    </xf>
    <xf numFmtId="165" fontId="0" fillId="0" borderId="6" xfId="0" applyFont="false" applyBorder="true" applyAlignment="true" applyProtection="false">
      <alignment horizontal="right" vertical="top" textRotation="0" wrapText="false" indent="0" shrinkToFit="false"/>
      <protection locked="true" hidden="false"/>
    </xf>
    <xf numFmtId="172" fontId="0" fillId="0" borderId="6" xfId="0" applyFont="false" applyBorder="true" applyAlignment="true" applyProtection="false">
      <alignment horizontal="right" vertical="top" textRotation="0" wrapText="false" indent="0" shrinkToFit="false"/>
      <protection locked="true" hidden="false"/>
    </xf>
    <xf numFmtId="164" fontId="0" fillId="0" borderId="6" xfId="0" applyFont="false" applyBorder="true" applyAlignment="true" applyProtection="false">
      <alignment horizontal="left" vertical="top" textRotation="0" wrapText="true" indent="0" shrinkToFit="false"/>
      <protection locked="true" hidden="false"/>
    </xf>
    <xf numFmtId="164" fontId="7" fillId="3" borderId="17" xfId="0" applyFont="true" applyBorder="true" applyAlignment="false" applyProtection="false">
      <alignment horizontal="general" vertical="bottom" textRotation="0" wrapText="false" indent="0" shrinkToFit="false"/>
      <protection locked="true" hidden="false"/>
    </xf>
    <xf numFmtId="164" fontId="7" fillId="3" borderId="17" xfId="0" applyFont="true" applyBorder="true" applyAlignment="true" applyProtection="false">
      <alignment horizontal="left" vertical="center" textRotation="0" wrapText="false" indent="0" shrinkToFit="false"/>
      <protection locked="true" hidden="false"/>
    </xf>
    <xf numFmtId="172" fontId="7" fillId="3" borderId="17" xfId="0" applyFont="true" applyBorder="tru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WT Heading 1" xfId="20"/>
    <cellStyle name="WT Heading 2" xfId="21"/>
    <cellStyle name="WT Heading 3" xfId="22"/>
    <cellStyle name="WT Heading 4" xfId="23"/>
    <cellStyle name="WT Headline" xfId="24"/>
    <cellStyle name="WT Table Heading" xfId="25"/>
    <cellStyle name="WT Table Heading 2" xfId="26"/>
    <cellStyle name="WT Table Heading 3" xfId="27"/>
    <cellStyle name="WT 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F0F2"/>
      <rgbColor rgb="FFCCFFFF"/>
      <rgbColor rgb="FF660066"/>
      <rgbColor rgb="FFFF8080"/>
      <rgbColor rgb="FF0045BF"/>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425"/>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10</xdr:col>
      <xdr:colOff>252360</xdr:colOff>
      <xdr:row>56</xdr:row>
      <xdr:rowOff>22320</xdr:rowOff>
    </xdr:to>
    <xdr:pic>
      <xdr:nvPicPr>
        <xdr:cNvPr id="0" name="Image 1" descr="Picture"/>
        <xdr:cNvPicPr/>
      </xdr:nvPicPr>
      <xdr:blipFill>
        <a:blip r:embed="rId1"/>
        <a:stretch/>
      </xdr:blipFill>
      <xdr:spPr>
        <a:xfrm>
          <a:off x="0" y="0"/>
          <a:ext cx="9468000" cy="10157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10</xdr:col>
      <xdr:colOff>252360</xdr:colOff>
      <xdr:row>56</xdr:row>
      <xdr:rowOff>22320</xdr:rowOff>
    </xdr:to>
    <xdr:pic>
      <xdr:nvPicPr>
        <xdr:cNvPr id="1" name="Image 1" descr="Picture"/>
        <xdr:cNvPicPr/>
      </xdr:nvPicPr>
      <xdr:blipFill>
        <a:blip r:embed="rId1"/>
        <a:stretch/>
      </xdr:blipFill>
      <xdr:spPr>
        <a:xfrm>
          <a:off x="0" y="0"/>
          <a:ext cx="9468000" cy="101570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WT">
  <a:themeElements>
    <a:clrScheme name="Custom 20">
      <a:dk1>
        <a:srgbClr val="000000"/>
      </a:dk1>
      <a:lt1>
        <a:srgbClr val="ffffff"/>
      </a:lt1>
      <a:dk2>
        <a:srgbClr val="000000"/>
      </a:dk2>
      <a:lt2>
        <a:srgbClr val="edf0f2"/>
      </a:lt2>
      <a:accent1>
        <a:srgbClr val="0045bf"/>
      </a:accent1>
      <a:accent2>
        <a:srgbClr val="000899"/>
      </a:accent2>
      <a:accent3>
        <a:srgbClr val="009684"/>
      </a:accent3>
      <a:accent4>
        <a:srgbClr val="006164"/>
      </a:accent4>
      <a:accent5>
        <a:srgbClr val="051641"/>
      </a:accent5>
      <a:accent6>
        <a:srgbClr val="ffc425"/>
      </a:accent6>
      <a:hlink>
        <a:srgbClr val="0045bf"/>
      </a:hlink>
      <a:folHlink>
        <a:srgbClr val="0045bf"/>
      </a:folHlink>
    </a:clrScheme>
    <a:fontScheme name="Mobius fonts">
      <a:majorFont>
        <a:latin typeface="PT Sans" pitchFamily="0" charset="1"/>
        <a:ea typeface=""/>
        <a:cs typeface=""/>
      </a:majorFont>
      <a:minorFont>
        <a:latin typeface="PT San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425"/>
    <pageSetUpPr fitToPage="true"/>
  </sheetPr>
  <dimension ref="B2:C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19" activeCellId="0" sqref="C19"/>
    </sheetView>
  </sheetViews>
  <sheetFormatPr defaultColWidth="8.6640625" defaultRowHeight="14.2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75"/>
  </cols>
  <sheetData>
    <row r="2" customFormat="false" ht="36" hidden="false" customHeight="true" outlineLevel="0" collapsed="false">
      <c r="B2" s="1" t="s">
        <v>0</v>
      </c>
    </row>
    <row r="4" customFormat="false" ht="30" hidden="false" customHeight="true" outlineLevel="0" collapsed="false">
      <c r="B4" s="2" t="s">
        <v>1</v>
      </c>
    </row>
    <row r="6" customFormat="false" ht="21.75" hidden="false" customHeight="true" outlineLevel="0" collapsed="false">
      <c r="B6" s="3" t="s">
        <v>2</v>
      </c>
      <c r="C6" s="4" t="s">
        <v>3</v>
      </c>
    </row>
    <row r="7" customFormat="false" ht="21.75" hidden="false" customHeight="true" outlineLevel="0" collapsed="false">
      <c r="B7" s="3" t="s">
        <v>4</v>
      </c>
      <c r="C7" s="4" t="s">
        <v>5</v>
      </c>
    </row>
    <row r="8" customFormat="false" ht="21.75" hidden="false" customHeight="true" outlineLevel="0" collapsed="false">
      <c r="B8" s="3" t="s">
        <v>6</v>
      </c>
      <c r="C8" s="4" t="s">
        <v>7</v>
      </c>
    </row>
    <row r="9" customFormat="false" ht="21.75" hidden="false" customHeight="true" outlineLevel="0" collapsed="false">
      <c r="B9" s="3" t="s">
        <v>8</v>
      </c>
      <c r="C9" s="4" t="s">
        <v>9</v>
      </c>
    </row>
    <row r="10" customFormat="false" ht="21.75" hidden="false" customHeight="true" outlineLevel="0" collapsed="false">
      <c r="B10" s="3" t="s">
        <v>10</v>
      </c>
      <c r="C10" s="4" t="s">
        <v>11</v>
      </c>
    </row>
    <row r="11" customFormat="false" ht="21.75" hidden="false" customHeight="true" outlineLevel="0" collapsed="false">
      <c r="B11" s="3" t="s">
        <v>12</v>
      </c>
      <c r="C11" s="4" t="s">
        <v>13</v>
      </c>
    </row>
    <row r="12" customFormat="false" ht="21.75" hidden="false" customHeight="true" outlineLevel="0" collapsed="false">
      <c r="B12" s="3" t="s">
        <v>14</v>
      </c>
      <c r="C12" s="4" t="s">
        <v>15</v>
      </c>
    </row>
    <row r="13" customFormat="false" ht="21.75" hidden="false" customHeight="true" outlineLevel="0" collapsed="false">
      <c r="B13" s="3" t="s">
        <v>16</v>
      </c>
      <c r="C13" s="4" t="s">
        <v>17</v>
      </c>
    </row>
    <row r="14" customFormat="false" ht="21.75" hidden="false" customHeight="true" outlineLevel="0" collapsed="false">
      <c r="B14" s="3" t="s">
        <v>18</v>
      </c>
      <c r="C14" s="4" t="s">
        <v>19</v>
      </c>
    </row>
    <row r="15" customFormat="false" ht="21.75" hidden="false" customHeight="true" outlineLevel="0" collapsed="false">
      <c r="B15" s="3" t="s">
        <v>20</v>
      </c>
      <c r="C15" s="4" t="s">
        <v>21</v>
      </c>
    </row>
    <row r="16" customFormat="false" ht="21.75" hidden="false" customHeight="true" outlineLevel="0" collapsed="false">
      <c r="B16" s="3" t="s">
        <v>22</v>
      </c>
      <c r="C16" s="4" t="s">
        <v>23</v>
      </c>
    </row>
    <row r="17" customFormat="false" ht="21.75" hidden="false" customHeight="true" outlineLevel="0" collapsed="false">
      <c r="B17" s="3" t="s">
        <v>24</v>
      </c>
      <c r="C17" s="4" t="s">
        <v>25</v>
      </c>
    </row>
    <row r="18" customFormat="false" ht="21.75" hidden="false" customHeight="true" outlineLevel="0" collapsed="false">
      <c r="B18" s="5" t="s">
        <v>26</v>
      </c>
      <c r="C18" s="6" t="str">
        <f aca="false">C13 &amp; " | " &amp; C14</f>
        <v>Cost Assessment of the Contractor's Proposal - TSE Irrigation Storage Tanks (RFP-027) - Rev 02 | 30-Sep-2026</v>
      </c>
    </row>
    <row r="19" customFormat="false" ht="21.75" hidden="false" customHeight="true" outlineLevel="0" collapsed="false">
      <c r="B19" s="5" t="s">
        <v>27</v>
      </c>
      <c r="C19" s="6" t="str">
        <f aca="false">"Reference: " &amp; C15</f>
        <v>Reference: RFP-027 / SAMACO-RRFP-000001</v>
      </c>
    </row>
    <row r="20" customFormat="false" ht="21.75" hidden="false" customHeight="true" outlineLevel="0" collapsed="false">
      <c r="B20" s="5" t="s">
        <v>28</v>
      </c>
      <c r="C20" s="6" t="str">
        <f aca="false">"Appendix " &amp; C16</f>
        <v>Appendix A</v>
      </c>
    </row>
  </sheetData>
  <printOptions headings="false" gridLines="false" gridLinesSet="true" horizontalCentered="false" verticalCentered="false"/>
  <pageMargins left="0.354166666666667" right="0" top="1.32291666666667" bottom="0.433333333333333"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0" width="12.22"/>
    <col collapsed="false" customWidth="true" hidden="false" outlineLevel="0" max="2" min="2" style="0" width="11.22"/>
    <col collapsed="false" customWidth="true" hidden="false" outlineLevel="0" max="3" min="3" style="0" width="9.56"/>
    <col collapsed="false" customWidth="true" hidden="false" outlineLevel="0" max="4" min="4" style="0" width="11.56"/>
    <col collapsed="false" customWidth="true" hidden="false" outlineLevel="0" max="5" min="5" style="0" width="11.44"/>
    <col collapsed="false" customWidth="true" hidden="false" outlineLevel="0" max="6" min="6" style="0" width="8.78"/>
    <col collapsed="false" customWidth="true" hidden="false" outlineLevel="0" max="7" min="7" style="0" width="14.56"/>
    <col collapsed="false" customWidth="true" hidden="false" outlineLevel="0" max="8" min="8" style="0" width="14.22"/>
    <col collapsed="false" customWidth="true" hidden="false" outlineLevel="0" max="9" min="9" style="0" width="1.44"/>
  </cols>
  <sheetData/>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0" width="12.22"/>
    <col collapsed="false" customWidth="true" hidden="false" outlineLevel="0" max="2" min="2" style="0" width="11.22"/>
    <col collapsed="false" customWidth="true" hidden="false" outlineLevel="0" max="3" min="3" style="0" width="9.56"/>
    <col collapsed="false" customWidth="true" hidden="false" outlineLevel="0" max="4" min="4" style="0" width="11.56"/>
    <col collapsed="false" customWidth="true" hidden="false" outlineLevel="0" max="5" min="5" style="0" width="11.44"/>
    <col collapsed="false" customWidth="true" hidden="false" outlineLevel="0" max="6" min="6" style="0" width="8.78"/>
    <col collapsed="false" customWidth="true" hidden="false" outlineLevel="0" max="7" min="7" style="0" width="14.56"/>
    <col collapsed="false" customWidth="true" hidden="false" outlineLevel="0" max="8" min="8" style="0" width="14.22"/>
    <col collapsed="false" customWidth="true" hidden="false" outlineLevel="0" max="9" min="9" style="0" width="1.44"/>
  </cols>
  <sheetData/>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G8" activeCellId="0" sqref="G8"/>
    </sheetView>
  </sheetViews>
  <sheetFormatPr defaultColWidth="8.6640625" defaultRowHeight="14.25" zeroHeight="false" outlineLevelRow="0" outlineLevelCol="0"/>
  <cols>
    <col collapsed="false" customWidth="true" hidden="false" outlineLevel="0" max="1" min="1" style="7" width="6"/>
    <col collapsed="false" customWidth="true" hidden="false" outlineLevel="0" max="2" min="2" style="7" width="52"/>
    <col collapsed="false" customWidth="true" hidden="false" outlineLevel="0" max="3" min="3" style="7" width="7"/>
    <col collapsed="false" customWidth="true" hidden="false" outlineLevel="0" max="4" min="4" style="7" width="9"/>
    <col collapsed="false" customWidth="true" hidden="false" outlineLevel="0" max="5" min="5" style="7" width="13"/>
    <col collapsed="false" customWidth="true" hidden="false" outlineLevel="0" max="6" min="6" style="7" width="15"/>
    <col collapsed="false" customWidth="true" hidden="false" outlineLevel="0" max="7" min="7" style="7" width="30"/>
    <col collapsed="false" customWidth="true" hidden="false" outlineLevel="0" max="8" min="8" style="7" width="7"/>
    <col collapsed="false" customWidth="true" hidden="false" outlineLevel="0" max="9" min="9" style="7" width="9"/>
    <col collapsed="false" customWidth="true" hidden="false" outlineLevel="0" max="10" min="10" style="7" width="13"/>
    <col collapsed="false" customWidth="true" hidden="false" outlineLevel="0" max="11" min="11" style="7" width="15"/>
    <col collapsed="false" customWidth="true" hidden="false" outlineLevel="0" max="12" min="12" style="7" width="52"/>
    <col collapsed="false" customWidth="true" hidden="false" outlineLevel="0" max="13" min="13" style="7" width="14"/>
    <col collapsed="false" customWidth="true" hidden="false" outlineLevel="0" max="14" min="14" style="7" width="20"/>
    <col collapsed="false" customWidth="true" hidden="false" outlineLevel="0" max="15" min="15" style="7" width="15"/>
    <col collapsed="false" customWidth="true" hidden="false" outlineLevel="0" max="16" min="16" style="7" width="10"/>
  </cols>
  <sheetData>
    <row r="1" customFormat="false" ht="25.5" hidden="false" customHeight="true" outlineLevel="0" collapsed="false">
      <c r="A1" s="8" t="s">
        <v>29</v>
      </c>
    </row>
    <row r="2" customFormat="false" ht="17.25" hidden="false" customHeight="true" outlineLevel="0" collapsed="false">
      <c r="A2" s="9" t="s">
        <v>30</v>
      </c>
    </row>
    <row r="3" customFormat="false" ht="14.25" hidden="false" customHeight="false" outlineLevel="0" collapsed="false">
      <c r="A3" s="10" t="s">
        <v>31</v>
      </c>
    </row>
    <row r="4" customFormat="false" ht="57" hidden="false" customHeight="true" outlineLevel="0" collapsed="false">
      <c r="A4" s="11" t="str">
        <f aca="false">"Purpose: to value the Contractor's revised proposal ref. SAMACO-RRFP-000001 dated 13-Aug-2026 for the 2 No. TSE irrigation storage tanks, dismantling of damaged Tank-1, associated pipework and testing. Result: the proposal of SAR " &amp; TEXT(F21,"#,##0.00") &amp; " is assessed at SAR " &amp; TEXT(K21,"#,##0.00") &amp; ", both excluding VAT (row 21). Basis: supplier quotations where the Contractor obtained them (Items 3 and 6), first-principles build-ups elsewhere ('Build-Up' tab), with every time-related period taken from the Contractor's programme of 29-"&amp;"Sep-2026 ('Programme' tab) - a programme under the Engineer's approval, not an agreed basis. Status: preliminary - items marked Provisional depend on confirmations still outstanding. Rev 02 replaces Rev 01 dated 17-Sep-2026 (SAR " &amp; TEXT(6921685.64,"#,##0.00") &amp; ")."</f>
        <v>Purpose: to value the Contractor's revised proposal ref. SAMACO-RRFP-000001 dated 13-Aug-2026 for the 2 No. TSE irrigation storage tanks, dismantling of damaged Tank-1, associated pipework and testing. Result: the proposal of SAR 8,110,296.62 is assessed at SAR 6,984,428.39, both excluding VAT (row 21). Basis: supplier quotations where the Contractor obtained them (Items 3 and 6), first-principles build-ups elsewhere ('Build-Up' tab), with every time-related period taken from the Contractor's programme of 29-Sep-2026 ('Programme' tab) - a programme under the Engineer's approval, not an agreed basis. Status: preliminary - items marked Provisional depend on confirmations still outstanding. Rev 02 replaces Rev 01 dated 17-Sep-2026 (SAR 6,921,685.64).</v>
      </c>
      <c r="B4" s="11"/>
      <c r="C4" s="11"/>
      <c r="D4" s="11"/>
      <c r="E4" s="11"/>
      <c r="F4" s="11"/>
      <c r="G4" s="11"/>
      <c r="H4" s="11"/>
      <c r="I4" s="11"/>
      <c r="J4" s="11"/>
      <c r="K4" s="11"/>
      <c r="L4" s="11"/>
      <c r="M4" s="11"/>
      <c r="N4" s="11"/>
      <c r="O4" s="11"/>
      <c r="P4" s="11"/>
    </row>
    <row r="5" customFormat="false" ht="33" hidden="false" customHeight="true" outlineLevel="0" collapsed="false">
      <c r="C5" s="12" t="s">
        <v>32</v>
      </c>
      <c r="D5" s="12"/>
      <c r="E5" s="12"/>
      <c r="F5" s="12"/>
      <c r="G5" s="12"/>
      <c r="H5" s="12" t="s">
        <v>33</v>
      </c>
      <c r="I5" s="12"/>
      <c r="J5" s="12"/>
      <c r="K5" s="12"/>
      <c r="L5" s="12"/>
      <c r="M5" s="12"/>
      <c r="N5" s="12"/>
      <c r="O5" s="12" t="s">
        <v>34</v>
      </c>
      <c r="P5" s="12"/>
    </row>
    <row r="6" customFormat="false" ht="31.5" hidden="false" customHeight="true" outlineLevel="0" collapsed="false">
      <c r="A6" s="13" t="s">
        <v>35</v>
      </c>
      <c r="B6" s="13" t="s">
        <v>36</v>
      </c>
      <c r="C6" s="13" t="s">
        <v>37</v>
      </c>
      <c r="D6" s="13" t="s">
        <v>38</v>
      </c>
      <c r="E6" s="13" t="s">
        <v>39</v>
      </c>
      <c r="F6" s="13" t="s">
        <v>40</v>
      </c>
      <c r="G6" s="13" t="s">
        <v>41</v>
      </c>
      <c r="H6" s="13" t="s">
        <v>37</v>
      </c>
      <c r="I6" s="13" t="s">
        <v>38</v>
      </c>
      <c r="J6" s="13" t="s">
        <v>39</v>
      </c>
      <c r="K6" s="14" t="s">
        <v>40</v>
      </c>
      <c r="L6" s="13" t="s">
        <v>42</v>
      </c>
      <c r="M6" s="13" t="s">
        <v>43</v>
      </c>
      <c r="N6" s="13" t="s">
        <v>44</v>
      </c>
      <c r="O6" s="13" t="s">
        <v>45</v>
      </c>
      <c r="P6" s="13" t="s">
        <v>46</v>
      </c>
    </row>
    <row r="7" customFormat="false" ht="21" hidden="false" customHeight="true" outlineLevel="0" collapsed="false">
      <c r="A7" s="15" t="s">
        <v>47</v>
      </c>
      <c r="B7" s="15"/>
      <c r="C7" s="15"/>
      <c r="D7" s="15"/>
      <c r="E7" s="15"/>
      <c r="F7" s="15"/>
      <c r="G7" s="15"/>
      <c r="H7" s="15"/>
      <c r="I7" s="15"/>
      <c r="J7" s="15"/>
      <c r="K7" s="15"/>
      <c r="L7" s="15"/>
      <c r="M7" s="15"/>
      <c r="N7" s="15"/>
      <c r="O7" s="15"/>
      <c r="P7" s="15"/>
    </row>
    <row r="8" customFormat="false" ht="170.25" hidden="false" customHeight="true" outlineLevel="0" collapsed="false">
      <c r="A8" s="16" t="n">
        <v>1</v>
      </c>
      <c r="B8" s="17" t="s">
        <v>48</v>
      </c>
      <c r="C8" s="16" t="s">
        <v>49</v>
      </c>
      <c r="D8" s="18" t="n">
        <v>1</v>
      </c>
      <c r="E8" s="18" t="n">
        <v>680000</v>
      </c>
      <c r="F8" s="18" t="n">
        <v>680000</v>
      </c>
      <c r="G8" s="19" t="s">
        <v>50</v>
      </c>
      <c r="H8" s="16" t="s">
        <v>49</v>
      </c>
      <c r="I8" s="18" t="n">
        <v>1</v>
      </c>
      <c r="J8" s="18" t="n">
        <f aca="false">'Build-Up'!$F$32</f>
        <v>319680.56</v>
      </c>
      <c r="K8" s="20" t="n">
        <f aca="false">I8*J8</f>
        <v>319680.56</v>
      </c>
      <c r="L8" s="19" t="s">
        <v>51</v>
      </c>
      <c r="M8" s="21" t="s">
        <v>52</v>
      </c>
      <c r="N8" s="21" t="s">
        <v>53</v>
      </c>
      <c r="O8" s="18" t="n">
        <f aca="false">F8-K8</f>
        <v>360319.44</v>
      </c>
      <c r="P8" s="22" t="n">
        <f aca="false">IF(K8=0,"",(F8-K8)/K8)</f>
        <v>1.12712340093498</v>
      </c>
    </row>
    <row r="9" customFormat="false" ht="21" hidden="false" customHeight="true" outlineLevel="0" collapsed="false">
      <c r="A9" s="15" t="s">
        <v>54</v>
      </c>
      <c r="B9" s="15"/>
      <c r="C9" s="15"/>
      <c r="D9" s="15"/>
      <c r="E9" s="15"/>
      <c r="F9" s="15"/>
      <c r="G9" s="15"/>
      <c r="H9" s="15"/>
      <c r="I9" s="15"/>
      <c r="J9" s="15"/>
      <c r="K9" s="15"/>
      <c r="L9" s="15"/>
      <c r="M9" s="15"/>
      <c r="N9" s="15"/>
      <c r="O9" s="15"/>
      <c r="P9" s="15"/>
    </row>
    <row r="10" customFormat="false" ht="39.75" hidden="false" customHeight="true" outlineLevel="0" collapsed="false">
      <c r="A10" s="16" t="n">
        <v>2</v>
      </c>
      <c r="B10" s="17" t="s">
        <v>55</v>
      </c>
      <c r="C10" s="16" t="s">
        <v>49</v>
      </c>
      <c r="D10" s="18" t="n">
        <v>1</v>
      </c>
      <c r="E10" s="18" t="n">
        <v>85000</v>
      </c>
      <c r="F10" s="18" t="n">
        <v>85000</v>
      </c>
      <c r="G10" s="19" t="s">
        <v>56</v>
      </c>
      <c r="H10" s="16" t="s">
        <v>49</v>
      </c>
      <c r="I10" s="18" t="n">
        <v>1</v>
      </c>
      <c r="J10" s="18" t="n">
        <f aca="false">'Build-Up'!$F$41</f>
        <v>55000</v>
      </c>
      <c r="K10" s="20" t="n">
        <f aca="false">I10*J10</f>
        <v>55000</v>
      </c>
      <c r="L10" s="19" t="s">
        <v>57</v>
      </c>
      <c r="M10" s="21" t="s">
        <v>52</v>
      </c>
      <c r="N10" s="21" t="s">
        <v>53</v>
      </c>
      <c r="O10" s="18" t="n">
        <f aca="false">F10-K10</f>
        <v>30000</v>
      </c>
      <c r="P10" s="22" t="n">
        <f aca="false">IF(K10=0,"",(F10-K10)/K10)</f>
        <v>0.545454545454545</v>
      </c>
    </row>
    <row r="11" customFormat="false" ht="21" hidden="false" customHeight="true" outlineLevel="0" collapsed="false">
      <c r="A11" s="15" t="s">
        <v>58</v>
      </c>
      <c r="B11" s="15"/>
      <c r="C11" s="15"/>
      <c r="D11" s="15"/>
      <c r="E11" s="15"/>
      <c r="F11" s="15"/>
      <c r="G11" s="15"/>
      <c r="H11" s="15"/>
      <c r="I11" s="15"/>
      <c r="J11" s="15"/>
      <c r="K11" s="15"/>
      <c r="L11" s="15"/>
      <c r="M11" s="15"/>
      <c r="N11" s="15"/>
      <c r="O11" s="15"/>
      <c r="P11" s="15"/>
    </row>
    <row r="12" customFormat="false" ht="80.25" hidden="false" customHeight="true" outlineLevel="0" collapsed="false">
      <c r="A12" s="16" t="n">
        <v>3</v>
      </c>
      <c r="B12" s="17" t="s">
        <v>59</v>
      </c>
      <c r="C12" s="16" t="s">
        <v>60</v>
      </c>
      <c r="D12" s="18" t="n">
        <v>1</v>
      </c>
      <c r="E12" s="18" t="n">
        <v>71000</v>
      </c>
      <c r="F12" s="18" t="n">
        <v>71000</v>
      </c>
      <c r="G12" s="19" t="s">
        <v>61</v>
      </c>
      <c r="H12" s="16" t="s">
        <v>60</v>
      </c>
      <c r="I12" s="18" t="n">
        <v>1</v>
      </c>
      <c r="J12" s="18" t="n">
        <f aca="false">'Build-Up'!$F$47</f>
        <v>71000</v>
      </c>
      <c r="K12" s="20" t="n">
        <f aca="false">I12*J12</f>
        <v>71000</v>
      </c>
      <c r="L12" s="19" t="s">
        <v>62</v>
      </c>
      <c r="M12" s="21" t="s">
        <v>63</v>
      </c>
      <c r="N12" s="21" t="s">
        <v>64</v>
      </c>
      <c r="O12" s="18" t="n">
        <f aca="false">F12-K12</f>
        <v>0</v>
      </c>
      <c r="P12" s="22" t="n">
        <f aca="false">IF(K12=0,"",(F12-K12)/K12)</f>
        <v>0</v>
      </c>
    </row>
    <row r="13" customFormat="false" ht="66" hidden="false" customHeight="true" outlineLevel="0" collapsed="false">
      <c r="A13" s="16" t="n">
        <v>4</v>
      </c>
      <c r="B13" s="17" t="s">
        <v>65</v>
      </c>
      <c r="C13" s="16" t="s">
        <v>49</v>
      </c>
      <c r="D13" s="18" t="n">
        <v>1</v>
      </c>
      <c r="E13" s="18" t="n">
        <v>10500</v>
      </c>
      <c r="F13" s="18" t="n">
        <v>10500</v>
      </c>
      <c r="G13" s="19" t="s">
        <v>56</v>
      </c>
      <c r="H13" s="16" t="s">
        <v>49</v>
      </c>
      <c r="I13" s="18" t="n">
        <v>1</v>
      </c>
      <c r="J13" s="18" t="n">
        <f aca="false">'Build-Up'!$F$69</f>
        <v>6300</v>
      </c>
      <c r="K13" s="20" t="n">
        <f aca="false">I13*J13</f>
        <v>6300</v>
      </c>
      <c r="L13" s="19" t="s">
        <v>66</v>
      </c>
      <c r="M13" s="21" t="s">
        <v>52</v>
      </c>
      <c r="N13" s="21" t="s">
        <v>67</v>
      </c>
      <c r="O13" s="18" t="n">
        <f aca="false">F13-K13</f>
        <v>4200</v>
      </c>
      <c r="P13" s="22" t="n">
        <f aca="false">IF(K13=0,"",(F13-K13)/K13)</f>
        <v>0.666666666666667</v>
      </c>
    </row>
    <row r="14" customFormat="false" ht="144.75" hidden="false" customHeight="true" outlineLevel="0" collapsed="false">
      <c r="A14" s="16" t="n">
        <v>5</v>
      </c>
      <c r="B14" s="17" t="s">
        <v>68</v>
      </c>
      <c r="C14" s="16" t="s">
        <v>60</v>
      </c>
      <c r="D14" s="18" t="n">
        <v>1</v>
      </c>
      <c r="E14" s="18" t="n">
        <v>504192.02</v>
      </c>
      <c r="F14" s="18" t="n">
        <v>504192.02</v>
      </c>
      <c r="G14" s="19" t="s">
        <v>50</v>
      </c>
      <c r="H14" s="16" t="s">
        <v>60</v>
      </c>
      <c r="I14" s="18" t="n">
        <v>1</v>
      </c>
      <c r="J14" s="18" t="n">
        <f aca="false">'Build-Up'!$F$89</f>
        <v>325350</v>
      </c>
      <c r="K14" s="20" t="n">
        <f aca="false">I14*J14</f>
        <v>325350</v>
      </c>
      <c r="L14" s="19" t="s">
        <v>69</v>
      </c>
      <c r="M14" s="21" t="s">
        <v>52</v>
      </c>
      <c r="N14" s="21" t="s">
        <v>53</v>
      </c>
      <c r="O14" s="18" t="n">
        <f aca="false">F14-K14</f>
        <v>178842.02</v>
      </c>
      <c r="P14" s="22" t="n">
        <f aca="false">IF(K14=0,"",(F14-K14)/K14)</f>
        <v>0.549691163362533</v>
      </c>
    </row>
    <row r="15" customFormat="false" ht="21" hidden="false" customHeight="true" outlineLevel="0" collapsed="false">
      <c r="A15" s="15" t="s">
        <v>70</v>
      </c>
      <c r="B15" s="15"/>
      <c r="C15" s="15"/>
      <c r="D15" s="15"/>
      <c r="E15" s="15"/>
      <c r="F15" s="15"/>
      <c r="G15" s="15"/>
      <c r="H15" s="15"/>
      <c r="I15" s="15"/>
      <c r="J15" s="15"/>
      <c r="K15" s="15"/>
      <c r="L15" s="15"/>
      <c r="M15" s="15"/>
      <c r="N15" s="15"/>
      <c r="O15" s="15"/>
      <c r="P15" s="15"/>
    </row>
    <row r="16" customFormat="false" ht="81.75" hidden="false" customHeight="true" outlineLevel="0" collapsed="false">
      <c r="A16" s="16" t="n">
        <v>6</v>
      </c>
      <c r="B16" s="17" t="s">
        <v>71</v>
      </c>
      <c r="C16" s="16" t="s">
        <v>72</v>
      </c>
      <c r="D16" s="18" t="n">
        <v>2</v>
      </c>
      <c r="E16" s="18" t="n">
        <v>2763500</v>
      </c>
      <c r="F16" s="18" t="n">
        <v>5527000</v>
      </c>
      <c r="G16" s="19" t="s">
        <v>73</v>
      </c>
      <c r="H16" s="16" t="s">
        <v>72</v>
      </c>
      <c r="I16" s="18" t="n">
        <v>2</v>
      </c>
      <c r="J16" s="18" t="n">
        <f aca="false">'Build-Up'!$F$95</f>
        <v>2763500</v>
      </c>
      <c r="K16" s="20" t="n">
        <f aca="false">I16*J16</f>
        <v>5527000</v>
      </c>
      <c r="L16" s="19" t="s">
        <v>74</v>
      </c>
      <c r="M16" s="21" t="s">
        <v>63</v>
      </c>
      <c r="N16" s="21" t="s">
        <v>75</v>
      </c>
      <c r="O16" s="18" t="n">
        <f aca="false">F16-K16</f>
        <v>0</v>
      </c>
      <c r="P16" s="22" t="n">
        <f aca="false">IF(K16=0,"",(F16-K16)/K16)</f>
        <v>0</v>
      </c>
    </row>
    <row r="17" customFormat="false" ht="170.25" hidden="false" customHeight="true" outlineLevel="0" collapsed="false">
      <c r="A17" s="16" t="n">
        <v>7</v>
      </c>
      <c r="B17" s="17" t="s">
        <v>76</v>
      </c>
      <c r="C17" s="16" t="s">
        <v>60</v>
      </c>
      <c r="D17" s="18" t="n">
        <v>2</v>
      </c>
      <c r="E17" s="18" t="n">
        <v>213200</v>
      </c>
      <c r="F17" s="18" t="n">
        <v>426400</v>
      </c>
      <c r="G17" s="19" t="s">
        <v>50</v>
      </c>
      <c r="H17" s="16" t="s">
        <v>60</v>
      </c>
      <c r="I17" s="18" t="n">
        <v>2</v>
      </c>
      <c r="J17" s="18" t="n">
        <f aca="false">'Build-Up'!$F$124</f>
        <v>51153</v>
      </c>
      <c r="K17" s="20" t="n">
        <f aca="false">I17*J17</f>
        <v>102306</v>
      </c>
      <c r="L17" s="19" t="s">
        <v>77</v>
      </c>
      <c r="M17" s="21" t="s">
        <v>52</v>
      </c>
      <c r="N17" s="21" t="s">
        <v>78</v>
      </c>
      <c r="O17" s="18" t="n">
        <f aca="false">F17-K17</f>
        <v>324094</v>
      </c>
      <c r="P17" s="22" t="n">
        <f aca="false">IF(K17=0,"",(F17-K17)/K17)</f>
        <v>3.16788849138858</v>
      </c>
    </row>
    <row r="18" customFormat="false" ht="105.75" hidden="false" customHeight="true" outlineLevel="0" collapsed="false">
      <c r="A18" s="16" t="n">
        <v>8</v>
      </c>
      <c r="B18" s="17" t="s">
        <v>79</v>
      </c>
      <c r="C18" s="16" t="s">
        <v>49</v>
      </c>
      <c r="D18" s="18" t="n">
        <v>1</v>
      </c>
      <c r="E18" s="18" t="n">
        <v>420000</v>
      </c>
      <c r="F18" s="18" t="n">
        <v>420000</v>
      </c>
      <c r="G18" s="19" t="s">
        <v>50</v>
      </c>
      <c r="H18" s="16" t="s">
        <v>49</v>
      </c>
      <c r="I18" s="18" t="n">
        <v>1</v>
      </c>
      <c r="J18" s="18" t="n">
        <f aca="false">'Build-Up'!$F$150</f>
        <v>245200</v>
      </c>
      <c r="K18" s="20" t="n">
        <f aca="false">I18*J18</f>
        <v>245200</v>
      </c>
      <c r="L18" s="19" t="s">
        <v>80</v>
      </c>
      <c r="M18" s="21" t="s">
        <v>52</v>
      </c>
      <c r="N18" s="21" t="s">
        <v>81</v>
      </c>
      <c r="O18" s="18" t="n">
        <f aca="false">F18-K18</f>
        <v>174800</v>
      </c>
      <c r="P18" s="22" t="n">
        <f aca="false">IF(K18=0,"",(F18-K18)/K18)</f>
        <v>0.712887438825449</v>
      </c>
    </row>
    <row r="19" customFormat="false" ht="21.75" hidden="false" customHeight="true" outlineLevel="0" collapsed="false">
      <c r="A19" s="23"/>
      <c r="B19" s="23" t="s">
        <v>82</v>
      </c>
      <c r="C19" s="23"/>
      <c r="D19" s="23"/>
      <c r="E19" s="23"/>
      <c r="F19" s="24" t="n">
        <f aca="false">SUM(F8:F18)</f>
        <v>7724092.02</v>
      </c>
      <c r="G19" s="23"/>
      <c r="H19" s="23"/>
      <c r="I19" s="23"/>
      <c r="J19" s="23"/>
      <c r="K19" s="25" t="n">
        <f aca="false">SUM(K8:K18)</f>
        <v>6651836.56</v>
      </c>
      <c r="L19" s="23"/>
      <c r="M19" s="23"/>
      <c r="N19" s="23"/>
      <c r="O19" s="24" t="n">
        <f aca="false">F19-K19</f>
        <v>1072255.46</v>
      </c>
      <c r="P19" s="26" t="n">
        <f aca="false">IF(K19=0,"",(F19-K19)/K19)</f>
        <v>0.161196904092304</v>
      </c>
    </row>
    <row r="20" customFormat="false" ht="70.5" hidden="false" customHeight="true" outlineLevel="0" collapsed="false">
      <c r="A20" s="27"/>
      <c r="B20" s="27" t="s">
        <v>83</v>
      </c>
      <c r="C20" s="27"/>
      <c r="D20" s="27"/>
      <c r="E20" s="27"/>
      <c r="F20" s="28" t="n">
        <v>386204.6</v>
      </c>
      <c r="G20" s="27"/>
      <c r="H20" s="27"/>
      <c r="I20" s="27"/>
      <c r="J20" s="27"/>
      <c r="K20" s="29" t="n">
        <f aca="false">ROUND(K19*0.05,2)</f>
        <v>332591.83</v>
      </c>
      <c r="L20" s="30" t="s">
        <v>84</v>
      </c>
      <c r="M20" s="27"/>
      <c r="N20" s="27"/>
      <c r="O20" s="28" t="n">
        <f aca="false">F20-K20</f>
        <v>53612.77</v>
      </c>
      <c r="P20" s="31" t="n">
        <f aca="false">IF(K20=0,"",(F20-K20)/K20)</f>
        <v>0.161196894102901</v>
      </c>
    </row>
    <row r="21" customFormat="false" ht="21.75" hidden="false" customHeight="true" outlineLevel="0" collapsed="false">
      <c r="A21" s="23"/>
      <c r="B21" s="23" t="s">
        <v>85</v>
      </c>
      <c r="C21" s="23"/>
      <c r="D21" s="23"/>
      <c r="E21" s="23"/>
      <c r="F21" s="24" t="n">
        <f aca="false">F19+F20</f>
        <v>8110296.62</v>
      </c>
      <c r="G21" s="23"/>
      <c r="H21" s="23"/>
      <c r="I21" s="23"/>
      <c r="J21" s="23"/>
      <c r="K21" s="32" t="n">
        <f aca="false">K19+K20</f>
        <v>6984428.39</v>
      </c>
      <c r="L21" s="23"/>
      <c r="M21" s="23"/>
      <c r="N21" s="23"/>
      <c r="O21" s="24" t="n">
        <f aca="false">F21-K21</f>
        <v>1125868.23</v>
      </c>
      <c r="P21" s="26" t="n">
        <f aca="false">IF(K21=0,"",(F21-K21)/K21)</f>
        <v>0.161196903616618</v>
      </c>
    </row>
    <row r="22" customFormat="false" ht="39.75" hidden="false" customHeight="true" outlineLevel="0" collapsed="false">
      <c r="A22" s="11" t="s">
        <v>86</v>
      </c>
      <c r="B22" s="11"/>
      <c r="C22" s="11"/>
      <c r="D22" s="11"/>
      <c r="E22" s="11"/>
      <c r="F22" s="11"/>
      <c r="G22" s="11"/>
      <c r="H22" s="11"/>
      <c r="I22" s="11"/>
      <c r="J22" s="11"/>
      <c r="K22" s="11"/>
      <c r="L22" s="11"/>
      <c r="M22" s="11"/>
      <c r="N22" s="11"/>
      <c r="O22" s="11"/>
      <c r="P22" s="11"/>
    </row>
    <row r="23" customFormat="false" ht="27.75" hidden="false" customHeight="true" outlineLevel="0" collapsed="false">
      <c r="A23" s="33" t="s">
        <v>87</v>
      </c>
      <c r="B23" s="33"/>
      <c r="C23" s="33"/>
      <c r="D23" s="33"/>
      <c r="E23" s="33"/>
      <c r="F23" s="33"/>
      <c r="G23" s="33"/>
      <c r="H23" s="33"/>
      <c r="I23" s="33"/>
      <c r="J23" s="33"/>
      <c r="K23" s="33"/>
      <c r="L23" s="33"/>
      <c r="M23" s="33"/>
      <c r="N23" s="33"/>
      <c r="O23" s="33"/>
      <c r="P23" s="33"/>
    </row>
    <row r="24" customFormat="false" ht="60" hidden="false" customHeight="true" outlineLevel="0" collapsed="false">
      <c r="A24" s="11" t="str">
        <f aca="false">"Changes from Rev 01 dated 17-Sep-2026 (SAR 6,921,685.64): every time-related period re-based from an assumed 3-month site period to the Contractor's programme of 29-Sep-2026 - site staff by role and phase and facilities for the site period "&amp;"to the end of demobilisation (Item 1 and the generators in Item 5), helpers and plant from a phase-by-phase resource matrix built on material availability and activity dependencies, access equipment on the erection windows (Item 5); Item 7 "&amp;"re-sequenced with the Engineer's sequential basis carried, commissioning staff reconciled to that sequence and a nil line added for the third-party factory test; sealant tools and fixings provisionally excluded as within the recorded Item 6"&amp;" scope and third-party inspection visits removed as not required (5.12, 5.13, 7.12); PPE, survey and document control increased on the programme evidence (1.18, 2.3, 2.4); every line linked to its activities or site service on the 'Programm"&amp;"e' tab; Item 8 re-described to the RFP specification with the Contractor's procured materials shown alongside; the Contractor's cost loading, cash flow and manpower histogram recorded as evidence on the 'Build-Up Comparison' tab. No rate ha"&amp;"s moved. Net effect: SAR " &amp; TEXT(K21-6921685.64,"#,##0.00;-#,##0.00") &amp; " (" &amp; TEXT((K21-6921685.64)/6921685.64,"0.0%;-0.0%") &amp; ")."</f>
        <v>Changes from Rev 01 dated 17-Sep-2026 (SAR 6,921,685.64): every time-related period re-based from an assumed 3-month site period to the Contractor's programme of 29-Sep-2026 - site staff by role and phase and facilities for the site period to the end of demobilisation (Item 1 and the generators in Item 5), helpers and plant from a phase-by-phase resource matrix built on material availability and activity dependencies, access equipment on the erection windows (Item 5); Item 7 re-sequenced with the Engineer's sequential basis carried, commissioning staff reconciled to that sequence and a nil line added for the third-party factory test; sealant tools and fixings provisionally excluded as within the recorded Item 6 scope and third-party inspection visits removed as not required (5.12, 5.13, 7.12); PPE, survey and document control increased on the programme evidence (1.18, 2.3, 2.4); every line linked to its activities or site service on the 'Programme' tab; Item 8 re-described to the RFP specification with the Contractor's procured materials shown alongside; the Contractor's cost loading, cash flow and manpower histogram recorded as evidence on the 'Build-Up Comparison' tab. No rate has moved. Net effect: SAR 62,742.75 (0.9%).</v>
      </c>
      <c r="B24" s="11"/>
      <c r="C24" s="11"/>
      <c r="D24" s="11"/>
      <c r="E24" s="11"/>
      <c r="F24" s="11"/>
      <c r="G24" s="11"/>
      <c r="H24" s="11"/>
      <c r="I24" s="11"/>
      <c r="J24" s="11"/>
      <c r="K24" s="11"/>
      <c r="L24" s="11"/>
      <c r="M24" s="11"/>
      <c r="N24" s="11"/>
      <c r="O24" s="11"/>
      <c r="P24" s="11"/>
    </row>
  </sheetData>
  <mergeCells count="11">
    <mergeCell ref="A4:P4"/>
    <mergeCell ref="C5:G5"/>
    <mergeCell ref="H5:N5"/>
    <mergeCell ref="O5:P5"/>
    <mergeCell ref="A7:P7"/>
    <mergeCell ref="A9:P9"/>
    <mergeCell ref="A11:P11"/>
    <mergeCell ref="A15:P15"/>
    <mergeCell ref="A22:P22"/>
    <mergeCell ref="A23:P23"/>
    <mergeCell ref="A24:P24"/>
  </mergeCells>
  <dataValidations count="2">
    <dataValidation allowBlank="true" errorStyle="stop" operator="between" showDropDown="false" showErrorMessage="false" showInputMessage="false" sqref="M8:M18" type="list">
      <formula1>List_BasisOfRate</formula1>
      <formula2>0</formula2>
    </dataValidation>
    <dataValidation allowBlank="true" errorStyle="stop" operator="between" showDropDown="false" showErrorMessage="false" showInputMessage="false" sqref="N8:N18" type="list">
      <formula1>List_Status</formula1>
      <formula2>0</formula2>
    </dataValidation>
  </dataValidations>
  <printOptions headings="false" gridLines="false" gridLinesSet="true" horizontalCentered="false" verticalCentered="false"/>
  <pageMargins left="0.354166666666667" right="0.354166666666667" top="0.5" bottom="0.433333333333333"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G15" activeCellId="0" sqref="G15"/>
    </sheetView>
  </sheetViews>
  <sheetFormatPr defaultColWidth="8.6640625" defaultRowHeight="14.25" zeroHeight="false" outlineLevelRow="0" outlineLevelCol="0"/>
  <cols>
    <col collapsed="false" customWidth="true" hidden="false" outlineLevel="0" max="1" min="1" style="7" width="7"/>
    <col collapsed="false" customWidth="true" hidden="false" outlineLevel="0" max="2" min="2" style="7" width="58"/>
    <col collapsed="false" customWidth="true" hidden="false" outlineLevel="0" max="3" min="3" style="7" width="9"/>
    <col collapsed="false" customWidth="true" hidden="false" outlineLevel="0" max="4" min="4" style="7" width="10"/>
    <col collapsed="false" customWidth="true" hidden="false" outlineLevel="0" max="5" min="5" style="7" width="13"/>
    <col collapsed="false" customWidth="true" hidden="false" outlineLevel="0" max="6" min="6" style="7" width="15"/>
    <col collapsed="false" customWidth="true" hidden="false" outlineLevel="0" max="7" min="7" style="7" width="52"/>
  </cols>
  <sheetData>
    <row r="1" customFormat="false" ht="25.5" hidden="false" customHeight="true" outlineLevel="0" collapsed="false">
      <c r="A1" s="8" t="s">
        <v>88</v>
      </c>
    </row>
    <row r="2" customFormat="false" ht="17.25" hidden="false" customHeight="true" outlineLevel="0" collapsed="false">
      <c r="A2" s="9" t="s">
        <v>30</v>
      </c>
    </row>
    <row r="3" customFormat="false" ht="14.25" hidden="false" customHeight="false" outlineLevel="0" collapsed="false">
      <c r="A3" s="10" t="s">
        <v>31</v>
      </c>
    </row>
    <row r="4" customFormat="false" ht="54.75" hidden="false" customHeight="true" outlineLevel="0" collapsed="false">
      <c r="A4" s="11" t="s">
        <v>89</v>
      </c>
      <c r="B4" s="11"/>
      <c r="C4" s="11"/>
      <c r="D4" s="11"/>
      <c r="E4" s="11"/>
      <c r="F4" s="11"/>
      <c r="G4" s="11"/>
    </row>
    <row r="6" customFormat="false" ht="21" hidden="false" customHeight="true" outlineLevel="0" collapsed="false">
      <c r="A6" s="15" t="s">
        <v>90</v>
      </c>
      <c r="B6" s="15"/>
      <c r="C6" s="15"/>
      <c r="D6" s="15"/>
      <c r="E6" s="15"/>
      <c r="F6" s="15"/>
      <c r="G6" s="15"/>
    </row>
    <row r="7" customFormat="false" ht="96" hidden="false" customHeight="true" outlineLevel="0" collapsed="false">
      <c r="A7" s="11" t="s">
        <v>91</v>
      </c>
      <c r="B7" s="11"/>
      <c r="C7" s="11"/>
      <c r="D7" s="11"/>
      <c r="E7" s="11"/>
      <c r="F7" s="11"/>
      <c r="G7" s="11"/>
    </row>
    <row r="8" customFormat="false" ht="24" hidden="false" customHeight="true" outlineLevel="0" collapsed="false">
      <c r="A8" s="13" t="s">
        <v>92</v>
      </c>
      <c r="B8" s="13" t="s">
        <v>36</v>
      </c>
      <c r="C8" s="13" t="s">
        <v>37</v>
      </c>
      <c r="D8" s="13" t="s">
        <v>38</v>
      </c>
      <c r="E8" s="13" t="s">
        <v>39</v>
      </c>
      <c r="F8" s="13" t="s">
        <v>40</v>
      </c>
      <c r="G8" s="13" t="s">
        <v>93</v>
      </c>
    </row>
    <row r="9" customFormat="false" ht="54.75" hidden="false" customHeight="true" outlineLevel="0" collapsed="false">
      <c r="A9" s="16" t="s">
        <v>94</v>
      </c>
      <c r="B9" s="17" t="s">
        <v>95</v>
      </c>
      <c r="C9" s="16" t="s">
        <v>96</v>
      </c>
      <c r="D9" s="18" t="n">
        <f aca="false">Programme!$G$113</f>
        <v>4.1</v>
      </c>
      <c r="E9" s="18" t="n">
        <v>12000</v>
      </c>
      <c r="F9" s="18" t="n">
        <f aca="false">D9*E9</f>
        <v>49200</v>
      </c>
      <c r="G9" s="19" t="s">
        <v>97</v>
      </c>
    </row>
    <row r="10" customFormat="false" ht="54.75" hidden="false" customHeight="true" outlineLevel="0" collapsed="false">
      <c r="A10" s="16" t="s">
        <v>98</v>
      </c>
      <c r="B10" s="17" t="s">
        <v>99</v>
      </c>
      <c r="C10" s="16" t="s">
        <v>96</v>
      </c>
      <c r="D10" s="18" t="n">
        <f aca="false">Programme!$G$114</f>
        <v>4.1</v>
      </c>
      <c r="E10" s="18" t="n">
        <v>10000</v>
      </c>
      <c r="F10" s="18" t="n">
        <f aca="false">D10*E10</f>
        <v>41000</v>
      </c>
      <c r="G10" s="19" t="s">
        <v>100</v>
      </c>
    </row>
    <row r="11" customFormat="false" ht="67.5" hidden="false" customHeight="true" outlineLevel="0" collapsed="false">
      <c r="A11" s="16" t="s">
        <v>101</v>
      </c>
      <c r="B11" s="17" t="s">
        <v>102</v>
      </c>
      <c r="C11" s="16" t="s">
        <v>96</v>
      </c>
      <c r="D11" s="18" t="n">
        <f aca="false">Programme!$G$115</f>
        <v>3.7</v>
      </c>
      <c r="E11" s="18" t="n">
        <v>10000</v>
      </c>
      <c r="F11" s="18" t="n">
        <f aca="false">D11*E11</f>
        <v>37000</v>
      </c>
      <c r="G11" s="19" t="s">
        <v>103</v>
      </c>
    </row>
    <row r="12" customFormat="false" ht="54.75" hidden="false" customHeight="true" outlineLevel="0" collapsed="false">
      <c r="A12" s="16" t="s">
        <v>104</v>
      </c>
      <c r="B12" s="17" t="s">
        <v>105</v>
      </c>
      <c r="C12" s="16" t="s">
        <v>96</v>
      </c>
      <c r="D12" s="18" t="n">
        <f aca="false">Programme!$G$116</f>
        <v>4.1</v>
      </c>
      <c r="E12" s="18" t="n">
        <v>8000</v>
      </c>
      <c r="F12" s="18" t="n">
        <f aca="false">D12*E12</f>
        <v>32800</v>
      </c>
      <c r="G12" s="19" t="s">
        <v>106</v>
      </c>
    </row>
    <row r="13" customFormat="false" ht="54.75" hidden="false" customHeight="true" outlineLevel="0" collapsed="false">
      <c r="A13" s="16" t="s">
        <v>107</v>
      </c>
      <c r="B13" s="17" t="s">
        <v>108</v>
      </c>
      <c r="C13" s="16" t="s">
        <v>96</v>
      </c>
      <c r="D13" s="18" t="n">
        <f aca="false">Programme!$G$117</f>
        <v>3.3</v>
      </c>
      <c r="E13" s="18" t="n">
        <v>4000</v>
      </c>
      <c r="F13" s="18" t="n">
        <f aca="false">D13*E13</f>
        <v>13200</v>
      </c>
      <c r="G13" s="19" t="s">
        <v>109</v>
      </c>
    </row>
    <row r="14" customFormat="false" ht="54.75" hidden="false" customHeight="true" outlineLevel="0" collapsed="false">
      <c r="A14" s="16" t="s">
        <v>110</v>
      </c>
      <c r="B14" s="17" t="s">
        <v>111</v>
      </c>
      <c r="C14" s="16" t="s">
        <v>96</v>
      </c>
      <c r="D14" s="18" t="n">
        <f aca="false">Programme!$G$118</f>
        <v>4.1</v>
      </c>
      <c r="E14" s="18" t="n">
        <v>2200</v>
      </c>
      <c r="F14" s="18" t="n">
        <f aca="false">D14*E14</f>
        <v>9020</v>
      </c>
      <c r="G14" s="19" t="s">
        <v>112</v>
      </c>
    </row>
    <row r="15" customFormat="false" ht="54.75" hidden="false" customHeight="true" outlineLevel="0" collapsed="false">
      <c r="A15" s="16" t="s">
        <v>113</v>
      </c>
      <c r="B15" s="17" t="s">
        <v>114</v>
      </c>
      <c r="C15" s="16" t="s">
        <v>96</v>
      </c>
      <c r="D15" s="18" t="n">
        <f aca="false">Programme!$G$119</f>
        <v>4.1</v>
      </c>
      <c r="E15" s="18" t="n">
        <v>2200</v>
      </c>
      <c r="F15" s="18" t="n">
        <f aca="false">D15*E15</f>
        <v>9020</v>
      </c>
      <c r="G15" s="19" t="s">
        <v>112</v>
      </c>
    </row>
    <row r="16" customFormat="false" ht="54.75" hidden="false" customHeight="true" outlineLevel="0" collapsed="false">
      <c r="A16" s="16" t="s">
        <v>115</v>
      </c>
      <c r="B16" s="17" t="s">
        <v>116</v>
      </c>
      <c r="C16" s="16" t="s">
        <v>96</v>
      </c>
      <c r="D16" s="18" t="n">
        <f aca="false">Programme!$G$120</f>
        <v>4.1</v>
      </c>
      <c r="E16" s="18" t="n">
        <v>1300</v>
      </c>
      <c r="F16" s="18" t="n">
        <f aca="false">D16*E16</f>
        <v>5330</v>
      </c>
      <c r="G16" s="19" t="s">
        <v>112</v>
      </c>
    </row>
    <row r="17" customFormat="false" ht="54.75" hidden="false" customHeight="true" outlineLevel="0" collapsed="false">
      <c r="A17" s="16" t="s">
        <v>117</v>
      </c>
      <c r="B17" s="17" t="s">
        <v>118</v>
      </c>
      <c r="C17" s="16" t="s">
        <v>119</v>
      </c>
      <c r="D17" s="18" t="n">
        <f aca="false">Programme!$G$121</f>
        <v>36</v>
      </c>
      <c r="E17" s="18" t="n">
        <v>350</v>
      </c>
      <c r="F17" s="18" t="n">
        <f aca="false">D17*E17</f>
        <v>12600</v>
      </c>
      <c r="G17" s="19" t="s">
        <v>120</v>
      </c>
    </row>
    <row r="18" customFormat="false" ht="54.75" hidden="false" customHeight="true" outlineLevel="0" collapsed="false">
      <c r="A18" s="16" t="s">
        <v>121</v>
      </c>
      <c r="B18" s="17" t="s">
        <v>122</v>
      </c>
      <c r="C18" s="16" t="s">
        <v>96</v>
      </c>
      <c r="D18" s="18" t="n">
        <f aca="false">Programme!$G$122</f>
        <v>4.1</v>
      </c>
      <c r="E18" s="18" t="n">
        <v>350</v>
      </c>
      <c r="F18" s="18" t="n">
        <f aca="false">D18*E18</f>
        <v>1435</v>
      </c>
      <c r="G18" s="19" t="s">
        <v>112</v>
      </c>
    </row>
    <row r="19" customFormat="false" ht="54.75" hidden="false" customHeight="true" outlineLevel="0" collapsed="false">
      <c r="A19" s="16" t="s">
        <v>123</v>
      </c>
      <c r="B19" s="17" t="s">
        <v>124</v>
      </c>
      <c r="C19" s="16" t="s">
        <v>125</v>
      </c>
      <c r="D19" s="18" t="n">
        <f aca="false">Programme!$G$123</f>
        <v>5.6</v>
      </c>
      <c r="E19" s="18" t="n">
        <v>1200</v>
      </c>
      <c r="F19" s="18" t="n">
        <f aca="false">D19*E19</f>
        <v>6720</v>
      </c>
      <c r="G19" s="19" t="s">
        <v>126</v>
      </c>
    </row>
    <row r="20" customFormat="false" ht="54.75" hidden="false" customHeight="true" outlineLevel="0" collapsed="false">
      <c r="A20" s="16" t="s">
        <v>127</v>
      </c>
      <c r="B20" s="17" t="s">
        <v>128</v>
      </c>
      <c r="C20" s="16" t="s">
        <v>96</v>
      </c>
      <c r="D20" s="18" t="n">
        <f aca="false">Programme!$G$124</f>
        <v>4.1</v>
      </c>
      <c r="E20" s="18" t="n">
        <v>4000</v>
      </c>
      <c r="F20" s="18" t="n">
        <f aca="false">D20*E20</f>
        <v>16400</v>
      </c>
      <c r="G20" s="19" t="s">
        <v>129</v>
      </c>
    </row>
    <row r="21" customFormat="false" ht="67.5" hidden="false" customHeight="true" outlineLevel="0" collapsed="false">
      <c r="A21" s="16" t="s">
        <v>130</v>
      </c>
      <c r="B21" s="17" t="s">
        <v>131</v>
      </c>
      <c r="C21" s="16" t="s">
        <v>96</v>
      </c>
      <c r="D21" s="18" t="n">
        <f aca="false">Programme!$G$125</f>
        <v>4.1</v>
      </c>
      <c r="E21" s="18" t="n">
        <v>4500</v>
      </c>
      <c r="F21" s="18" t="n">
        <f aca="false">D21*E21</f>
        <v>18450</v>
      </c>
      <c r="G21" s="19" t="s">
        <v>132</v>
      </c>
    </row>
    <row r="22" customFormat="false" ht="54.75" hidden="false" customHeight="true" outlineLevel="0" collapsed="false">
      <c r="A22" s="16" t="s">
        <v>133</v>
      </c>
      <c r="B22" s="17" t="s">
        <v>134</v>
      </c>
      <c r="C22" s="16" t="s">
        <v>135</v>
      </c>
      <c r="D22" s="18" t="n">
        <v>5</v>
      </c>
      <c r="E22" s="18" t="n">
        <v>1250</v>
      </c>
      <c r="F22" s="18" t="n">
        <f aca="false">D22*E22</f>
        <v>6250</v>
      </c>
      <c r="G22" s="19" t="s">
        <v>136</v>
      </c>
    </row>
    <row r="23" customFormat="false" ht="54.75" hidden="false" customHeight="true" outlineLevel="0" collapsed="false">
      <c r="A23" s="16" t="s">
        <v>137</v>
      </c>
      <c r="B23" s="17" t="s">
        <v>138</v>
      </c>
      <c r="C23" s="16" t="s">
        <v>135</v>
      </c>
      <c r="D23" s="18" t="n">
        <v>5</v>
      </c>
      <c r="E23" s="18" t="n">
        <v>1250</v>
      </c>
      <c r="F23" s="18" t="n">
        <f aca="false">D23*E23</f>
        <v>6250</v>
      </c>
      <c r="G23" s="19" t="s">
        <v>139</v>
      </c>
    </row>
    <row r="24" customFormat="false" ht="29.25" hidden="false" customHeight="true" outlineLevel="0" collapsed="false">
      <c r="A24" s="16" t="s">
        <v>140</v>
      </c>
      <c r="B24" s="17" t="s">
        <v>141</v>
      </c>
      <c r="C24" s="16" t="s">
        <v>142</v>
      </c>
      <c r="D24" s="18" t="n">
        <v>12</v>
      </c>
      <c r="E24" s="18" t="n">
        <v>150</v>
      </c>
      <c r="F24" s="18" t="n">
        <f aca="false">D24*E24</f>
        <v>1800</v>
      </c>
      <c r="G24" s="19" t="s">
        <v>143</v>
      </c>
    </row>
    <row r="25" customFormat="false" ht="66" hidden="false" customHeight="true" outlineLevel="0" collapsed="false">
      <c r="A25" s="16" t="s">
        <v>144</v>
      </c>
      <c r="B25" s="17" t="s">
        <v>145</v>
      </c>
      <c r="C25" s="16" t="s">
        <v>146</v>
      </c>
      <c r="D25" s="18" t="n">
        <v>1</v>
      </c>
      <c r="E25" s="18" t="n">
        <v>13000</v>
      </c>
      <c r="F25" s="18" t="n">
        <f aca="false">D25*E25</f>
        <v>13000</v>
      </c>
      <c r="G25" s="19" t="s">
        <v>147</v>
      </c>
    </row>
    <row r="26" customFormat="false" ht="80.25" hidden="false" customHeight="true" outlineLevel="0" collapsed="false">
      <c r="A26" s="16" t="s">
        <v>148</v>
      </c>
      <c r="B26" s="17" t="s">
        <v>149</v>
      </c>
      <c r="C26" s="16" t="s">
        <v>72</v>
      </c>
      <c r="D26" s="18" t="n">
        <v>20</v>
      </c>
      <c r="E26" s="18" t="n">
        <v>350</v>
      </c>
      <c r="F26" s="18" t="n">
        <f aca="false">D26*E26</f>
        <v>7000</v>
      </c>
      <c r="G26" s="19" t="s">
        <v>150</v>
      </c>
    </row>
    <row r="27" customFormat="false" ht="51.75" hidden="false" customHeight="true" outlineLevel="0" collapsed="false">
      <c r="A27" s="16" t="s">
        <v>151</v>
      </c>
      <c r="B27" s="17" t="s">
        <v>152</v>
      </c>
      <c r="C27" s="16" t="s">
        <v>72</v>
      </c>
      <c r="D27" s="18" t="n">
        <v>12</v>
      </c>
      <c r="E27" s="18" t="n">
        <v>150</v>
      </c>
      <c r="F27" s="18" t="n">
        <f aca="false">D27*E27</f>
        <v>1800</v>
      </c>
      <c r="G27" s="19" t="s">
        <v>153</v>
      </c>
    </row>
    <row r="28" customFormat="false" ht="54.75" hidden="false" customHeight="true" outlineLevel="0" collapsed="false">
      <c r="A28" s="16" t="s">
        <v>154</v>
      </c>
      <c r="B28" s="17" t="s">
        <v>155</v>
      </c>
      <c r="C28" s="16" t="s">
        <v>72</v>
      </c>
      <c r="D28" s="18" t="n">
        <v>12</v>
      </c>
      <c r="E28" s="18" t="n">
        <v>1479.63</v>
      </c>
      <c r="F28" s="18" t="n">
        <f aca="false">D28*E28</f>
        <v>17755.56</v>
      </c>
      <c r="G28" s="19" t="s">
        <v>156</v>
      </c>
    </row>
    <row r="29" customFormat="false" ht="51.75" hidden="false" customHeight="true" outlineLevel="0" collapsed="false">
      <c r="A29" s="16" t="s">
        <v>157</v>
      </c>
      <c r="B29" s="17" t="s">
        <v>158</v>
      </c>
      <c r="C29" s="16" t="s">
        <v>159</v>
      </c>
      <c r="D29" s="18" t="n">
        <v>100</v>
      </c>
      <c r="E29" s="18" t="n">
        <v>100</v>
      </c>
      <c r="F29" s="18" t="n">
        <f aca="false">D29*E29</f>
        <v>10000</v>
      </c>
      <c r="G29" s="19" t="s">
        <v>160</v>
      </c>
    </row>
    <row r="30" customFormat="false" ht="118.5" hidden="false" customHeight="true" outlineLevel="0" collapsed="false">
      <c r="A30" s="16" t="s">
        <v>161</v>
      </c>
      <c r="B30" s="17" t="s">
        <v>162</v>
      </c>
      <c r="C30" s="16" t="s">
        <v>163</v>
      </c>
      <c r="D30" s="18" t="n">
        <v>3</v>
      </c>
      <c r="E30" s="18" t="n">
        <v>550</v>
      </c>
      <c r="F30" s="18" t="n">
        <f aca="false">D30*E30</f>
        <v>1650</v>
      </c>
      <c r="G30" s="19" t="s">
        <v>164</v>
      </c>
    </row>
    <row r="31" customFormat="false" ht="45" hidden="false" customHeight="true" outlineLevel="0" collapsed="false">
      <c r="A31" s="16" t="s">
        <v>165</v>
      </c>
      <c r="B31" s="17" t="s">
        <v>166</v>
      </c>
      <c r="C31" s="16" t="s">
        <v>163</v>
      </c>
      <c r="D31" s="18" t="n">
        <v>4</v>
      </c>
      <c r="E31" s="18" t="n">
        <v>500</v>
      </c>
      <c r="F31" s="18" t="n">
        <f aca="false">D31*E31</f>
        <v>2000</v>
      </c>
      <c r="G31" s="19" t="s">
        <v>143</v>
      </c>
    </row>
    <row r="32" customFormat="false" ht="19.5" hidden="false" customHeight="true" outlineLevel="0" collapsed="false">
      <c r="A32" s="34"/>
      <c r="B32" s="23" t="s">
        <v>167</v>
      </c>
      <c r="C32" s="34"/>
      <c r="D32" s="34"/>
      <c r="E32" s="34"/>
      <c r="F32" s="35" t="n">
        <f aca="false">SUM(F9:F31)</f>
        <v>319680.56</v>
      </c>
      <c r="G32" s="34"/>
    </row>
    <row r="34" customFormat="false" ht="21" hidden="false" customHeight="true" outlineLevel="0" collapsed="false">
      <c r="A34" s="15" t="s">
        <v>168</v>
      </c>
      <c r="B34" s="15"/>
      <c r="C34" s="15"/>
      <c r="D34" s="15"/>
      <c r="E34" s="15"/>
      <c r="F34" s="15"/>
      <c r="G34" s="15"/>
    </row>
    <row r="35" customFormat="false" ht="31.5" hidden="false" customHeight="true" outlineLevel="0" collapsed="false">
      <c r="A35" s="11" t="s">
        <v>169</v>
      </c>
      <c r="B35" s="11"/>
      <c r="C35" s="11"/>
      <c r="D35" s="11"/>
      <c r="E35" s="11"/>
      <c r="F35" s="11"/>
      <c r="G35" s="11"/>
    </row>
    <row r="36" customFormat="false" ht="24" hidden="false" customHeight="true" outlineLevel="0" collapsed="false">
      <c r="A36" s="13" t="s">
        <v>92</v>
      </c>
      <c r="B36" s="13" t="s">
        <v>36</v>
      </c>
      <c r="C36" s="13" t="s">
        <v>37</v>
      </c>
      <c r="D36" s="13" t="s">
        <v>38</v>
      </c>
      <c r="E36" s="13" t="s">
        <v>39</v>
      </c>
      <c r="F36" s="13" t="s">
        <v>40</v>
      </c>
      <c r="G36" s="13" t="s">
        <v>93</v>
      </c>
    </row>
    <row r="37" customFormat="false" ht="80.25" hidden="false" customHeight="true" outlineLevel="0" collapsed="false">
      <c r="A37" s="16" t="s">
        <v>170</v>
      </c>
      <c r="B37" s="17" t="s">
        <v>171</v>
      </c>
      <c r="C37" s="16" t="s">
        <v>96</v>
      </c>
      <c r="D37" s="18" t="n">
        <v>2</v>
      </c>
      <c r="E37" s="18" t="n">
        <v>15000</v>
      </c>
      <c r="F37" s="18" t="n">
        <f aca="false">D37*E37</f>
        <v>30000</v>
      </c>
      <c r="G37" s="19" t="s">
        <v>172</v>
      </c>
    </row>
    <row r="38" customFormat="false" ht="54.75" hidden="false" customHeight="true" outlineLevel="0" collapsed="false">
      <c r="A38" s="16" t="s">
        <v>173</v>
      </c>
      <c r="B38" s="17" t="s">
        <v>174</v>
      </c>
      <c r="C38" s="16" t="s">
        <v>96</v>
      </c>
      <c r="D38" s="18" t="n">
        <v>1.5</v>
      </c>
      <c r="E38" s="18" t="n">
        <v>8000</v>
      </c>
      <c r="F38" s="18" t="n">
        <f aca="false">D38*E38</f>
        <v>12000</v>
      </c>
      <c r="G38" s="19" t="s">
        <v>175</v>
      </c>
    </row>
    <row r="39" customFormat="false" ht="118.5" hidden="false" customHeight="true" outlineLevel="0" collapsed="false">
      <c r="A39" s="16" t="s">
        <v>176</v>
      </c>
      <c r="B39" s="17" t="s">
        <v>177</v>
      </c>
      <c r="C39" s="16" t="s">
        <v>178</v>
      </c>
      <c r="D39" s="18" t="n">
        <v>6</v>
      </c>
      <c r="E39" s="18" t="n">
        <v>1500</v>
      </c>
      <c r="F39" s="18" t="n">
        <f aca="false">D39*E39</f>
        <v>9000</v>
      </c>
      <c r="G39" s="19" t="s">
        <v>179</v>
      </c>
    </row>
    <row r="40" customFormat="false" ht="67.5" hidden="false" customHeight="true" outlineLevel="0" collapsed="false">
      <c r="A40" s="16" t="s">
        <v>180</v>
      </c>
      <c r="B40" s="17" t="s">
        <v>181</v>
      </c>
      <c r="C40" s="16" t="s">
        <v>163</v>
      </c>
      <c r="D40" s="18" t="n">
        <v>8</v>
      </c>
      <c r="E40" s="18" t="n">
        <v>500</v>
      </c>
      <c r="F40" s="18" t="n">
        <f aca="false">D40*E40</f>
        <v>4000</v>
      </c>
      <c r="G40" s="19" t="s">
        <v>182</v>
      </c>
    </row>
    <row r="41" customFormat="false" ht="19.5" hidden="false" customHeight="true" outlineLevel="0" collapsed="false">
      <c r="A41" s="34"/>
      <c r="B41" s="23" t="s">
        <v>183</v>
      </c>
      <c r="C41" s="34"/>
      <c r="D41" s="34"/>
      <c r="E41" s="34"/>
      <c r="F41" s="35" t="n">
        <f aca="false">SUM(F37:F40)</f>
        <v>55000</v>
      </c>
      <c r="G41" s="34"/>
    </row>
    <row r="43" customFormat="false" ht="21" hidden="false" customHeight="true" outlineLevel="0" collapsed="false">
      <c r="A43" s="15" t="s">
        <v>184</v>
      </c>
      <c r="B43" s="15"/>
      <c r="C43" s="15"/>
      <c r="D43" s="15"/>
      <c r="E43" s="15"/>
      <c r="F43" s="15"/>
      <c r="G43" s="15"/>
    </row>
    <row r="44" customFormat="false" ht="31.5" hidden="false" customHeight="true" outlineLevel="0" collapsed="false">
      <c r="A44" s="11" t="s">
        <v>185</v>
      </c>
      <c r="B44" s="11"/>
      <c r="C44" s="11"/>
      <c r="D44" s="11"/>
      <c r="E44" s="11"/>
      <c r="F44" s="11"/>
      <c r="G44" s="11"/>
    </row>
    <row r="45" customFormat="false" ht="24" hidden="false" customHeight="true" outlineLevel="0" collapsed="false">
      <c r="A45" s="13" t="s">
        <v>92</v>
      </c>
      <c r="B45" s="13" t="s">
        <v>36</v>
      </c>
      <c r="C45" s="13" t="s">
        <v>37</v>
      </c>
      <c r="D45" s="13" t="s">
        <v>38</v>
      </c>
      <c r="E45" s="13" t="s">
        <v>39</v>
      </c>
      <c r="F45" s="13" t="s">
        <v>40</v>
      </c>
      <c r="G45" s="13" t="s">
        <v>93</v>
      </c>
    </row>
    <row r="46" customFormat="false" ht="54.75" hidden="false" customHeight="true" outlineLevel="0" collapsed="false">
      <c r="A46" s="16" t="s">
        <v>186</v>
      </c>
      <c r="B46" s="17" t="s">
        <v>187</v>
      </c>
      <c r="C46" s="16" t="s">
        <v>146</v>
      </c>
      <c r="D46" s="18" t="n">
        <v>1</v>
      </c>
      <c r="E46" s="18" t="n">
        <v>71000</v>
      </c>
      <c r="F46" s="18" t="n">
        <f aca="false">D46*E46</f>
        <v>71000</v>
      </c>
      <c r="G46" s="19" t="s">
        <v>188</v>
      </c>
    </row>
    <row r="47" customFormat="false" ht="19.5" hidden="false" customHeight="true" outlineLevel="0" collapsed="false">
      <c r="A47" s="34"/>
      <c r="B47" s="23" t="s">
        <v>189</v>
      </c>
      <c r="C47" s="34"/>
      <c r="D47" s="34"/>
      <c r="E47" s="34"/>
      <c r="F47" s="35" t="n">
        <f aca="false">SUM(F46:F46)</f>
        <v>71000</v>
      </c>
      <c r="G47" s="34"/>
    </row>
    <row r="48" customFormat="false" ht="14.25" hidden="false" customHeight="false" outlineLevel="0" collapsed="false">
      <c r="B48" s="36" t="s">
        <v>190</v>
      </c>
    </row>
    <row r="49" customFormat="false" ht="29.25" hidden="false" customHeight="true" outlineLevel="0" collapsed="false">
      <c r="A49" s="16" t="s">
        <v>191</v>
      </c>
      <c r="B49" s="17" t="s">
        <v>192</v>
      </c>
      <c r="C49" s="16" t="s">
        <v>142</v>
      </c>
      <c r="D49" s="18" t="n">
        <v>72</v>
      </c>
      <c r="E49" s="18" t="n">
        <v>150</v>
      </c>
      <c r="F49" s="18" t="n">
        <f aca="false">D49*E49</f>
        <v>10800</v>
      </c>
      <c r="G49" s="19" t="s">
        <v>143</v>
      </c>
    </row>
    <row r="50" customFormat="false" ht="29.25" hidden="false" customHeight="true" outlineLevel="0" collapsed="false">
      <c r="A50" s="16" t="s">
        <v>193</v>
      </c>
      <c r="B50" s="17" t="s">
        <v>194</v>
      </c>
      <c r="C50" s="16" t="s">
        <v>142</v>
      </c>
      <c r="D50" s="18" t="n">
        <v>12</v>
      </c>
      <c r="E50" s="18" t="n">
        <v>250</v>
      </c>
      <c r="F50" s="18" t="n">
        <f aca="false">D50*E50</f>
        <v>3000</v>
      </c>
      <c r="G50" s="19" t="s">
        <v>143</v>
      </c>
    </row>
    <row r="51" customFormat="false" ht="29.25" hidden="false" customHeight="true" outlineLevel="0" collapsed="false">
      <c r="A51" s="16" t="s">
        <v>195</v>
      </c>
      <c r="B51" s="17" t="s">
        <v>196</v>
      </c>
      <c r="C51" s="16" t="s">
        <v>163</v>
      </c>
      <c r="D51" s="18" t="n">
        <v>12</v>
      </c>
      <c r="E51" s="18" t="n">
        <v>2500</v>
      </c>
      <c r="F51" s="18" t="n">
        <f aca="false">D51*E51</f>
        <v>30000</v>
      </c>
      <c r="G51" s="19" t="s">
        <v>143</v>
      </c>
    </row>
    <row r="52" customFormat="false" ht="29.25" hidden="false" customHeight="true" outlineLevel="0" collapsed="false">
      <c r="A52" s="16" t="s">
        <v>197</v>
      </c>
      <c r="B52" s="17" t="s">
        <v>198</v>
      </c>
      <c r="C52" s="16" t="s">
        <v>72</v>
      </c>
      <c r="D52" s="18" t="n">
        <v>200</v>
      </c>
      <c r="E52" s="18" t="n">
        <v>10</v>
      </c>
      <c r="F52" s="18" t="n">
        <f aca="false">D52*E52</f>
        <v>2000</v>
      </c>
      <c r="G52" s="19" t="s">
        <v>143</v>
      </c>
    </row>
    <row r="53" customFormat="false" ht="29.25" hidden="false" customHeight="true" outlineLevel="0" collapsed="false">
      <c r="A53" s="16" t="s">
        <v>199</v>
      </c>
      <c r="B53" s="17" t="s">
        <v>200</v>
      </c>
      <c r="C53" s="16" t="s">
        <v>201</v>
      </c>
      <c r="D53" s="18" t="n">
        <v>1</v>
      </c>
      <c r="E53" s="18" t="n">
        <v>1500</v>
      </c>
      <c r="F53" s="18" t="n">
        <f aca="false">D53*E53</f>
        <v>1500</v>
      </c>
      <c r="G53" s="19" t="s">
        <v>143</v>
      </c>
    </row>
    <row r="54" customFormat="false" ht="29.25" hidden="false" customHeight="true" outlineLevel="0" collapsed="false">
      <c r="A54" s="16" t="s">
        <v>202</v>
      </c>
      <c r="B54" s="17" t="s">
        <v>203</v>
      </c>
      <c r="C54" s="16" t="s">
        <v>204</v>
      </c>
      <c r="D54" s="18" t="n">
        <v>1</v>
      </c>
      <c r="E54" s="18" t="n">
        <v>1500</v>
      </c>
      <c r="F54" s="18" t="n">
        <f aca="false">D54*E54</f>
        <v>1500</v>
      </c>
      <c r="G54" s="19" t="s">
        <v>143</v>
      </c>
    </row>
    <row r="55" customFormat="false" ht="29.25" hidden="false" customHeight="true" outlineLevel="0" collapsed="false">
      <c r="A55" s="16" t="s">
        <v>205</v>
      </c>
      <c r="B55" s="17" t="s">
        <v>206</v>
      </c>
      <c r="C55" s="16" t="s">
        <v>163</v>
      </c>
      <c r="D55" s="18" t="n">
        <v>3</v>
      </c>
      <c r="E55" s="18" t="n">
        <v>500</v>
      </c>
      <c r="F55" s="18" t="n">
        <f aca="false">D55*E55</f>
        <v>1500</v>
      </c>
      <c r="G55" s="19" t="s">
        <v>143</v>
      </c>
    </row>
    <row r="56" customFormat="false" ht="29.25" hidden="false" customHeight="true" outlineLevel="0" collapsed="false">
      <c r="A56" s="16" t="s">
        <v>207</v>
      </c>
      <c r="B56" s="17" t="s">
        <v>208</v>
      </c>
      <c r="C56" s="16" t="s">
        <v>209</v>
      </c>
      <c r="D56" s="18" t="n">
        <v>30</v>
      </c>
      <c r="E56" s="18" t="n">
        <v>10</v>
      </c>
      <c r="F56" s="18" t="n">
        <f aca="false">D56*E56</f>
        <v>300</v>
      </c>
      <c r="G56" s="19" t="s">
        <v>143</v>
      </c>
    </row>
    <row r="57" customFormat="false" ht="29.25" hidden="false" customHeight="true" outlineLevel="0" collapsed="false">
      <c r="A57" s="16" t="s">
        <v>210</v>
      </c>
      <c r="B57" s="17" t="s">
        <v>211</v>
      </c>
      <c r="C57" s="16" t="s">
        <v>142</v>
      </c>
      <c r="D57" s="18" t="n">
        <v>6</v>
      </c>
      <c r="E57" s="18" t="n">
        <v>150</v>
      </c>
      <c r="F57" s="18" t="n">
        <f aca="false">D57*E57</f>
        <v>900</v>
      </c>
      <c r="G57" s="19" t="s">
        <v>143</v>
      </c>
    </row>
    <row r="58" customFormat="false" ht="29.25" hidden="false" customHeight="true" outlineLevel="0" collapsed="false">
      <c r="A58" s="16" t="s">
        <v>212</v>
      </c>
      <c r="B58" s="17" t="s">
        <v>213</v>
      </c>
      <c r="C58" s="16" t="s">
        <v>72</v>
      </c>
      <c r="D58" s="18" t="n">
        <v>8</v>
      </c>
      <c r="E58" s="18" t="n">
        <v>400</v>
      </c>
      <c r="F58" s="18" t="n">
        <f aca="false">D58*E58</f>
        <v>3200</v>
      </c>
      <c r="G58" s="19" t="s">
        <v>143</v>
      </c>
    </row>
    <row r="59" customFormat="false" ht="29.25" hidden="false" customHeight="true" outlineLevel="0" collapsed="false">
      <c r="A59" s="16" t="s">
        <v>214</v>
      </c>
      <c r="B59" s="17" t="s">
        <v>215</v>
      </c>
      <c r="C59" s="16" t="s">
        <v>163</v>
      </c>
      <c r="D59" s="18" t="n">
        <v>4</v>
      </c>
      <c r="E59" s="18" t="n">
        <v>500</v>
      </c>
      <c r="F59" s="18" t="n">
        <f aca="false">D59*E59</f>
        <v>2000</v>
      </c>
      <c r="G59" s="19" t="s">
        <v>143</v>
      </c>
    </row>
    <row r="60" customFormat="false" ht="29.25" hidden="false" customHeight="true" outlineLevel="0" collapsed="false">
      <c r="A60" s="16" t="s">
        <v>216</v>
      </c>
      <c r="B60" s="17" t="s">
        <v>217</v>
      </c>
      <c r="C60" s="16" t="s">
        <v>163</v>
      </c>
      <c r="D60" s="18" t="n">
        <v>3</v>
      </c>
      <c r="E60" s="18" t="n">
        <v>800</v>
      </c>
      <c r="F60" s="18" t="n">
        <f aca="false">D60*E60</f>
        <v>2400</v>
      </c>
      <c r="G60" s="19" t="s">
        <v>143</v>
      </c>
    </row>
    <row r="61" customFormat="false" ht="29.25" hidden="false" customHeight="true" outlineLevel="0" collapsed="false">
      <c r="A61" s="16" t="s">
        <v>218</v>
      </c>
      <c r="B61" s="17" t="s">
        <v>219</v>
      </c>
      <c r="C61" s="16" t="s">
        <v>72</v>
      </c>
      <c r="D61" s="18" t="n">
        <v>4</v>
      </c>
      <c r="E61" s="18" t="n">
        <v>400</v>
      </c>
      <c r="F61" s="18" t="n">
        <f aca="false">D61*E61</f>
        <v>1600</v>
      </c>
      <c r="G61" s="19" t="s">
        <v>143</v>
      </c>
    </row>
    <row r="62" customFormat="false" ht="29.25" hidden="false" customHeight="true" outlineLevel="0" collapsed="false">
      <c r="A62" s="16" t="s">
        <v>220</v>
      </c>
      <c r="B62" s="17" t="s">
        <v>221</v>
      </c>
      <c r="C62" s="16" t="s">
        <v>146</v>
      </c>
      <c r="D62" s="18" t="n">
        <v>1</v>
      </c>
      <c r="E62" s="18" t="n">
        <v>1000</v>
      </c>
      <c r="F62" s="18" t="n">
        <f aca="false">D62*E62</f>
        <v>1000</v>
      </c>
      <c r="G62" s="19" t="s">
        <v>143</v>
      </c>
    </row>
    <row r="63" customFormat="false" ht="14.25" hidden="false" customHeight="false" outlineLevel="0" collapsed="false">
      <c r="B63" s="36" t="s">
        <v>222</v>
      </c>
      <c r="F63" s="37" t="n">
        <f aca="false">SUM(F49:F62)</f>
        <v>61700</v>
      </c>
    </row>
    <row r="65" customFormat="false" ht="21" hidden="false" customHeight="true" outlineLevel="0" collapsed="false">
      <c r="A65" s="15" t="s">
        <v>223</v>
      </c>
      <c r="B65" s="15"/>
      <c r="C65" s="15"/>
      <c r="D65" s="15"/>
      <c r="E65" s="15"/>
      <c r="F65" s="15"/>
      <c r="G65" s="15"/>
    </row>
    <row r="66" customFormat="false" ht="45" hidden="false" customHeight="true" outlineLevel="0" collapsed="false">
      <c r="A66" s="11" t="s">
        <v>224</v>
      </c>
      <c r="B66" s="11"/>
      <c r="C66" s="11"/>
      <c r="D66" s="11"/>
      <c r="E66" s="11"/>
      <c r="F66" s="11"/>
      <c r="G66" s="11"/>
    </row>
    <row r="67" customFormat="false" ht="24" hidden="false" customHeight="true" outlineLevel="0" collapsed="false">
      <c r="A67" s="13" t="s">
        <v>92</v>
      </c>
      <c r="B67" s="13" t="s">
        <v>36</v>
      </c>
      <c r="C67" s="13" t="s">
        <v>37</v>
      </c>
      <c r="D67" s="13" t="s">
        <v>38</v>
      </c>
      <c r="E67" s="13" t="s">
        <v>39</v>
      </c>
      <c r="F67" s="13" t="s">
        <v>40</v>
      </c>
      <c r="G67" s="13" t="s">
        <v>93</v>
      </c>
    </row>
    <row r="68" customFormat="false" ht="54.75" hidden="false" customHeight="true" outlineLevel="0" collapsed="false">
      <c r="A68" s="16" t="s">
        <v>225</v>
      </c>
      <c r="B68" s="17" t="s">
        <v>226</v>
      </c>
      <c r="C68" s="16" t="s">
        <v>227</v>
      </c>
      <c r="D68" s="18" t="n">
        <v>14</v>
      </c>
      <c r="E68" s="18" t="n">
        <v>450</v>
      </c>
      <c r="F68" s="18" t="n">
        <f aca="false">D68*E68</f>
        <v>6300</v>
      </c>
      <c r="G68" s="19" t="s">
        <v>228</v>
      </c>
    </row>
    <row r="69" customFormat="false" ht="19.5" hidden="false" customHeight="true" outlineLevel="0" collapsed="false">
      <c r="A69" s="34"/>
      <c r="B69" s="23" t="s">
        <v>229</v>
      </c>
      <c r="C69" s="34"/>
      <c r="D69" s="34"/>
      <c r="E69" s="34"/>
      <c r="F69" s="35" t="n">
        <f aca="false">SUM(F68:F68)</f>
        <v>6300</v>
      </c>
      <c r="G69" s="34"/>
    </row>
    <row r="71" customFormat="false" ht="21" hidden="false" customHeight="true" outlineLevel="0" collapsed="false">
      <c r="A71" s="15" t="s">
        <v>230</v>
      </c>
      <c r="B71" s="15"/>
      <c r="C71" s="15"/>
      <c r="D71" s="15"/>
      <c r="E71" s="15"/>
      <c r="F71" s="15"/>
      <c r="G71" s="15"/>
    </row>
    <row r="72" customFormat="false" ht="96" hidden="false" customHeight="true" outlineLevel="0" collapsed="false">
      <c r="A72" s="11" t="s">
        <v>231</v>
      </c>
      <c r="B72" s="11"/>
      <c r="C72" s="11"/>
      <c r="D72" s="11"/>
      <c r="E72" s="11"/>
      <c r="F72" s="11"/>
      <c r="G72" s="11"/>
    </row>
    <row r="73" customFormat="false" ht="24" hidden="false" customHeight="true" outlineLevel="0" collapsed="false">
      <c r="A73" s="13" t="s">
        <v>92</v>
      </c>
      <c r="B73" s="13" t="s">
        <v>36</v>
      </c>
      <c r="C73" s="13" t="s">
        <v>37</v>
      </c>
      <c r="D73" s="13" t="s">
        <v>38</v>
      </c>
      <c r="E73" s="13" t="s">
        <v>39</v>
      </c>
      <c r="F73" s="13" t="s">
        <v>40</v>
      </c>
      <c r="G73" s="13" t="s">
        <v>93</v>
      </c>
    </row>
    <row r="74" customFormat="false" ht="105.75" hidden="false" customHeight="true" outlineLevel="0" collapsed="false">
      <c r="A74" s="16" t="s">
        <v>232</v>
      </c>
      <c r="B74" s="17" t="s">
        <v>233</v>
      </c>
      <c r="C74" s="16" t="s">
        <v>163</v>
      </c>
      <c r="D74" s="18" t="n">
        <f aca="false">Programme!$G$126</f>
        <v>44</v>
      </c>
      <c r="E74" s="18" t="n">
        <v>1200</v>
      </c>
      <c r="F74" s="18" t="n">
        <f aca="false">D74*E74</f>
        <v>52800</v>
      </c>
      <c r="G74" s="19" t="s">
        <v>234</v>
      </c>
    </row>
    <row r="75" customFormat="false" ht="67.5" hidden="false" customHeight="true" outlineLevel="0" collapsed="false">
      <c r="A75" s="16" t="s">
        <v>235</v>
      </c>
      <c r="B75" s="17" t="s">
        <v>236</v>
      </c>
      <c r="C75" s="16" t="s">
        <v>163</v>
      </c>
      <c r="D75" s="18" t="n">
        <f aca="false">Programme!$G$128</f>
        <v>62</v>
      </c>
      <c r="E75" s="18" t="n">
        <v>900</v>
      </c>
      <c r="F75" s="18" t="n">
        <f aca="false">D75*E75</f>
        <v>55800</v>
      </c>
      <c r="G75" s="19" t="s">
        <v>237</v>
      </c>
    </row>
    <row r="76" customFormat="false" ht="67.5" hidden="false" customHeight="true" outlineLevel="0" collapsed="false">
      <c r="A76" s="16" t="s">
        <v>238</v>
      </c>
      <c r="B76" s="17" t="s">
        <v>239</v>
      </c>
      <c r="C76" s="16" t="s">
        <v>240</v>
      </c>
      <c r="D76" s="18" t="n">
        <v>1024</v>
      </c>
      <c r="E76" s="18" t="n">
        <v>55</v>
      </c>
      <c r="F76" s="18" t="n">
        <f aca="false">D76*E76</f>
        <v>56320</v>
      </c>
      <c r="G76" s="19" t="s">
        <v>241</v>
      </c>
    </row>
    <row r="77" customFormat="false" ht="54.75" hidden="false" customHeight="true" outlineLevel="0" collapsed="false">
      <c r="A77" s="16" t="s">
        <v>242</v>
      </c>
      <c r="B77" s="17" t="s">
        <v>243</v>
      </c>
      <c r="C77" s="16" t="s">
        <v>244</v>
      </c>
      <c r="D77" s="18" t="n">
        <f aca="false">Programme!$G$129</f>
        <v>4</v>
      </c>
      <c r="E77" s="18" t="n">
        <v>1800</v>
      </c>
      <c r="F77" s="18" t="n">
        <f aca="false">D77*E77</f>
        <v>7200</v>
      </c>
      <c r="G77" s="19" t="s">
        <v>245</v>
      </c>
    </row>
    <row r="78" customFormat="false" ht="29.25" hidden="false" customHeight="true" outlineLevel="0" collapsed="false">
      <c r="A78" s="16" t="s">
        <v>246</v>
      </c>
      <c r="B78" s="17" t="s">
        <v>247</v>
      </c>
      <c r="C78" s="16" t="s">
        <v>72</v>
      </c>
      <c r="D78" s="18" t="n">
        <v>4</v>
      </c>
      <c r="E78" s="18" t="n">
        <v>400</v>
      </c>
      <c r="F78" s="18" t="n">
        <f aca="false">D78*E78</f>
        <v>1600</v>
      </c>
      <c r="G78" s="19" t="s">
        <v>143</v>
      </c>
    </row>
    <row r="79" customFormat="false" ht="29.25" hidden="false" customHeight="true" outlineLevel="0" collapsed="false">
      <c r="A79" s="16" t="s">
        <v>248</v>
      </c>
      <c r="B79" s="17" t="s">
        <v>249</v>
      </c>
      <c r="C79" s="16" t="s">
        <v>250</v>
      </c>
      <c r="D79" s="18" t="n">
        <f aca="false">Programme!$G$130</f>
        <v>4</v>
      </c>
      <c r="E79" s="18" t="n">
        <v>350</v>
      </c>
      <c r="F79" s="18" t="n">
        <f aca="false">D79*E79</f>
        <v>1400</v>
      </c>
      <c r="G79" s="19" t="s">
        <v>251</v>
      </c>
    </row>
    <row r="80" customFormat="false" ht="67.5" hidden="false" customHeight="true" outlineLevel="0" collapsed="false">
      <c r="A80" s="16" t="s">
        <v>252</v>
      </c>
      <c r="B80" s="17" t="s">
        <v>253</v>
      </c>
      <c r="C80" s="16" t="s">
        <v>96</v>
      </c>
      <c r="D80" s="18" t="n">
        <f aca="false">Programme!$G$131</f>
        <v>3.8</v>
      </c>
      <c r="E80" s="18" t="n">
        <v>11000</v>
      </c>
      <c r="F80" s="18" t="n">
        <f aca="false">D80*E80</f>
        <v>41800</v>
      </c>
      <c r="G80" s="19" t="s">
        <v>254</v>
      </c>
    </row>
    <row r="81" customFormat="false" ht="54.75" hidden="false" customHeight="true" outlineLevel="0" collapsed="false">
      <c r="A81" s="16" t="s">
        <v>255</v>
      </c>
      <c r="B81" s="17" t="s">
        <v>256</v>
      </c>
      <c r="C81" s="16" t="s">
        <v>96</v>
      </c>
      <c r="D81" s="18" t="n">
        <f aca="false">Programme!$G$132</f>
        <v>4.1</v>
      </c>
      <c r="E81" s="18" t="n">
        <v>6000</v>
      </c>
      <c r="F81" s="18" t="n">
        <f aca="false">D81*E81</f>
        <v>24600</v>
      </c>
      <c r="G81" s="19" t="s">
        <v>257</v>
      </c>
    </row>
    <row r="82" customFormat="false" ht="42" hidden="false" customHeight="true" outlineLevel="0" collapsed="false">
      <c r="A82" s="16" t="s">
        <v>258</v>
      </c>
      <c r="B82" s="17" t="s">
        <v>259</v>
      </c>
      <c r="C82" s="16" t="s">
        <v>96</v>
      </c>
      <c r="D82" s="18" t="n">
        <f aca="false">Programme!$G$133</f>
        <v>4.1</v>
      </c>
      <c r="E82" s="18" t="n">
        <v>3000</v>
      </c>
      <c r="F82" s="18" t="n">
        <f aca="false">D82*E82</f>
        <v>12300</v>
      </c>
      <c r="G82" s="19" t="s">
        <v>260</v>
      </c>
    </row>
    <row r="83" customFormat="false" ht="132" hidden="false" customHeight="true" outlineLevel="0" collapsed="false">
      <c r="A83" s="16" t="s">
        <v>261</v>
      </c>
      <c r="B83" s="17" t="s">
        <v>262</v>
      </c>
      <c r="C83" s="16" t="s">
        <v>263</v>
      </c>
      <c r="D83" s="18" t="n">
        <f aca="false">Programme!$G$134</f>
        <v>18.5</v>
      </c>
      <c r="E83" s="18" t="n">
        <v>3000</v>
      </c>
      <c r="F83" s="18" t="n">
        <f aca="false">D83*E83</f>
        <v>55500</v>
      </c>
      <c r="G83" s="19" t="s">
        <v>264</v>
      </c>
    </row>
    <row r="84" customFormat="false" ht="42" hidden="false" customHeight="true" outlineLevel="0" collapsed="false">
      <c r="A84" s="16" t="s">
        <v>265</v>
      </c>
      <c r="B84" s="17" t="s">
        <v>266</v>
      </c>
      <c r="C84" s="16" t="s">
        <v>96</v>
      </c>
      <c r="D84" s="18" t="n">
        <f aca="false">Programme!$G$135</f>
        <v>2.7</v>
      </c>
      <c r="E84" s="18" t="n">
        <v>2500</v>
      </c>
      <c r="F84" s="18" t="n">
        <f aca="false">D84*E84</f>
        <v>6750</v>
      </c>
      <c r="G84" s="19" t="s">
        <v>267</v>
      </c>
    </row>
    <row r="85" customFormat="false" ht="93" hidden="false" customHeight="true" outlineLevel="0" collapsed="false">
      <c r="A85" s="16" t="s">
        <v>268</v>
      </c>
      <c r="B85" s="17" t="s">
        <v>269</v>
      </c>
      <c r="C85" s="16" t="s">
        <v>204</v>
      </c>
      <c r="D85" s="18" t="n">
        <v>0</v>
      </c>
      <c r="E85" s="18" t="n">
        <v>1500</v>
      </c>
      <c r="F85" s="18" t="n">
        <f aca="false">D85*E85</f>
        <v>0</v>
      </c>
      <c r="G85" s="19" t="s">
        <v>270</v>
      </c>
    </row>
    <row r="86" customFormat="false" ht="67.5" hidden="false" customHeight="true" outlineLevel="0" collapsed="false">
      <c r="A86" s="16" t="s">
        <v>271</v>
      </c>
      <c r="B86" s="17" t="s">
        <v>272</v>
      </c>
      <c r="C86" s="16" t="s">
        <v>204</v>
      </c>
      <c r="D86" s="18" t="n">
        <v>0</v>
      </c>
      <c r="E86" s="18" t="n">
        <v>2250</v>
      </c>
      <c r="F86" s="18" t="n">
        <f aca="false">D86*E86</f>
        <v>0</v>
      </c>
      <c r="G86" s="19" t="s">
        <v>273</v>
      </c>
    </row>
    <row r="87" customFormat="false" ht="42" hidden="false" customHeight="true" outlineLevel="0" collapsed="false">
      <c r="A87" s="16" t="s">
        <v>274</v>
      </c>
      <c r="B87" s="17" t="s">
        <v>275</v>
      </c>
      <c r="C87" s="16" t="s">
        <v>250</v>
      </c>
      <c r="D87" s="18" t="n">
        <f aca="false">Programme!$G$136</f>
        <v>5.4</v>
      </c>
      <c r="E87" s="18" t="n">
        <v>1200</v>
      </c>
      <c r="F87" s="18" t="n">
        <f aca="false">D87*E87</f>
        <v>6480</v>
      </c>
      <c r="G87" s="19" t="s">
        <v>276</v>
      </c>
    </row>
    <row r="88" customFormat="false" ht="29.25" hidden="false" customHeight="true" outlineLevel="0" collapsed="false">
      <c r="A88" s="16" t="s">
        <v>277</v>
      </c>
      <c r="B88" s="17" t="s">
        <v>278</v>
      </c>
      <c r="C88" s="16" t="s">
        <v>201</v>
      </c>
      <c r="D88" s="18" t="n">
        <v>2</v>
      </c>
      <c r="E88" s="18" t="n">
        <v>1400</v>
      </c>
      <c r="F88" s="18" t="n">
        <f aca="false">D88*E88</f>
        <v>2800</v>
      </c>
      <c r="G88" s="19" t="s">
        <v>143</v>
      </c>
    </row>
    <row r="89" customFormat="false" ht="19.5" hidden="false" customHeight="true" outlineLevel="0" collapsed="false">
      <c r="A89" s="34"/>
      <c r="B89" s="23" t="s">
        <v>279</v>
      </c>
      <c r="C89" s="34"/>
      <c r="D89" s="34"/>
      <c r="E89" s="34"/>
      <c r="F89" s="35" t="n">
        <f aca="false">SUM(F74:F88)</f>
        <v>325350</v>
      </c>
      <c r="G89" s="34"/>
    </row>
    <row r="91" customFormat="false" ht="21" hidden="false" customHeight="true" outlineLevel="0" collapsed="false">
      <c r="A91" s="15" t="s">
        <v>280</v>
      </c>
      <c r="B91" s="15"/>
      <c r="C91" s="15"/>
      <c r="D91" s="15"/>
      <c r="E91" s="15"/>
      <c r="F91" s="15"/>
      <c r="G91" s="15"/>
    </row>
    <row r="92" customFormat="false" ht="45" hidden="false" customHeight="true" outlineLevel="0" collapsed="false">
      <c r="A92" s="11" t="s">
        <v>281</v>
      </c>
      <c r="B92" s="11"/>
      <c r="C92" s="11"/>
      <c r="D92" s="11"/>
      <c r="E92" s="11"/>
      <c r="F92" s="11"/>
      <c r="G92" s="11"/>
    </row>
    <row r="93" customFormat="false" ht="24" hidden="false" customHeight="true" outlineLevel="0" collapsed="false">
      <c r="A93" s="13" t="s">
        <v>92</v>
      </c>
      <c r="B93" s="13" t="s">
        <v>36</v>
      </c>
      <c r="C93" s="13" t="s">
        <v>37</v>
      </c>
      <c r="D93" s="13" t="s">
        <v>38</v>
      </c>
      <c r="E93" s="13" t="s">
        <v>39</v>
      </c>
      <c r="F93" s="13" t="s">
        <v>40</v>
      </c>
      <c r="G93" s="13" t="s">
        <v>93</v>
      </c>
    </row>
    <row r="94" customFormat="false" ht="93" hidden="false" customHeight="true" outlineLevel="0" collapsed="false">
      <c r="A94" s="16" t="s">
        <v>282</v>
      </c>
      <c r="B94" s="17" t="s">
        <v>283</v>
      </c>
      <c r="C94" s="16" t="s">
        <v>72</v>
      </c>
      <c r="D94" s="18" t="n">
        <v>1</v>
      </c>
      <c r="E94" s="18" t="n">
        <v>2763500</v>
      </c>
      <c r="F94" s="18" t="n">
        <f aca="false">D94*E94</f>
        <v>2763500</v>
      </c>
      <c r="G94" s="19" t="s">
        <v>284</v>
      </c>
    </row>
    <row r="95" customFormat="false" ht="19.5" hidden="false" customHeight="true" outlineLevel="0" collapsed="false">
      <c r="A95" s="34"/>
      <c r="B95" s="23" t="s">
        <v>285</v>
      </c>
      <c r="C95" s="34"/>
      <c r="D95" s="34"/>
      <c r="E95" s="34"/>
      <c r="F95" s="35" t="n">
        <f aca="false">SUM(F94:F94)</f>
        <v>2763500</v>
      </c>
      <c r="G95" s="34"/>
    </row>
    <row r="97" customFormat="false" ht="21" hidden="false" customHeight="true" outlineLevel="0" collapsed="false">
      <c r="A97" s="15" t="s">
        <v>286</v>
      </c>
      <c r="B97" s="15"/>
      <c r="C97" s="15"/>
      <c r="D97" s="15"/>
      <c r="E97" s="15"/>
      <c r="F97" s="15"/>
      <c r="G97" s="15"/>
    </row>
    <row r="98" customFormat="false" ht="96" hidden="false" customHeight="true" outlineLevel="0" collapsed="false">
      <c r="A98" s="11" t="s">
        <v>287</v>
      </c>
      <c r="B98" s="11"/>
      <c r="C98" s="11"/>
      <c r="D98" s="11"/>
      <c r="E98" s="11"/>
      <c r="F98" s="11"/>
      <c r="G98" s="11"/>
    </row>
    <row r="99" customFormat="false" ht="24" hidden="false" customHeight="true" outlineLevel="0" collapsed="false">
      <c r="A99" s="13" t="s">
        <v>92</v>
      </c>
      <c r="B99" s="13" t="s">
        <v>36</v>
      </c>
      <c r="C99" s="13" t="s">
        <v>37</v>
      </c>
      <c r="D99" s="13" t="s">
        <v>38</v>
      </c>
      <c r="E99" s="13" t="s">
        <v>39</v>
      </c>
      <c r="F99" s="13" t="s">
        <v>40</v>
      </c>
      <c r="G99" s="13" t="s">
        <v>93</v>
      </c>
    </row>
    <row r="100" customFormat="false" ht="54.75" hidden="false" customHeight="true" outlineLevel="0" collapsed="false">
      <c r="A100" s="16" t="s">
        <v>288</v>
      </c>
      <c r="B100" s="17" t="s">
        <v>289</v>
      </c>
      <c r="C100" s="16" t="s">
        <v>209</v>
      </c>
      <c r="D100" s="18" t="n">
        <f aca="false">Programme!$G$137</f>
        <v>3774</v>
      </c>
      <c r="E100" s="18" t="n">
        <v>6</v>
      </c>
      <c r="F100" s="18" t="n">
        <f aca="false">D100*E100</f>
        <v>22644</v>
      </c>
      <c r="G100" s="19" t="s">
        <v>290</v>
      </c>
    </row>
    <row r="101" customFormat="false" ht="67.5" hidden="false" customHeight="true" outlineLevel="0" collapsed="false">
      <c r="A101" s="16" t="s">
        <v>291</v>
      </c>
      <c r="B101" s="17" t="s">
        <v>292</v>
      </c>
      <c r="C101" s="16" t="s">
        <v>163</v>
      </c>
      <c r="D101" s="18" t="n">
        <f aca="false">Programme!$G$138</f>
        <v>7</v>
      </c>
      <c r="E101" s="18" t="n">
        <v>500</v>
      </c>
      <c r="F101" s="18" t="n">
        <f aca="false">D101*E101</f>
        <v>3500</v>
      </c>
      <c r="G101" s="19" t="s">
        <v>293</v>
      </c>
    </row>
    <row r="102" customFormat="false" ht="29.25" hidden="false" customHeight="true" outlineLevel="0" collapsed="false">
      <c r="A102" s="16" t="s">
        <v>294</v>
      </c>
      <c r="B102" s="17" t="s">
        <v>295</v>
      </c>
      <c r="C102" s="16" t="s">
        <v>296</v>
      </c>
      <c r="D102" s="18" t="n">
        <f aca="false">Programme!$G$139</f>
        <v>1</v>
      </c>
      <c r="E102" s="18" t="n">
        <v>1000</v>
      </c>
      <c r="F102" s="18" t="n">
        <f aca="false">D102*E102</f>
        <v>1000</v>
      </c>
      <c r="G102" s="19" t="s">
        <v>143</v>
      </c>
    </row>
    <row r="103" customFormat="false" ht="42" hidden="false" customHeight="true" outlineLevel="0" collapsed="false">
      <c r="A103" s="16" t="s">
        <v>297</v>
      </c>
      <c r="B103" s="17" t="s">
        <v>298</v>
      </c>
      <c r="C103" s="16" t="s">
        <v>142</v>
      </c>
      <c r="D103" s="18" t="n">
        <f aca="false">Programme!$G$140</f>
        <v>6</v>
      </c>
      <c r="E103" s="18" t="n">
        <v>150</v>
      </c>
      <c r="F103" s="18" t="n">
        <f aca="false">D103*E103</f>
        <v>900</v>
      </c>
      <c r="G103" s="19" t="s">
        <v>299</v>
      </c>
    </row>
    <row r="104" customFormat="false" ht="42" hidden="false" customHeight="true" outlineLevel="0" collapsed="false">
      <c r="A104" s="16" t="s">
        <v>300</v>
      </c>
      <c r="B104" s="17" t="s">
        <v>301</v>
      </c>
      <c r="C104" s="16" t="s">
        <v>209</v>
      </c>
      <c r="D104" s="18" t="n">
        <f aca="false">Programme!$G$141</f>
        <v>377</v>
      </c>
      <c r="E104" s="18" t="n">
        <v>6</v>
      </c>
      <c r="F104" s="18" t="n">
        <f aca="false">D104*E104</f>
        <v>2262</v>
      </c>
      <c r="G104" s="19" t="s">
        <v>302</v>
      </c>
    </row>
    <row r="105" customFormat="false" ht="29.25" hidden="false" customHeight="true" outlineLevel="0" collapsed="false">
      <c r="A105" s="16" t="s">
        <v>303</v>
      </c>
      <c r="B105" s="17" t="s">
        <v>304</v>
      </c>
      <c r="C105" s="16" t="s">
        <v>305</v>
      </c>
      <c r="D105" s="18" t="n">
        <v>800</v>
      </c>
      <c r="E105" s="18" t="n">
        <v>6</v>
      </c>
      <c r="F105" s="18" t="n">
        <f aca="false">D105*E105</f>
        <v>4800</v>
      </c>
      <c r="G105" s="19" t="s">
        <v>143</v>
      </c>
    </row>
    <row r="106" customFormat="false" ht="29.25" hidden="false" customHeight="true" outlineLevel="0" collapsed="false">
      <c r="A106" s="16" t="s">
        <v>306</v>
      </c>
      <c r="B106" s="17" t="s">
        <v>307</v>
      </c>
      <c r="C106" s="16" t="s">
        <v>296</v>
      </c>
      <c r="D106" s="18" t="n">
        <v>2</v>
      </c>
      <c r="E106" s="18" t="n">
        <v>750</v>
      </c>
      <c r="F106" s="18" t="n">
        <f aca="false">D106*E106</f>
        <v>1500</v>
      </c>
      <c r="G106" s="19" t="s">
        <v>143</v>
      </c>
    </row>
    <row r="107" customFormat="false" ht="29.25" hidden="false" customHeight="true" outlineLevel="0" collapsed="false">
      <c r="A107" s="16" t="s">
        <v>308</v>
      </c>
      <c r="B107" s="17" t="s">
        <v>309</v>
      </c>
      <c r="C107" s="16" t="s">
        <v>142</v>
      </c>
      <c r="D107" s="18" t="n">
        <v>20</v>
      </c>
      <c r="E107" s="18" t="n">
        <v>150</v>
      </c>
      <c r="F107" s="18" t="n">
        <f aca="false">D107*E107</f>
        <v>3000</v>
      </c>
      <c r="G107" s="19" t="s">
        <v>143</v>
      </c>
    </row>
    <row r="108" customFormat="false" ht="29.25" hidden="false" customHeight="true" outlineLevel="0" collapsed="false">
      <c r="A108" s="16" t="s">
        <v>310</v>
      </c>
      <c r="B108" s="17" t="s">
        <v>311</v>
      </c>
      <c r="C108" s="16" t="s">
        <v>305</v>
      </c>
      <c r="D108" s="18" t="n">
        <v>400</v>
      </c>
      <c r="E108" s="18" t="n">
        <v>5</v>
      </c>
      <c r="F108" s="18" t="n">
        <f aca="false">D108*E108</f>
        <v>2000</v>
      </c>
      <c r="G108" s="19" t="s">
        <v>143</v>
      </c>
    </row>
    <row r="109" customFormat="false" ht="29.25" hidden="false" customHeight="true" outlineLevel="0" collapsed="false">
      <c r="A109" s="16" t="s">
        <v>312</v>
      </c>
      <c r="B109" s="17" t="s">
        <v>313</v>
      </c>
      <c r="C109" s="16" t="s">
        <v>204</v>
      </c>
      <c r="D109" s="18" t="n">
        <v>2</v>
      </c>
      <c r="E109" s="18" t="n">
        <v>1850</v>
      </c>
      <c r="F109" s="18" t="n">
        <f aca="false">D109*E109</f>
        <v>3700</v>
      </c>
      <c r="G109" s="19" t="s">
        <v>143</v>
      </c>
    </row>
    <row r="110" customFormat="false" ht="42" hidden="false" customHeight="true" outlineLevel="0" collapsed="false">
      <c r="A110" s="16" t="s">
        <v>314</v>
      </c>
      <c r="B110" s="17" t="s">
        <v>315</v>
      </c>
      <c r="C110" s="16" t="s">
        <v>316</v>
      </c>
      <c r="D110" s="18" t="n">
        <v>6</v>
      </c>
      <c r="E110" s="18" t="n">
        <v>1200</v>
      </c>
      <c r="F110" s="18" t="n">
        <f aca="false">D110*E110</f>
        <v>7200</v>
      </c>
      <c r="G110" s="19" t="s">
        <v>317</v>
      </c>
    </row>
    <row r="111" customFormat="false" ht="54.75" hidden="false" customHeight="true" outlineLevel="0" collapsed="false">
      <c r="A111" s="16" t="s">
        <v>318</v>
      </c>
      <c r="B111" s="17" t="s">
        <v>319</v>
      </c>
      <c r="C111" s="16" t="s">
        <v>320</v>
      </c>
      <c r="D111" s="18" t="n">
        <v>0</v>
      </c>
      <c r="E111" s="18" t="n">
        <v>2400</v>
      </c>
      <c r="F111" s="18" t="n">
        <f aca="false">D111*E111</f>
        <v>0</v>
      </c>
      <c r="G111" s="19" t="s">
        <v>321</v>
      </c>
    </row>
    <row r="112" customFormat="false" ht="80.25" hidden="false" customHeight="true" outlineLevel="0" collapsed="false">
      <c r="A112" s="16" t="s">
        <v>322</v>
      </c>
      <c r="B112" s="17" t="s">
        <v>323</v>
      </c>
      <c r="C112" s="16" t="s">
        <v>163</v>
      </c>
      <c r="D112" s="18" t="n">
        <f aca="false">Programme!$G$142</f>
        <v>8</v>
      </c>
      <c r="E112" s="18" t="n">
        <v>2000</v>
      </c>
      <c r="F112" s="18" t="n">
        <f aca="false">D112*E112</f>
        <v>16000</v>
      </c>
      <c r="G112" s="19" t="s">
        <v>324</v>
      </c>
    </row>
    <row r="113" customFormat="false" ht="54.75" hidden="false" customHeight="true" outlineLevel="0" collapsed="false">
      <c r="A113" s="16" t="s">
        <v>325</v>
      </c>
      <c r="B113" s="17" t="s">
        <v>326</v>
      </c>
      <c r="C113" s="16" t="s">
        <v>142</v>
      </c>
      <c r="D113" s="18" t="n">
        <f aca="false">Programme!$G$143</f>
        <v>12</v>
      </c>
      <c r="E113" s="18" t="n">
        <v>400</v>
      </c>
      <c r="F113" s="18" t="n">
        <f aca="false">D113*E113</f>
        <v>4800</v>
      </c>
      <c r="G113" s="19" t="s">
        <v>327</v>
      </c>
    </row>
    <row r="114" customFormat="false" ht="29.25" hidden="false" customHeight="true" outlineLevel="0" collapsed="false">
      <c r="A114" s="16" t="s">
        <v>328</v>
      </c>
      <c r="B114" s="17" t="s">
        <v>329</v>
      </c>
      <c r="C114" s="16" t="s">
        <v>163</v>
      </c>
      <c r="D114" s="18" t="n">
        <v>5</v>
      </c>
      <c r="E114" s="18" t="n">
        <v>400</v>
      </c>
      <c r="F114" s="18" t="n">
        <f aca="false">D114*E114</f>
        <v>2000</v>
      </c>
      <c r="G114" s="19" t="s">
        <v>143</v>
      </c>
    </row>
    <row r="115" customFormat="false" ht="54.75" hidden="false" customHeight="true" outlineLevel="0" collapsed="false">
      <c r="A115" s="16" t="s">
        <v>330</v>
      </c>
      <c r="B115" s="17" t="s">
        <v>331</v>
      </c>
      <c r="C115" s="16" t="s">
        <v>163</v>
      </c>
      <c r="D115" s="18" t="n">
        <f aca="false">Programme!$G$144</f>
        <v>5</v>
      </c>
      <c r="E115" s="18" t="n">
        <v>1000</v>
      </c>
      <c r="F115" s="18" t="n">
        <f aca="false">D115*E115</f>
        <v>5000</v>
      </c>
      <c r="G115" s="19" t="s">
        <v>332</v>
      </c>
    </row>
    <row r="116" customFormat="false" ht="29.25" hidden="false" customHeight="true" outlineLevel="0" collapsed="false">
      <c r="A116" s="16" t="s">
        <v>333</v>
      </c>
      <c r="B116" s="17" t="s">
        <v>334</v>
      </c>
      <c r="C116" s="16" t="s">
        <v>163</v>
      </c>
      <c r="D116" s="18" t="n">
        <v>4</v>
      </c>
      <c r="E116" s="18" t="n">
        <v>1000</v>
      </c>
      <c r="F116" s="18" t="n">
        <f aca="false">D116*E116</f>
        <v>4000</v>
      </c>
      <c r="G116" s="19" t="s">
        <v>143</v>
      </c>
    </row>
    <row r="117" customFormat="false" ht="29.25" hidden="false" customHeight="true" outlineLevel="0" collapsed="false">
      <c r="A117" s="16" t="s">
        <v>335</v>
      </c>
      <c r="B117" s="17" t="s">
        <v>336</v>
      </c>
      <c r="C117" s="16" t="s">
        <v>72</v>
      </c>
      <c r="D117" s="18" t="n">
        <v>6</v>
      </c>
      <c r="E117" s="18" t="n">
        <v>750</v>
      </c>
      <c r="F117" s="18" t="n">
        <f aca="false">D117*E117</f>
        <v>4500</v>
      </c>
      <c r="G117" s="19" t="s">
        <v>143</v>
      </c>
    </row>
    <row r="118" customFormat="false" ht="29.25" hidden="false" customHeight="true" outlineLevel="0" collapsed="false">
      <c r="A118" s="16" t="s">
        <v>337</v>
      </c>
      <c r="B118" s="17" t="s">
        <v>338</v>
      </c>
      <c r="C118" s="16" t="s">
        <v>296</v>
      </c>
      <c r="D118" s="18" t="n">
        <v>2</v>
      </c>
      <c r="E118" s="18" t="n">
        <v>750</v>
      </c>
      <c r="F118" s="18" t="n">
        <f aca="false">D118*E118</f>
        <v>1500</v>
      </c>
      <c r="G118" s="19" t="s">
        <v>143</v>
      </c>
    </row>
    <row r="119" customFormat="false" ht="67.5" hidden="false" customHeight="true" outlineLevel="0" collapsed="false">
      <c r="A119" s="16" t="s">
        <v>339</v>
      </c>
      <c r="B119" s="17" t="s">
        <v>340</v>
      </c>
      <c r="C119" s="16" t="s">
        <v>96</v>
      </c>
      <c r="D119" s="18" t="n">
        <v>1</v>
      </c>
      <c r="E119" s="18" t="n">
        <v>6000</v>
      </c>
      <c r="F119" s="18" t="n">
        <f aca="false">D119*E119</f>
        <v>6000</v>
      </c>
      <c r="G119" s="19" t="s">
        <v>341</v>
      </c>
    </row>
    <row r="120" customFormat="false" ht="29.25" hidden="false" customHeight="true" outlineLevel="0" collapsed="false">
      <c r="A120" s="16" t="s">
        <v>342</v>
      </c>
      <c r="B120" s="17" t="s">
        <v>343</v>
      </c>
      <c r="C120" s="16" t="s">
        <v>96</v>
      </c>
      <c r="D120" s="18" t="n">
        <v>0.5</v>
      </c>
      <c r="E120" s="18" t="n">
        <v>8000</v>
      </c>
      <c r="F120" s="18" t="n">
        <f aca="false">D120*E120</f>
        <v>4000</v>
      </c>
      <c r="G120" s="19" t="s">
        <v>143</v>
      </c>
    </row>
    <row r="121" customFormat="false" ht="67.5" hidden="false" customHeight="true" outlineLevel="0" collapsed="false">
      <c r="A121" s="16" t="s">
        <v>344</v>
      </c>
      <c r="B121" s="17" t="s">
        <v>345</v>
      </c>
      <c r="C121" s="16" t="s">
        <v>163</v>
      </c>
      <c r="D121" s="18" t="n">
        <f aca="false">Programme!$G$145</f>
        <v>4</v>
      </c>
      <c r="E121" s="18" t="n">
        <v>500</v>
      </c>
      <c r="F121" s="18" t="n">
        <f aca="false">D121*E121</f>
        <v>2000</v>
      </c>
      <c r="G121" s="19" t="s">
        <v>346</v>
      </c>
    </row>
    <row r="122" customFormat="false" ht="132" hidden="false" customHeight="true" outlineLevel="0" collapsed="false">
      <c r="A122" s="16" t="s">
        <v>347</v>
      </c>
      <c r="B122" s="17" t="s">
        <v>348</v>
      </c>
      <c r="C122" s="16" t="s">
        <v>146</v>
      </c>
      <c r="D122" s="18" t="n">
        <v>0</v>
      </c>
      <c r="E122" s="18" t="n">
        <v>0</v>
      </c>
      <c r="F122" s="18" t="n">
        <f aca="false">D122*E122</f>
        <v>0</v>
      </c>
      <c r="G122" s="19" t="s">
        <v>349</v>
      </c>
    </row>
    <row r="123" customFormat="false" ht="19.5" hidden="false" customHeight="true" outlineLevel="0" collapsed="false">
      <c r="A123" s="34"/>
      <c r="B123" s="23" t="s">
        <v>350</v>
      </c>
      <c r="C123" s="34"/>
      <c r="D123" s="34"/>
      <c r="E123" s="34"/>
      <c r="F123" s="35" t="n">
        <f aca="false">SUM(F100:F122)</f>
        <v>102306</v>
      </c>
      <c r="G123" s="34"/>
    </row>
    <row r="124" customFormat="false" ht="14.25" hidden="false" customHeight="false" outlineLevel="0" collapsed="false">
      <c r="A124" s="38"/>
      <c r="B124" s="39" t="s">
        <v>351</v>
      </c>
      <c r="C124" s="38"/>
      <c r="D124" s="38"/>
      <c r="E124" s="38"/>
      <c r="F124" s="40" t="n">
        <f aca="false">F123/2</f>
        <v>51153</v>
      </c>
      <c r="G124" s="38"/>
    </row>
    <row r="126" customFormat="false" ht="21" hidden="false" customHeight="true" outlineLevel="0" collapsed="false">
      <c r="A126" s="15" t="s">
        <v>352</v>
      </c>
      <c r="B126" s="15"/>
      <c r="C126" s="15"/>
      <c r="D126" s="15"/>
      <c r="E126" s="15"/>
      <c r="F126" s="15"/>
      <c r="G126" s="15"/>
    </row>
    <row r="127" customFormat="false" ht="96" hidden="false" customHeight="true" outlineLevel="0" collapsed="false">
      <c r="A127" s="11" t="s">
        <v>353</v>
      </c>
      <c r="B127" s="11"/>
      <c r="C127" s="11"/>
      <c r="D127" s="11"/>
      <c r="E127" s="11"/>
      <c r="F127" s="11"/>
      <c r="G127" s="11"/>
    </row>
    <row r="128" customFormat="false" ht="24" hidden="false" customHeight="true" outlineLevel="0" collapsed="false">
      <c r="A128" s="13" t="s">
        <v>92</v>
      </c>
      <c r="B128" s="13" t="s">
        <v>36</v>
      </c>
      <c r="C128" s="13" t="s">
        <v>37</v>
      </c>
      <c r="D128" s="13" t="s">
        <v>38</v>
      </c>
      <c r="E128" s="13" t="s">
        <v>39</v>
      </c>
      <c r="F128" s="13" t="s">
        <v>40</v>
      </c>
      <c r="G128" s="13" t="s">
        <v>93</v>
      </c>
    </row>
    <row r="129" customFormat="false" ht="93" hidden="false" customHeight="true" outlineLevel="0" collapsed="false">
      <c r="A129" s="16" t="s">
        <v>354</v>
      </c>
      <c r="B129" s="17" t="s">
        <v>355</v>
      </c>
      <c r="C129" s="16" t="s">
        <v>356</v>
      </c>
      <c r="D129" s="18" t="n">
        <v>200</v>
      </c>
      <c r="E129" s="18" t="n">
        <v>400</v>
      </c>
      <c r="F129" s="18" t="n">
        <f aca="false">D129*E129</f>
        <v>80000</v>
      </c>
      <c r="G129" s="19" t="s">
        <v>357</v>
      </c>
    </row>
    <row r="130" customFormat="false" ht="105.75" hidden="false" customHeight="true" outlineLevel="0" collapsed="false">
      <c r="A130" s="16" t="s">
        <v>358</v>
      </c>
      <c r="B130" s="17" t="s">
        <v>359</v>
      </c>
      <c r="C130" s="16" t="s">
        <v>356</v>
      </c>
      <c r="D130" s="18" t="n">
        <v>60</v>
      </c>
      <c r="E130" s="18" t="n">
        <v>120</v>
      </c>
      <c r="F130" s="18" t="n">
        <f aca="false">D130*E130</f>
        <v>7200</v>
      </c>
      <c r="G130" s="19" t="s">
        <v>360</v>
      </c>
    </row>
    <row r="131" customFormat="false" ht="80.25" hidden="false" customHeight="true" outlineLevel="0" collapsed="false">
      <c r="A131" s="16" t="s">
        <v>361</v>
      </c>
      <c r="B131" s="17" t="s">
        <v>362</v>
      </c>
      <c r="C131" s="16" t="s">
        <v>72</v>
      </c>
      <c r="D131" s="18" t="n">
        <v>10</v>
      </c>
      <c r="E131" s="18" t="n">
        <v>5500</v>
      </c>
      <c r="F131" s="18" t="n">
        <f aca="false">D131*E131</f>
        <v>55000</v>
      </c>
      <c r="G131" s="19" t="s">
        <v>363</v>
      </c>
    </row>
    <row r="132" customFormat="false" ht="29.25" hidden="false" customHeight="true" outlineLevel="0" collapsed="false">
      <c r="A132" s="16" t="s">
        <v>364</v>
      </c>
      <c r="B132" s="17" t="s">
        <v>365</v>
      </c>
      <c r="C132" s="16" t="s">
        <v>72</v>
      </c>
      <c r="D132" s="18" t="n">
        <v>4</v>
      </c>
      <c r="E132" s="18" t="n">
        <v>2500</v>
      </c>
      <c r="F132" s="18" t="n">
        <f aca="false">D132*E132</f>
        <v>10000</v>
      </c>
      <c r="G132" s="19" t="s">
        <v>143</v>
      </c>
    </row>
    <row r="133" customFormat="false" ht="29.25" hidden="false" customHeight="true" outlineLevel="0" collapsed="false">
      <c r="A133" s="16" t="s">
        <v>366</v>
      </c>
      <c r="B133" s="17" t="s">
        <v>367</v>
      </c>
      <c r="C133" s="16" t="s">
        <v>72</v>
      </c>
      <c r="D133" s="18" t="n">
        <v>8</v>
      </c>
      <c r="E133" s="18" t="n">
        <v>375</v>
      </c>
      <c r="F133" s="18" t="n">
        <f aca="false">D133*E133</f>
        <v>3000</v>
      </c>
      <c r="G133" s="19" t="s">
        <v>143</v>
      </c>
    </row>
    <row r="134" customFormat="false" ht="29.25" hidden="false" customHeight="true" outlineLevel="0" collapsed="false">
      <c r="A134" s="16" t="s">
        <v>368</v>
      </c>
      <c r="B134" s="17" t="s">
        <v>369</v>
      </c>
      <c r="C134" s="16" t="s">
        <v>370</v>
      </c>
      <c r="D134" s="18" t="n">
        <v>2</v>
      </c>
      <c r="E134" s="18" t="n">
        <v>3500</v>
      </c>
      <c r="F134" s="18" t="n">
        <f aca="false">D134*E134</f>
        <v>7000</v>
      </c>
      <c r="G134" s="19" t="s">
        <v>143</v>
      </c>
    </row>
    <row r="135" customFormat="false" ht="29.25" hidden="false" customHeight="true" outlineLevel="0" collapsed="false">
      <c r="A135" s="16" t="s">
        <v>371</v>
      </c>
      <c r="B135" s="17" t="s">
        <v>372</v>
      </c>
      <c r="C135" s="16" t="s">
        <v>72</v>
      </c>
      <c r="D135" s="18" t="n">
        <v>40</v>
      </c>
      <c r="E135" s="18" t="n">
        <v>250</v>
      </c>
      <c r="F135" s="18" t="n">
        <f aca="false">D135*E135</f>
        <v>10000</v>
      </c>
      <c r="G135" s="19" t="s">
        <v>143</v>
      </c>
    </row>
    <row r="136" customFormat="false" ht="29.25" hidden="false" customHeight="true" outlineLevel="0" collapsed="false">
      <c r="A136" s="16" t="s">
        <v>373</v>
      </c>
      <c r="B136" s="17" t="s">
        <v>374</v>
      </c>
      <c r="C136" s="16" t="s">
        <v>72</v>
      </c>
      <c r="D136" s="18" t="n">
        <v>8</v>
      </c>
      <c r="E136" s="18" t="n">
        <v>625</v>
      </c>
      <c r="F136" s="18" t="n">
        <f aca="false">D136*E136</f>
        <v>5000</v>
      </c>
      <c r="G136" s="19" t="s">
        <v>143</v>
      </c>
    </row>
    <row r="137" customFormat="false" ht="39" hidden="false" customHeight="true" outlineLevel="0" collapsed="false">
      <c r="A137" s="16" t="s">
        <v>375</v>
      </c>
      <c r="B137" s="17" t="s">
        <v>376</v>
      </c>
      <c r="C137" s="16" t="s">
        <v>72</v>
      </c>
      <c r="D137" s="18" t="n">
        <v>2</v>
      </c>
      <c r="E137" s="18" t="n">
        <v>3500</v>
      </c>
      <c r="F137" s="18" t="n">
        <f aca="false">D137*E137</f>
        <v>7000</v>
      </c>
      <c r="G137" s="19" t="s">
        <v>143</v>
      </c>
    </row>
    <row r="138" customFormat="false" ht="67.5" hidden="false" customHeight="true" outlineLevel="0" collapsed="false">
      <c r="A138" s="16" t="s">
        <v>377</v>
      </c>
      <c r="B138" s="17" t="s">
        <v>378</v>
      </c>
      <c r="C138" s="16" t="s">
        <v>72</v>
      </c>
      <c r="D138" s="18" t="n">
        <v>2</v>
      </c>
      <c r="E138" s="18" t="n">
        <v>4500</v>
      </c>
      <c r="F138" s="18" t="n">
        <f aca="false">D138*E138</f>
        <v>9000</v>
      </c>
      <c r="G138" s="19" t="s">
        <v>379</v>
      </c>
    </row>
    <row r="139" customFormat="false" ht="42" hidden="false" customHeight="true" outlineLevel="0" collapsed="false">
      <c r="A139" s="16" t="s">
        <v>380</v>
      </c>
      <c r="B139" s="17" t="s">
        <v>381</v>
      </c>
      <c r="C139" s="16" t="s">
        <v>356</v>
      </c>
      <c r="D139" s="18" t="n">
        <v>160</v>
      </c>
      <c r="E139" s="18" t="n">
        <v>25</v>
      </c>
      <c r="F139" s="18" t="n">
        <f aca="false">D139*E139</f>
        <v>4000</v>
      </c>
      <c r="G139" s="19" t="s">
        <v>382</v>
      </c>
    </row>
    <row r="140" customFormat="false" ht="29.25" hidden="false" customHeight="true" outlineLevel="0" collapsed="false">
      <c r="A140" s="16" t="s">
        <v>383</v>
      </c>
      <c r="B140" s="17" t="s">
        <v>384</v>
      </c>
      <c r="C140" s="16" t="s">
        <v>201</v>
      </c>
      <c r="D140" s="18" t="n">
        <v>2</v>
      </c>
      <c r="E140" s="18" t="n">
        <v>2500</v>
      </c>
      <c r="F140" s="18" t="n">
        <f aca="false">D140*E140</f>
        <v>5000</v>
      </c>
      <c r="G140" s="19" t="s">
        <v>143</v>
      </c>
    </row>
    <row r="141" customFormat="false" ht="29.25" hidden="false" customHeight="true" outlineLevel="0" collapsed="false">
      <c r="A141" s="16" t="s">
        <v>385</v>
      </c>
      <c r="B141" s="17" t="s">
        <v>386</v>
      </c>
      <c r="C141" s="16" t="s">
        <v>72</v>
      </c>
      <c r="D141" s="18" t="n">
        <v>2</v>
      </c>
      <c r="E141" s="18" t="n">
        <v>1500</v>
      </c>
      <c r="F141" s="18" t="n">
        <f aca="false">D141*E141</f>
        <v>3000</v>
      </c>
      <c r="G141" s="19" t="s">
        <v>143</v>
      </c>
    </row>
    <row r="142" customFormat="false" ht="54.75" hidden="false" customHeight="true" outlineLevel="0" collapsed="false">
      <c r="A142" s="16" t="s">
        <v>387</v>
      </c>
      <c r="B142" s="17" t="s">
        <v>388</v>
      </c>
      <c r="C142" s="16" t="s">
        <v>72</v>
      </c>
      <c r="D142" s="18" t="n">
        <v>2</v>
      </c>
      <c r="E142" s="18" t="n">
        <v>6000</v>
      </c>
      <c r="F142" s="18" t="n">
        <f aca="false">D142*E142</f>
        <v>12000</v>
      </c>
      <c r="G142" s="19" t="s">
        <v>389</v>
      </c>
    </row>
    <row r="143" customFormat="false" ht="29.25" hidden="false" customHeight="true" outlineLevel="0" collapsed="false">
      <c r="A143" s="16" t="s">
        <v>390</v>
      </c>
      <c r="B143" s="17" t="s">
        <v>391</v>
      </c>
      <c r="C143" s="16" t="s">
        <v>72</v>
      </c>
      <c r="D143" s="18" t="n">
        <v>2</v>
      </c>
      <c r="E143" s="18" t="n">
        <v>4000</v>
      </c>
      <c r="F143" s="18" t="n">
        <f aca="false">D143*E143</f>
        <v>8000</v>
      </c>
      <c r="G143" s="19" t="s">
        <v>143</v>
      </c>
    </row>
    <row r="144" customFormat="false" ht="29.25" hidden="false" customHeight="true" outlineLevel="0" collapsed="false">
      <c r="A144" s="16" t="s">
        <v>392</v>
      </c>
      <c r="B144" s="17" t="s">
        <v>393</v>
      </c>
      <c r="C144" s="16" t="s">
        <v>296</v>
      </c>
      <c r="D144" s="18" t="n">
        <v>2</v>
      </c>
      <c r="E144" s="18" t="n">
        <v>1500</v>
      </c>
      <c r="F144" s="18" t="n">
        <f aca="false">D144*E144</f>
        <v>3000</v>
      </c>
      <c r="G144" s="19" t="s">
        <v>143</v>
      </c>
    </row>
    <row r="145" customFormat="false" ht="29.25" hidden="false" customHeight="true" outlineLevel="0" collapsed="false">
      <c r="A145" s="16" t="s">
        <v>394</v>
      </c>
      <c r="B145" s="17" t="s">
        <v>395</v>
      </c>
      <c r="C145" s="16" t="s">
        <v>209</v>
      </c>
      <c r="D145" s="18" t="n">
        <v>300</v>
      </c>
      <c r="E145" s="18" t="n">
        <v>6</v>
      </c>
      <c r="F145" s="18" t="n">
        <f aca="false">D145*E145</f>
        <v>1800</v>
      </c>
      <c r="G145" s="19" t="s">
        <v>143</v>
      </c>
    </row>
    <row r="146" customFormat="false" ht="29.25" hidden="false" customHeight="true" outlineLevel="0" collapsed="false">
      <c r="A146" s="16" t="s">
        <v>396</v>
      </c>
      <c r="B146" s="17" t="s">
        <v>397</v>
      </c>
      <c r="C146" s="16" t="s">
        <v>142</v>
      </c>
      <c r="D146" s="18" t="n">
        <v>24</v>
      </c>
      <c r="E146" s="18" t="n">
        <v>150</v>
      </c>
      <c r="F146" s="18" t="n">
        <f aca="false">D146*E146</f>
        <v>3600</v>
      </c>
      <c r="G146" s="19" t="s">
        <v>143</v>
      </c>
    </row>
    <row r="147" customFormat="false" ht="29.25" hidden="false" customHeight="true" outlineLevel="0" collapsed="false">
      <c r="A147" s="16" t="s">
        <v>398</v>
      </c>
      <c r="B147" s="17" t="s">
        <v>399</v>
      </c>
      <c r="C147" s="16" t="s">
        <v>400</v>
      </c>
      <c r="D147" s="18" t="n">
        <v>2</v>
      </c>
      <c r="E147" s="18" t="n">
        <v>1800</v>
      </c>
      <c r="F147" s="18" t="n">
        <f aca="false">D147*E147</f>
        <v>3600</v>
      </c>
      <c r="G147" s="19" t="s">
        <v>143</v>
      </c>
    </row>
    <row r="148" customFormat="false" ht="29.25" hidden="false" customHeight="true" outlineLevel="0" collapsed="false">
      <c r="A148" s="16" t="s">
        <v>401</v>
      </c>
      <c r="B148" s="17" t="s">
        <v>402</v>
      </c>
      <c r="C148" s="16" t="s">
        <v>356</v>
      </c>
      <c r="D148" s="18" t="n">
        <v>260</v>
      </c>
      <c r="E148" s="18" t="n">
        <v>20</v>
      </c>
      <c r="F148" s="18" t="n">
        <f aca="false">D148*E148</f>
        <v>5200</v>
      </c>
      <c r="G148" s="19" t="s">
        <v>143</v>
      </c>
    </row>
    <row r="149" customFormat="false" ht="54" hidden="false" customHeight="true" outlineLevel="0" collapsed="false">
      <c r="A149" s="16" t="s">
        <v>403</v>
      </c>
      <c r="B149" s="17" t="s">
        <v>404</v>
      </c>
      <c r="C149" s="16" t="s">
        <v>72</v>
      </c>
      <c r="D149" s="18" t="n">
        <v>70</v>
      </c>
      <c r="E149" s="18" t="n">
        <v>40</v>
      </c>
      <c r="F149" s="18" t="n">
        <f aca="false">D149*E149</f>
        <v>2800</v>
      </c>
      <c r="G149" s="19" t="s">
        <v>405</v>
      </c>
    </row>
    <row r="150" customFormat="false" ht="19.5" hidden="false" customHeight="true" outlineLevel="0" collapsed="false">
      <c r="A150" s="34"/>
      <c r="B150" s="23" t="s">
        <v>406</v>
      </c>
      <c r="C150" s="34"/>
      <c r="D150" s="34"/>
      <c r="E150" s="34"/>
      <c r="F150" s="35" t="n">
        <f aca="false">SUM(F129:F149)</f>
        <v>245200</v>
      </c>
      <c r="G150" s="34"/>
    </row>
    <row r="151" customFormat="false" ht="18" hidden="false" customHeight="true" outlineLevel="0" collapsed="false">
      <c r="B151" s="36" t="s">
        <v>407</v>
      </c>
    </row>
    <row r="152" customFormat="false" ht="105.75" hidden="false" customHeight="true" outlineLevel="0" collapsed="false">
      <c r="A152" s="16" t="s">
        <v>408</v>
      </c>
      <c r="B152" s="17" t="s">
        <v>409</v>
      </c>
      <c r="C152" s="16" t="s">
        <v>356</v>
      </c>
      <c r="D152" s="18" t="n">
        <f aca="false">D129</f>
        <v>200</v>
      </c>
      <c r="E152" s="18" t="n">
        <v>280</v>
      </c>
      <c r="F152" s="18" t="n">
        <f aca="false">D152*E152</f>
        <v>56000</v>
      </c>
      <c r="G152" s="19" t="s">
        <v>410</v>
      </c>
    </row>
    <row r="153" customFormat="false" ht="42" hidden="false" customHeight="true" outlineLevel="0" collapsed="false">
      <c r="A153" s="16" t="s">
        <v>411</v>
      </c>
      <c r="B153" s="17" t="s">
        <v>412</v>
      </c>
      <c r="C153" s="16" t="s">
        <v>356</v>
      </c>
      <c r="D153" s="18" t="n">
        <f aca="false">D130</f>
        <v>60</v>
      </c>
      <c r="E153" s="18" t="n">
        <f aca="false">E130</f>
        <v>120</v>
      </c>
      <c r="F153" s="18" t="n">
        <f aca="false">D153*E153</f>
        <v>7200</v>
      </c>
      <c r="G153" s="19" t="s">
        <v>413</v>
      </c>
    </row>
    <row r="154" customFormat="false" ht="54.75" hidden="false" customHeight="true" outlineLevel="0" collapsed="false">
      <c r="A154" s="16" t="s">
        <v>414</v>
      </c>
      <c r="B154" s="17" t="s">
        <v>415</v>
      </c>
      <c r="C154" s="16" t="s">
        <v>72</v>
      </c>
      <c r="D154" s="18" t="n">
        <v>1</v>
      </c>
      <c r="E154" s="18" t="n">
        <v>6500</v>
      </c>
      <c r="F154" s="18" t="n">
        <f aca="false">D154*E154</f>
        <v>6500</v>
      </c>
      <c r="G154" s="19" t="s">
        <v>416</v>
      </c>
    </row>
    <row r="155" customFormat="false" ht="54.75" hidden="false" customHeight="true" outlineLevel="0" collapsed="false">
      <c r="A155" s="16" t="s">
        <v>417</v>
      </c>
      <c r="B155" s="17" t="s">
        <v>418</v>
      </c>
      <c r="C155" s="16" t="s">
        <v>72</v>
      </c>
      <c r="D155" s="18" t="n">
        <v>1</v>
      </c>
      <c r="E155" s="18" t="n">
        <v>14000</v>
      </c>
      <c r="F155" s="18" t="n">
        <f aca="false">D155*E155</f>
        <v>14000</v>
      </c>
      <c r="G155" s="19" t="s">
        <v>419</v>
      </c>
    </row>
    <row r="156" customFormat="false" ht="42" hidden="false" customHeight="true" outlineLevel="0" collapsed="false">
      <c r="A156" s="16" t="s">
        <v>420</v>
      </c>
      <c r="B156" s="17" t="s">
        <v>421</v>
      </c>
      <c r="C156" s="16" t="s">
        <v>72</v>
      </c>
      <c r="D156" s="18" t="n">
        <f aca="false">D131-2</f>
        <v>8</v>
      </c>
      <c r="E156" s="18" t="n">
        <f aca="false">E131</f>
        <v>5500</v>
      </c>
      <c r="F156" s="18" t="n">
        <f aca="false">D156*E156</f>
        <v>44000</v>
      </c>
      <c r="G156" s="19" t="s">
        <v>422</v>
      </c>
    </row>
    <row r="157" customFormat="false" ht="14.25" hidden="false" customHeight="false" outlineLevel="0" collapsed="false">
      <c r="B157" s="36" t="s">
        <v>423</v>
      </c>
      <c r="F157" s="37" t="n">
        <f aca="false">SUM(F152:F156)</f>
        <v>127700</v>
      </c>
    </row>
    <row r="158" customFormat="false" ht="14.25" hidden="false" customHeight="false" outlineLevel="0" collapsed="false">
      <c r="B158" s="36" t="s">
        <v>424</v>
      </c>
      <c r="F158" s="37" t="n">
        <f aca="false">F129+F130+F131</f>
        <v>142200</v>
      </c>
    </row>
    <row r="159" customFormat="false" ht="30" hidden="false" customHeight="true" outlineLevel="0" collapsed="false">
      <c r="B159" s="36" t="s">
        <v>425</v>
      </c>
      <c r="F159" s="37" t="n">
        <f aca="false">F158-F157</f>
        <v>14500</v>
      </c>
    </row>
    <row r="161" customFormat="false" ht="21" hidden="false" customHeight="true" outlineLevel="0" collapsed="false">
      <c r="A161" s="15" t="s">
        <v>426</v>
      </c>
      <c r="B161" s="15"/>
      <c r="C161" s="15"/>
      <c r="D161" s="15"/>
      <c r="E161" s="15"/>
      <c r="F161" s="15"/>
      <c r="G161" s="15"/>
    </row>
    <row r="162" customFormat="false" ht="37.5" hidden="false" customHeight="true" outlineLevel="0" collapsed="false">
      <c r="A162" s="41" t="s">
        <v>427</v>
      </c>
      <c r="B162" s="41"/>
      <c r="C162" s="41"/>
      <c r="D162" s="41"/>
      <c r="E162" s="41"/>
      <c r="F162" s="41"/>
      <c r="G162" s="41"/>
    </row>
    <row r="163" customFormat="false" ht="49.5" hidden="false" customHeight="true" outlineLevel="0" collapsed="false">
      <c r="A163" s="41" t="s">
        <v>428</v>
      </c>
      <c r="B163" s="41"/>
      <c r="C163" s="41"/>
      <c r="D163" s="41"/>
      <c r="E163" s="41"/>
      <c r="F163" s="41"/>
      <c r="G163" s="41"/>
    </row>
    <row r="164" customFormat="false" ht="72.75" hidden="false" customHeight="true" outlineLevel="0" collapsed="false">
      <c r="A164" s="41" t="s">
        <v>429</v>
      </c>
      <c r="B164" s="41"/>
      <c r="C164" s="41"/>
      <c r="D164" s="41"/>
      <c r="E164" s="41"/>
      <c r="F164" s="41"/>
      <c r="G164" s="41"/>
    </row>
    <row r="165" customFormat="false" ht="38.25" hidden="false" customHeight="true" outlineLevel="0" collapsed="false">
      <c r="A165" s="41" t="s">
        <v>430</v>
      </c>
      <c r="B165" s="41"/>
      <c r="C165" s="41"/>
      <c r="D165" s="41"/>
      <c r="E165" s="41"/>
      <c r="F165" s="41"/>
      <c r="G165" s="41"/>
    </row>
    <row r="166" customFormat="false" ht="36.75" hidden="false" customHeight="true" outlineLevel="0" collapsed="false">
      <c r="A166" s="41" t="s">
        <v>431</v>
      </c>
      <c r="B166" s="41"/>
      <c r="C166" s="41"/>
      <c r="D166" s="41"/>
      <c r="E166" s="41"/>
      <c r="F166" s="41"/>
      <c r="G166" s="41"/>
    </row>
    <row r="167" customFormat="false" ht="37.5" hidden="false" customHeight="true" outlineLevel="0" collapsed="false">
      <c r="A167" s="41" t="s">
        <v>432</v>
      </c>
      <c r="B167" s="41"/>
      <c r="C167" s="41"/>
      <c r="D167" s="41"/>
      <c r="E167" s="41"/>
      <c r="F167" s="41"/>
      <c r="G167" s="41"/>
    </row>
    <row r="168" customFormat="false" ht="21" hidden="false" customHeight="true" outlineLevel="0" collapsed="false">
      <c r="A168" s="41" t="s">
        <v>433</v>
      </c>
      <c r="B168" s="41"/>
      <c r="C168" s="41"/>
      <c r="D168" s="41"/>
      <c r="E168" s="41"/>
      <c r="F168" s="41"/>
      <c r="G168" s="41"/>
    </row>
    <row r="169" customFormat="false" ht="21" hidden="false" customHeight="true" outlineLevel="0" collapsed="false">
      <c r="A169" s="41" t="s">
        <v>434</v>
      </c>
      <c r="B169" s="41"/>
      <c r="C169" s="41"/>
      <c r="D169" s="41"/>
      <c r="E169" s="41"/>
      <c r="F169" s="41"/>
      <c r="G169" s="41"/>
    </row>
  </sheetData>
  <mergeCells count="26">
    <mergeCell ref="A4:G4"/>
    <mergeCell ref="A6:G6"/>
    <mergeCell ref="A7:G7"/>
    <mergeCell ref="A34:G34"/>
    <mergeCell ref="A35:G35"/>
    <mergeCell ref="A43:G43"/>
    <mergeCell ref="A44:G44"/>
    <mergeCell ref="A65:G65"/>
    <mergeCell ref="A66:G66"/>
    <mergeCell ref="A71:G71"/>
    <mergeCell ref="A72:G72"/>
    <mergeCell ref="A91:G91"/>
    <mergeCell ref="A92:G92"/>
    <mergeCell ref="A97:G97"/>
    <mergeCell ref="A98:G98"/>
    <mergeCell ref="A126:G126"/>
    <mergeCell ref="A127:G127"/>
    <mergeCell ref="A161:G161"/>
    <mergeCell ref="A162:G162"/>
    <mergeCell ref="A163:G163"/>
    <mergeCell ref="A164:G164"/>
    <mergeCell ref="A165:G165"/>
    <mergeCell ref="A166:G166"/>
    <mergeCell ref="A167:G167"/>
    <mergeCell ref="A168:G168"/>
    <mergeCell ref="A169:G169"/>
  </mergeCells>
  <printOptions headings="false" gridLines="false" gridLinesSet="true" horizontalCentered="false" verticalCentered="false"/>
  <pageMargins left="0.354166666666667" right="0" top="1.32291666666667" bottom="0.433333333333333"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9"/>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0" ySplit="3" topLeftCell="A4" activePane="bottomLeft" state="frozen"/>
      <selection pane="topLeft" activeCell="A1" activeCellId="0" sqref="A1"/>
      <selection pane="bottomLeft" activeCell="K58" activeCellId="0" sqref="K58"/>
    </sheetView>
  </sheetViews>
  <sheetFormatPr defaultColWidth="8.6640625" defaultRowHeight="14.25" zeroHeight="false" outlineLevelRow="0" outlineLevelCol="0"/>
  <cols>
    <col collapsed="false" customWidth="true" hidden="false" outlineLevel="0" max="1" min="1" style="7" width="6"/>
    <col collapsed="false" customWidth="true" hidden="false" outlineLevel="0" max="2" min="2" style="7" width="38"/>
    <col collapsed="false" customWidth="true" hidden="false" outlineLevel="0" max="3" min="3" style="7" width="30"/>
    <col collapsed="false" customWidth="true" hidden="false" outlineLevel="0" max="4" min="4" style="7" width="7"/>
    <col collapsed="false" customWidth="true" hidden="false" outlineLevel="0" max="7" min="5" style="7" width="15"/>
    <col collapsed="false" customWidth="true" hidden="false" outlineLevel="0" max="8" min="8" style="7" width="44"/>
  </cols>
  <sheetData>
    <row r="1" customFormat="false" ht="25.5" hidden="false" customHeight="true" outlineLevel="0" collapsed="false">
      <c r="A1" s="8" t="s">
        <v>435</v>
      </c>
    </row>
    <row r="2" customFormat="false" ht="17.25" hidden="false" customHeight="true" outlineLevel="0" collapsed="false">
      <c r="A2" s="9" t="s">
        <v>30</v>
      </c>
    </row>
    <row r="3" customFormat="false" ht="14.25" hidden="false" customHeight="false" outlineLevel="0" collapsed="false">
      <c r="A3" s="10" t="s">
        <v>31</v>
      </c>
    </row>
    <row r="4" customFormat="false" ht="51.75" hidden="false" customHeight="true" outlineLevel="0" collapsed="false">
      <c r="A4" s="11" t="s">
        <v>436</v>
      </c>
      <c r="B4" s="11"/>
      <c r="C4" s="11"/>
      <c r="D4" s="11"/>
      <c r="E4" s="11"/>
      <c r="F4" s="11"/>
      <c r="G4" s="11"/>
      <c r="H4" s="11"/>
    </row>
    <row r="6" customFormat="false" ht="21" hidden="false" customHeight="true" outlineLevel="0" collapsed="false">
      <c r="A6" s="15" t="s">
        <v>437</v>
      </c>
      <c r="B6" s="15"/>
      <c r="C6" s="15"/>
      <c r="D6" s="15"/>
      <c r="E6" s="15"/>
      <c r="F6" s="15"/>
      <c r="G6" s="15"/>
      <c r="H6" s="15"/>
    </row>
    <row r="7" customFormat="false" ht="31.5" hidden="false" customHeight="true" outlineLevel="0" collapsed="false">
      <c r="A7" s="13" t="s">
        <v>35</v>
      </c>
      <c r="B7" s="42" t="s">
        <v>36</v>
      </c>
      <c r="C7" s="42"/>
      <c r="D7" s="42"/>
      <c r="E7" s="13" t="s">
        <v>438</v>
      </c>
      <c r="F7" s="43" t="s">
        <v>439</v>
      </c>
      <c r="G7" s="13" t="s">
        <v>440</v>
      </c>
      <c r="H7" s="13" t="s">
        <v>441</v>
      </c>
    </row>
    <row r="8" customFormat="false" ht="42" hidden="false" customHeight="true" outlineLevel="0" collapsed="false">
      <c r="A8" s="16" t="s">
        <v>442</v>
      </c>
      <c r="B8" s="44" t="s">
        <v>443</v>
      </c>
      <c r="C8" s="44"/>
      <c r="D8" s="44"/>
      <c r="E8" s="18" t="n">
        <f aca="false">Assessment!$F$8</f>
        <v>680000</v>
      </c>
      <c r="F8" s="20" t="n">
        <f aca="false">Assessment!$K$8</f>
        <v>319680.56</v>
      </c>
      <c r="G8" s="18" t="n">
        <f aca="false">E8-F8</f>
        <v>360319.44</v>
      </c>
      <c r="H8" s="19" t="s">
        <v>444</v>
      </c>
    </row>
    <row r="9" customFormat="false" ht="42" hidden="false" customHeight="true" outlineLevel="0" collapsed="false">
      <c r="A9" s="16" t="s">
        <v>445</v>
      </c>
      <c r="B9" s="44" t="s">
        <v>446</v>
      </c>
      <c r="C9" s="44"/>
      <c r="D9" s="44"/>
      <c r="E9" s="18" t="n">
        <f aca="false">Assessment!$F$14</f>
        <v>504192.02</v>
      </c>
      <c r="F9" s="20" t="n">
        <f aca="false">Assessment!$K$14</f>
        <v>325350</v>
      </c>
      <c r="G9" s="18" t="n">
        <f aca="false">E9-F9</f>
        <v>178842.02</v>
      </c>
      <c r="H9" s="19" t="s">
        <v>447</v>
      </c>
    </row>
    <row r="10" customFormat="false" ht="42" hidden="false" customHeight="true" outlineLevel="0" collapsed="false">
      <c r="A10" s="16" t="s">
        <v>448</v>
      </c>
      <c r="B10" s="44" t="s">
        <v>449</v>
      </c>
      <c r="C10" s="44"/>
      <c r="D10" s="44"/>
      <c r="E10" s="18" t="n">
        <f aca="false">Assessment!$F$17</f>
        <v>426400</v>
      </c>
      <c r="F10" s="20" t="n">
        <f aca="false">Assessment!$K$17</f>
        <v>102306</v>
      </c>
      <c r="G10" s="18" t="n">
        <f aca="false">E10-F10</f>
        <v>324094</v>
      </c>
      <c r="H10" s="19" t="s">
        <v>450</v>
      </c>
    </row>
    <row r="11" customFormat="false" ht="42" hidden="false" customHeight="true" outlineLevel="0" collapsed="false">
      <c r="A11" s="16" t="s">
        <v>451</v>
      </c>
      <c r="B11" s="44" t="s">
        <v>452</v>
      </c>
      <c r="C11" s="44"/>
      <c r="D11" s="44"/>
      <c r="E11" s="18" t="n">
        <f aca="false">Assessment!$F$18</f>
        <v>420000</v>
      </c>
      <c r="F11" s="20" t="n">
        <f aca="false">Assessment!$K$18</f>
        <v>245200</v>
      </c>
      <c r="G11" s="18" t="n">
        <f aca="false">E11-F11</f>
        <v>174800</v>
      </c>
      <c r="H11" s="19" t="s">
        <v>453</v>
      </c>
    </row>
    <row r="12" customFormat="false" ht="24" hidden="false" customHeight="true" outlineLevel="0" collapsed="false">
      <c r="A12" s="23"/>
      <c r="B12" s="23" t="s">
        <v>454</v>
      </c>
      <c r="C12" s="23"/>
      <c r="D12" s="23"/>
      <c r="E12" s="24" t="n">
        <f aca="false">SUM(E8:E11)</f>
        <v>2030592.02</v>
      </c>
      <c r="F12" s="25" t="n">
        <f aca="false">SUM(F8:F11)</f>
        <v>992536.56</v>
      </c>
      <c r="G12" s="24" t="n">
        <f aca="false">E12-F12</f>
        <v>1038055.46</v>
      </c>
      <c r="H12" s="45" t="s">
        <v>455</v>
      </c>
    </row>
    <row r="13" customFormat="false" ht="18.75" hidden="false" customHeight="true" outlineLevel="0" collapsed="false">
      <c r="A13" s="46" t="s">
        <v>456</v>
      </c>
      <c r="B13" s="46"/>
      <c r="C13" s="46"/>
      <c r="D13" s="46"/>
      <c r="E13" s="46"/>
      <c r="F13" s="46"/>
      <c r="G13" s="46"/>
      <c r="H13" s="46"/>
    </row>
    <row r="15" customFormat="false" ht="21" hidden="false" customHeight="true" outlineLevel="0" collapsed="false">
      <c r="A15" s="15" t="s">
        <v>457</v>
      </c>
      <c r="B15" s="15"/>
      <c r="C15" s="15"/>
      <c r="D15" s="15"/>
      <c r="E15" s="15"/>
      <c r="F15" s="15"/>
      <c r="G15" s="15"/>
      <c r="H15" s="15"/>
    </row>
    <row r="16" customFormat="false" ht="31.5" hidden="false" customHeight="true" outlineLevel="0" collapsed="false">
      <c r="A16" s="46" t="s">
        <v>458</v>
      </c>
      <c r="B16" s="46"/>
      <c r="C16" s="46"/>
      <c r="D16" s="46"/>
      <c r="E16" s="46"/>
      <c r="F16" s="46"/>
      <c r="G16" s="46"/>
      <c r="H16" s="46"/>
    </row>
    <row r="17" customFormat="false" ht="18.75" hidden="false" customHeight="true" outlineLevel="0" collapsed="false">
      <c r="A17" s="46" t="s">
        <v>459</v>
      </c>
      <c r="B17" s="46"/>
      <c r="C17" s="46"/>
      <c r="D17" s="46"/>
      <c r="E17" s="46"/>
      <c r="F17" s="46"/>
      <c r="G17" s="46"/>
      <c r="H17" s="46"/>
    </row>
    <row r="18" customFormat="false" ht="18.75" hidden="false" customHeight="true" outlineLevel="0" collapsed="false">
      <c r="A18" s="46" t="s">
        <v>460</v>
      </c>
      <c r="B18" s="46"/>
      <c r="C18" s="46"/>
      <c r="D18" s="46"/>
      <c r="E18" s="46"/>
      <c r="F18" s="46"/>
      <c r="G18" s="46"/>
      <c r="H18" s="46"/>
    </row>
    <row r="19" customFormat="false" ht="18.75" hidden="false" customHeight="true" outlineLevel="0" collapsed="false">
      <c r="A19" s="46" t="s">
        <v>461</v>
      </c>
      <c r="B19" s="46"/>
      <c r="C19" s="46"/>
      <c r="D19" s="46"/>
      <c r="E19" s="46"/>
      <c r="F19" s="46"/>
      <c r="G19" s="46"/>
      <c r="H19" s="46"/>
    </row>
    <row r="20" customFormat="false" ht="31.5" hidden="false" customHeight="true" outlineLevel="0" collapsed="false">
      <c r="A20" s="46" t="s">
        <v>462</v>
      </c>
      <c r="B20" s="46"/>
      <c r="C20" s="46"/>
      <c r="D20" s="46"/>
      <c r="E20" s="46"/>
      <c r="F20" s="46"/>
      <c r="G20" s="46"/>
      <c r="H20" s="46"/>
    </row>
    <row r="22" customFormat="false" ht="21" hidden="false" customHeight="true" outlineLevel="0" collapsed="false">
      <c r="A22" s="15" t="s">
        <v>463</v>
      </c>
      <c r="B22" s="15"/>
      <c r="C22" s="15"/>
      <c r="D22" s="15"/>
      <c r="E22" s="15"/>
      <c r="F22" s="15"/>
      <c r="G22" s="15"/>
      <c r="H22" s="15"/>
    </row>
    <row r="23" customFormat="false" ht="31.5" hidden="false" customHeight="true" outlineLevel="0" collapsed="false">
      <c r="A23" s="11" t="s">
        <v>464</v>
      </c>
      <c r="B23" s="11"/>
      <c r="C23" s="11"/>
      <c r="D23" s="11"/>
      <c r="E23" s="11"/>
      <c r="F23" s="11"/>
      <c r="G23" s="11"/>
      <c r="H23" s="11"/>
    </row>
    <row r="24" customFormat="false" ht="31.5" hidden="false" customHeight="true" outlineLevel="0" collapsed="false">
      <c r="A24" s="13" t="s">
        <v>92</v>
      </c>
      <c r="B24" s="13" t="s">
        <v>465</v>
      </c>
      <c r="C24" s="13" t="s">
        <v>466</v>
      </c>
      <c r="D24" s="13" t="s">
        <v>467</v>
      </c>
      <c r="E24" s="13" t="s">
        <v>468</v>
      </c>
      <c r="F24" s="43" t="s">
        <v>439</v>
      </c>
      <c r="G24" s="13" t="s">
        <v>440</v>
      </c>
      <c r="H24" s="13" t="s">
        <v>469</v>
      </c>
    </row>
    <row r="25" customFormat="false" ht="103.5" hidden="false" customHeight="true" outlineLevel="0" collapsed="false">
      <c r="A25" s="16" t="s">
        <v>94</v>
      </c>
      <c r="B25" s="17" t="s">
        <v>470</v>
      </c>
      <c r="C25" s="19" t="s">
        <v>471</v>
      </c>
      <c r="D25" s="47" t="n">
        <v>0.240964</v>
      </c>
      <c r="E25" s="18" t="n">
        <v>163855.52</v>
      </c>
      <c r="F25" s="20" t="n">
        <f aca="false">'Build-Up'!$F$22</f>
        <v>6250</v>
      </c>
      <c r="G25" s="18" t="n">
        <f aca="false">E25-F25</f>
        <v>157605.52</v>
      </c>
      <c r="H25" s="19" t="s">
        <v>472</v>
      </c>
    </row>
    <row r="26" customFormat="false" ht="51.75" hidden="false" customHeight="true" outlineLevel="0" collapsed="false">
      <c r="A26" s="16" t="s">
        <v>98</v>
      </c>
      <c r="B26" s="17" t="s">
        <v>473</v>
      </c>
      <c r="C26" s="19" t="s">
        <v>474</v>
      </c>
      <c r="D26" s="47" t="n">
        <v>0.072289</v>
      </c>
      <c r="E26" s="18" t="n">
        <v>49156.52</v>
      </c>
      <c r="F26" s="20" t="n">
        <f aca="false">'Build-Up'!$F$14+'Build-Up'!$F$15+'Build-Up'!$F$16</f>
        <v>23370</v>
      </c>
      <c r="G26" s="18" t="n">
        <f aca="false">E26-F26</f>
        <v>25786.52</v>
      </c>
      <c r="H26" s="19" t="s">
        <v>475</v>
      </c>
    </row>
    <row r="27" customFormat="false" ht="51.75" hidden="false" customHeight="true" outlineLevel="0" collapsed="false">
      <c r="A27" s="16" t="s">
        <v>101</v>
      </c>
      <c r="B27" s="17" t="s">
        <v>476</v>
      </c>
      <c r="C27" s="19" t="s">
        <v>477</v>
      </c>
      <c r="D27" s="47" t="n">
        <v>0.096386</v>
      </c>
      <c r="E27" s="18" t="n">
        <v>65542.48</v>
      </c>
      <c r="F27" s="20" t="n">
        <f aca="false">'Build-Up'!$F$28+'Build-Up'!$F$29</f>
        <v>27755.56</v>
      </c>
      <c r="G27" s="18" t="n">
        <f aca="false">E27-F27</f>
        <v>37786.92</v>
      </c>
      <c r="H27" s="19" t="s">
        <v>478</v>
      </c>
    </row>
    <row r="28" customFormat="false" ht="64.5" hidden="false" customHeight="true" outlineLevel="0" collapsed="false">
      <c r="A28" s="16" t="s">
        <v>104</v>
      </c>
      <c r="B28" s="17" t="s">
        <v>479</v>
      </c>
      <c r="C28" s="19" t="s">
        <v>480</v>
      </c>
      <c r="D28" s="47" t="n">
        <v>0.144578</v>
      </c>
      <c r="E28" s="18" t="n">
        <v>98313.04</v>
      </c>
      <c r="F28" s="20" t="n">
        <f aca="false">'Build-Up'!$F$20</f>
        <v>16400</v>
      </c>
      <c r="G28" s="18" t="n">
        <f aca="false">E28-F28</f>
        <v>81913.04</v>
      </c>
      <c r="H28" s="19" t="s">
        <v>481</v>
      </c>
    </row>
    <row r="29" customFormat="false" ht="78" hidden="false" customHeight="true" outlineLevel="0" collapsed="false">
      <c r="A29" s="16" t="s">
        <v>107</v>
      </c>
      <c r="B29" s="17" t="s">
        <v>482</v>
      </c>
      <c r="C29" s="19" t="s">
        <v>483</v>
      </c>
      <c r="D29" s="47" t="n">
        <v>0.096386</v>
      </c>
      <c r="E29" s="18" t="n">
        <v>65542.48</v>
      </c>
      <c r="F29" s="20" t="n">
        <f aca="false">'Build-Up'!$F$17+'Build-Up'!$F$18</f>
        <v>14035</v>
      </c>
      <c r="G29" s="18" t="n">
        <f aca="false">E29-F29</f>
        <v>51507.48</v>
      </c>
      <c r="H29" s="19" t="s">
        <v>484</v>
      </c>
    </row>
    <row r="30" customFormat="false" ht="78" hidden="false" customHeight="true" outlineLevel="0" collapsed="false">
      <c r="A30" s="16" t="s">
        <v>110</v>
      </c>
      <c r="B30" s="17" t="s">
        <v>485</v>
      </c>
      <c r="C30" s="19" t="s">
        <v>486</v>
      </c>
      <c r="D30" s="47" t="n">
        <v>0.084337</v>
      </c>
      <c r="E30" s="18" t="n">
        <v>57349.16</v>
      </c>
      <c r="F30" s="20" t="n">
        <f aca="false">'Build-Up'!$F$10+'Build-Up'!$F$25+'Build-Up'!$F$26+'Build-Up'!$F$27</f>
        <v>62800</v>
      </c>
      <c r="G30" s="18" t="n">
        <f aca="false">E30-F30</f>
        <v>-5450.84</v>
      </c>
      <c r="H30" s="19" t="s">
        <v>487</v>
      </c>
    </row>
    <row r="31" customFormat="false" ht="90.75" hidden="false" customHeight="true" outlineLevel="0" collapsed="false">
      <c r="A31" s="16" t="s">
        <v>113</v>
      </c>
      <c r="B31" s="17" t="s">
        <v>488</v>
      </c>
      <c r="C31" s="19" t="s">
        <v>489</v>
      </c>
      <c r="D31" s="47" t="n">
        <v>0.120482</v>
      </c>
      <c r="E31" s="18" t="n">
        <v>81927.76</v>
      </c>
      <c r="F31" s="20" t="n">
        <f aca="false">'Build-Up'!$F$30+'Build-Up'!$F$31</f>
        <v>3650</v>
      </c>
      <c r="G31" s="18" t="n">
        <f aca="false">E31-F31</f>
        <v>78277.76</v>
      </c>
      <c r="H31" s="19" t="s">
        <v>490</v>
      </c>
    </row>
    <row r="32" customFormat="false" ht="42" hidden="false" customHeight="true" outlineLevel="0" collapsed="false">
      <c r="A32" s="16" t="s">
        <v>115</v>
      </c>
      <c r="B32" s="17" t="s">
        <v>491</v>
      </c>
      <c r="C32" s="19" t="s">
        <v>492</v>
      </c>
      <c r="D32" s="47" t="n">
        <v>0.144578</v>
      </c>
      <c r="E32" s="18" t="n">
        <v>98313.04</v>
      </c>
      <c r="F32" s="20" t="n">
        <f aca="false">'Build-Up'!$F$23+'Build-Up'!$F$24</f>
        <v>8050</v>
      </c>
      <c r="G32" s="18" t="n">
        <f aca="false">E32-F32</f>
        <v>90263.04</v>
      </c>
      <c r="H32" s="19" t="s">
        <v>493</v>
      </c>
    </row>
    <row r="33" customFormat="false" ht="78" hidden="false" customHeight="true" outlineLevel="0" collapsed="false">
      <c r="A33" s="16"/>
      <c r="B33" s="17" t="s">
        <v>494</v>
      </c>
      <c r="C33" s="19"/>
      <c r="D33" s="47"/>
      <c r="E33" s="18" t="n">
        <v>0</v>
      </c>
      <c r="F33" s="20" t="n">
        <f aca="false">'Build-Up'!$F$9+'Build-Up'!$F$11+'Build-Up'!$F$12+'Build-Up'!$F$13+'Build-Up'!$F$19+'Build-Up'!$F$21</f>
        <v>157370</v>
      </c>
      <c r="G33" s="18" t="n">
        <f aca="false">E33-F33</f>
        <v>-157370</v>
      </c>
      <c r="H33" s="19" t="s">
        <v>495</v>
      </c>
    </row>
    <row r="34" customFormat="false" ht="27" hidden="false" customHeight="true" outlineLevel="0" collapsed="false">
      <c r="A34" s="23"/>
      <c r="B34" s="23" t="s">
        <v>496</v>
      </c>
      <c r="C34" s="23"/>
      <c r="D34" s="23"/>
      <c r="E34" s="24" t="n">
        <f aca="false">SUM(E25:E33)</f>
        <v>680000</v>
      </c>
      <c r="F34" s="25" t="n">
        <f aca="false">SUM(F25:F33)</f>
        <v>319680.56</v>
      </c>
      <c r="G34" s="24" t="n">
        <f aca="false">E34-F34</f>
        <v>360319.44</v>
      </c>
      <c r="H34" s="48" t="s">
        <v>497</v>
      </c>
    </row>
    <row r="35" customFormat="false" ht="45" hidden="false" customHeight="true" outlineLevel="0" collapsed="false">
      <c r="A35" s="46" t="s">
        <v>498</v>
      </c>
      <c r="B35" s="46"/>
      <c r="C35" s="46"/>
      <c r="D35" s="46"/>
      <c r="E35" s="46"/>
      <c r="F35" s="46"/>
      <c r="G35" s="46"/>
      <c r="H35" s="46"/>
    </row>
    <row r="37" customFormat="false" ht="21" hidden="false" customHeight="true" outlineLevel="0" collapsed="false">
      <c r="A37" s="15" t="s">
        <v>499</v>
      </c>
      <c r="B37" s="15"/>
      <c r="C37" s="15"/>
      <c r="D37" s="15"/>
      <c r="E37" s="15"/>
      <c r="F37" s="15"/>
      <c r="G37" s="15"/>
      <c r="H37" s="15"/>
    </row>
    <row r="38" customFormat="false" ht="18.75" hidden="false" customHeight="true" outlineLevel="0" collapsed="false">
      <c r="A38" s="11" t="s">
        <v>500</v>
      </c>
      <c r="B38" s="11"/>
      <c r="C38" s="11"/>
      <c r="D38" s="11"/>
      <c r="E38" s="11"/>
      <c r="F38" s="11"/>
      <c r="G38" s="11"/>
      <c r="H38" s="11"/>
    </row>
    <row r="39" customFormat="false" ht="31.5" hidden="false" customHeight="true" outlineLevel="0" collapsed="false">
      <c r="A39" s="13" t="s">
        <v>92</v>
      </c>
      <c r="B39" s="13" t="s">
        <v>465</v>
      </c>
      <c r="C39" s="13" t="s">
        <v>466</v>
      </c>
      <c r="D39" s="13" t="s">
        <v>467</v>
      </c>
      <c r="E39" s="13" t="s">
        <v>468</v>
      </c>
      <c r="F39" s="43" t="s">
        <v>439</v>
      </c>
      <c r="G39" s="13" t="s">
        <v>440</v>
      </c>
      <c r="H39" s="13" t="s">
        <v>469</v>
      </c>
    </row>
    <row r="40" customFormat="false" ht="51.75" hidden="false" customHeight="true" outlineLevel="0" collapsed="false">
      <c r="A40" s="16" t="s">
        <v>232</v>
      </c>
      <c r="B40" s="17" t="s">
        <v>501</v>
      </c>
      <c r="C40" s="19" t="s">
        <v>502</v>
      </c>
      <c r="D40" s="47" t="n">
        <v>0.15</v>
      </c>
      <c r="E40" s="18" t="n">
        <v>75628.803</v>
      </c>
      <c r="F40" s="20" t="n">
        <f aca="false">'Build-Up'!$F$76+'Build-Up'!$F$77+'Build-Up'!$F$78+'Build-Up'!$F$79</f>
        <v>66520</v>
      </c>
      <c r="G40" s="18" t="n">
        <f aca="false">E40-F40</f>
        <v>9108.803</v>
      </c>
      <c r="H40" s="19" t="s">
        <v>503</v>
      </c>
    </row>
    <row r="41" customFormat="false" ht="80.25" hidden="false" customHeight="true" outlineLevel="0" collapsed="false">
      <c r="A41" s="16" t="s">
        <v>235</v>
      </c>
      <c r="B41" s="17" t="s">
        <v>504</v>
      </c>
      <c r="C41" s="19" t="s">
        <v>505</v>
      </c>
      <c r="D41" s="47" t="n">
        <v>0.25</v>
      </c>
      <c r="E41" s="18" t="n">
        <v>126048.005</v>
      </c>
      <c r="F41" s="20" t="n">
        <f aca="false">'Build-Up'!$F$75</f>
        <v>55800</v>
      </c>
      <c r="G41" s="18" t="n">
        <f aca="false">E41-F41</f>
        <v>70248.005</v>
      </c>
      <c r="H41" s="19" t="s">
        <v>506</v>
      </c>
    </row>
    <row r="42" customFormat="false" ht="42" hidden="false" customHeight="true" outlineLevel="0" collapsed="false">
      <c r="A42" s="16" t="s">
        <v>238</v>
      </c>
      <c r="B42" s="17" t="s">
        <v>507</v>
      </c>
      <c r="C42" s="19" t="s">
        <v>508</v>
      </c>
      <c r="D42" s="47" t="n">
        <v>0.12</v>
      </c>
      <c r="E42" s="18" t="n">
        <v>60503.0424</v>
      </c>
      <c r="F42" s="20" t="n">
        <f aca="false">'Build-Up'!$F$74</f>
        <v>52800</v>
      </c>
      <c r="G42" s="18" t="n">
        <f aca="false">E42-F42</f>
        <v>7703.0424</v>
      </c>
      <c r="H42" s="19" t="s">
        <v>509</v>
      </c>
    </row>
    <row r="43" customFormat="false" ht="129.75" hidden="false" customHeight="true" outlineLevel="0" collapsed="false">
      <c r="A43" s="16" t="s">
        <v>242</v>
      </c>
      <c r="B43" s="17" t="s">
        <v>510</v>
      </c>
      <c r="C43" s="19" t="s">
        <v>511</v>
      </c>
      <c r="D43" s="47" t="n">
        <v>0.1</v>
      </c>
      <c r="E43" s="18" t="n">
        <v>50419.202</v>
      </c>
      <c r="F43" s="20" t="n">
        <f aca="false">'Build-Up'!$F$80+'Build-Up'!$F$81+'Build-Up'!$F$88</f>
        <v>69200</v>
      </c>
      <c r="G43" s="18" t="n">
        <f aca="false">E43-F43</f>
        <v>-18780.798</v>
      </c>
      <c r="H43" s="19" t="s">
        <v>512</v>
      </c>
    </row>
    <row r="44" customFormat="false" ht="39" hidden="false" customHeight="true" outlineLevel="0" collapsed="false">
      <c r="A44" s="16" t="s">
        <v>246</v>
      </c>
      <c r="B44" s="17" t="s">
        <v>513</v>
      </c>
      <c r="C44" s="19" t="s">
        <v>514</v>
      </c>
      <c r="D44" s="47" t="n">
        <v>0.1</v>
      </c>
      <c r="E44" s="18" t="n">
        <v>50419.202</v>
      </c>
      <c r="F44" s="20" t="n">
        <f aca="false">'Build-Up'!$F$82</f>
        <v>12300</v>
      </c>
      <c r="G44" s="18" t="n">
        <f aca="false">E44-F44</f>
        <v>38119.202</v>
      </c>
      <c r="H44" s="19" t="s">
        <v>515</v>
      </c>
    </row>
    <row r="45" customFormat="false" ht="42" hidden="false" customHeight="true" outlineLevel="0" collapsed="false">
      <c r="A45" s="16" t="s">
        <v>248</v>
      </c>
      <c r="B45" s="17" t="s">
        <v>516</v>
      </c>
      <c r="C45" s="19" t="s">
        <v>517</v>
      </c>
      <c r="D45" s="47" t="n">
        <v>0.08</v>
      </c>
      <c r="E45" s="18" t="n">
        <v>40335.3616</v>
      </c>
      <c r="F45" s="20" t="n">
        <f aca="false">'Build-Up'!$F$84+'Build-Up'!$F$85+'Build-Up'!$F$86</f>
        <v>6750</v>
      </c>
      <c r="G45" s="18" t="n">
        <f aca="false">E45-F45</f>
        <v>33585.3616</v>
      </c>
      <c r="H45" s="19" t="s">
        <v>518</v>
      </c>
    </row>
    <row r="46" customFormat="false" ht="42" hidden="false" customHeight="true" outlineLevel="0" collapsed="false">
      <c r="A46" s="16" t="s">
        <v>252</v>
      </c>
      <c r="B46" s="17" t="s">
        <v>519</v>
      </c>
      <c r="C46" s="19" t="s">
        <v>520</v>
      </c>
      <c r="D46" s="47" t="n">
        <v>0.12</v>
      </c>
      <c r="E46" s="18" t="n">
        <v>60503.0424</v>
      </c>
      <c r="F46" s="20" t="n">
        <f aca="false">'Build-Up'!$F$87</f>
        <v>6480</v>
      </c>
      <c r="G46" s="18" t="n">
        <f aca="false">E46-F46</f>
        <v>54023.0424</v>
      </c>
      <c r="H46" s="19" t="s">
        <v>521</v>
      </c>
    </row>
    <row r="47" customFormat="false" ht="30" hidden="false" customHeight="true" outlineLevel="0" collapsed="false">
      <c r="A47" s="16" t="s">
        <v>255</v>
      </c>
      <c r="B47" s="17" t="s">
        <v>522</v>
      </c>
      <c r="C47" s="19" t="s">
        <v>523</v>
      </c>
      <c r="D47" s="47" t="n">
        <v>0.08</v>
      </c>
      <c r="E47" s="18" t="n">
        <v>40335.3616</v>
      </c>
      <c r="F47" s="20" t="n">
        <v>0</v>
      </c>
      <c r="G47" s="18" t="n">
        <f aca="false">E47-F47</f>
        <v>40335.3616</v>
      </c>
      <c r="H47" s="19" t="s">
        <v>524</v>
      </c>
    </row>
    <row r="48" customFormat="false" ht="42" hidden="false" customHeight="true" outlineLevel="0" collapsed="false">
      <c r="A48" s="16"/>
      <c r="B48" s="17" t="s">
        <v>525</v>
      </c>
      <c r="C48" s="19"/>
      <c r="D48" s="47"/>
      <c r="E48" s="18" t="n">
        <v>0</v>
      </c>
      <c r="F48" s="20" t="n">
        <f aca="false">'Build-Up'!$F$83</f>
        <v>55500</v>
      </c>
      <c r="G48" s="18" t="n">
        <f aca="false">E48-F48</f>
        <v>-55500</v>
      </c>
      <c r="H48" s="19" t="s">
        <v>526</v>
      </c>
    </row>
    <row r="49" customFormat="false" ht="27" hidden="false" customHeight="true" outlineLevel="0" collapsed="false">
      <c r="A49" s="23"/>
      <c r="B49" s="23" t="s">
        <v>496</v>
      </c>
      <c r="C49" s="23"/>
      <c r="D49" s="23"/>
      <c r="E49" s="24" t="n">
        <f aca="false">SUM(E40:E48)</f>
        <v>504192.02</v>
      </c>
      <c r="F49" s="25" t="n">
        <f aca="false">SUM(F40:F48)</f>
        <v>325350</v>
      </c>
      <c r="G49" s="24" t="n">
        <f aca="false">E49-F49</f>
        <v>178842.02</v>
      </c>
      <c r="H49" s="48" t="s">
        <v>527</v>
      </c>
    </row>
    <row r="51" customFormat="false" ht="21" hidden="false" customHeight="true" outlineLevel="0" collapsed="false">
      <c r="A51" s="15" t="s">
        <v>528</v>
      </c>
      <c r="B51" s="15"/>
      <c r="C51" s="15"/>
      <c r="D51" s="15"/>
      <c r="E51" s="15"/>
      <c r="F51" s="15"/>
      <c r="G51" s="15"/>
      <c r="H51" s="15"/>
    </row>
    <row r="52" customFormat="false" ht="31.5" hidden="false" customHeight="true" outlineLevel="0" collapsed="false">
      <c r="A52" s="11" t="s">
        <v>529</v>
      </c>
      <c r="B52" s="11"/>
      <c r="C52" s="11"/>
      <c r="D52" s="11"/>
      <c r="E52" s="11"/>
      <c r="F52" s="11"/>
      <c r="G52" s="11"/>
      <c r="H52" s="11"/>
    </row>
    <row r="53" customFormat="false" ht="31.5" hidden="false" customHeight="true" outlineLevel="0" collapsed="false">
      <c r="A53" s="13" t="s">
        <v>92</v>
      </c>
      <c r="B53" s="13" t="s">
        <v>465</v>
      </c>
      <c r="C53" s="13" t="s">
        <v>466</v>
      </c>
      <c r="D53" s="13" t="s">
        <v>467</v>
      </c>
      <c r="E53" s="13" t="s">
        <v>468</v>
      </c>
      <c r="F53" s="43" t="s">
        <v>439</v>
      </c>
      <c r="G53" s="13" t="s">
        <v>440</v>
      </c>
      <c r="H53" s="13" t="s">
        <v>469</v>
      </c>
    </row>
    <row r="54" customFormat="false" ht="78" hidden="false" customHeight="true" outlineLevel="0" collapsed="false">
      <c r="A54" s="16" t="s">
        <v>288</v>
      </c>
      <c r="B54" s="17" t="s">
        <v>530</v>
      </c>
      <c r="C54" s="19" t="s">
        <v>531</v>
      </c>
      <c r="D54" s="47" t="n">
        <v>0.3</v>
      </c>
      <c r="E54" s="18" t="n">
        <v>127920</v>
      </c>
      <c r="F54" s="20" t="n">
        <f aca="false">'Build-Up'!$F$100+'Build-Up'!$F$101+'Build-Up'!$F$102+'Build-Up'!$F$103+'Build-Up'!$F$104+'Build-Up'!$F$105+'Build-Up'!$F$106+'Build-Up'!$F$107+'Build-Up'!$F$108+'Build-Up'!$F$109+'Build-Up'!$F$110+'Build-Up'!$F$111+'Build-Up'!$F$121</f>
        <v>54506</v>
      </c>
      <c r="G54" s="18" t="n">
        <f aca="false">E54-F54</f>
        <v>73414</v>
      </c>
      <c r="H54" s="19" t="s">
        <v>532</v>
      </c>
    </row>
    <row r="55" customFormat="false" ht="54.75" hidden="false" customHeight="true" outlineLevel="0" collapsed="false">
      <c r="A55" s="16" t="s">
        <v>291</v>
      </c>
      <c r="B55" s="17" t="s">
        <v>533</v>
      </c>
      <c r="C55" s="19" t="s">
        <v>534</v>
      </c>
      <c r="D55" s="47" t="n">
        <v>0.2</v>
      </c>
      <c r="E55" s="18" t="n">
        <v>85280</v>
      </c>
      <c r="F55" s="20" t="n">
        <f aca="false">'Build-Up'!$F$114+'Build-Up'!$F$116+'Build-Up'!$F$117+'Build-Up'!$F$118</f>
        <v>12000</v>
      </c>
      <c r="G55" s="18" t="n">
        <f aca="false">E55-F55</f>
        <v>73280</v>
      </c>
      <c r="H55" s="19" t="s">
        <v>535</v>
      </c>
    </row>
    <row r="56" customFormat="false" ht="42" hidden="false" customHeight="true" outlineLevel="0" collapsed="false">
      <c r="A56" s="16" t="s">
        <v>294</v>
      </c>
      <c r="B56" s="17" t="s">
        <v>536</v>
      </c>
      <c r="C56" s="19" t="s">
        <v>537</v>
      </c>
      <c r="D56" s="47" t="n">
        <v>0.15</v>
      </c>
      <c r="E56" s="18" t="n">
        <v>63960</v>
      </c>
      <c r="F56" s="20" t="n">
        <f aca="false">'Build-Up'!$F$113+'Build-Up'!$F$115</f>
        <v>9800</v>
      </c>
      <c r="G56" s="18" t="n">
        <f aca="false">E56-F56</f>
        <v>54160</v>
      </c>
      <c r="H56" s="19" t="s">
        <v>538</v>
      </c>
    </row>
    <row r="57" customFormat="false" ht="64.5" hidden="false" customHeight="true" outlineLevel="0" collapsed="false">
      <c r="A57" s="16" t="s">
        <v>297</v>
      </c>
      <c r="B57" s="17" t="s">
        <v>539</v>
      </c>
      <c r="C57" s="19" t="s">
        <v>537</v>
      </c>
      <c r="D57" s="47" t="n">
        <v>0.2</v>
      </c>
      <c r="E57" s="18" t="n">
        <v>85280</v>
      </c>
      <c r="F57" s="20" t="n">
        <f aca="false">'Build-Up'!$F$112</f>
        <v>16000</v>
      </c>
      <c r="G57" s="18" t="n">
        <f aca="false">E57-F57</f>
        <v>69280</v>
      </c>
      <c r="H57" s="19" t="s">
        <v>540</v>
      </c>
    </row>
    <row r="58" customFormat="false" ht="50.25" hidden="false" customHeight="true" outlineLevel="0" collapsed="false">
      <c r="A58" s="16" t="s">
        <v>300</v>
      </c>
      <c r="B58" s="17" t="s">
        <v>541</v>
      </c>
      <c r="C58" s="19" t="s">
        <v>542</v>
      </c>
      <c r="D58" s="47" t="n">
        <v>0.15</v>
      </c>
      <c r="E58" s="18" t="n">
        <v>63960</v>
      </c>
      <c r="F58" s="20" t="n">
        <f aca="false">'Build-Up'!$F$119+'Build-Up'!$F$120</f>
        <v>10000</v>
      </c>
      <c r="G58" s="18" t="n">
        <f aca="false">E58-F58</f>
        <v>53960</v>
      </c>
      <c r="H58" s="19" t="s">
        <v>543</v>
      </c>
    </row>
    <row r="59" customFormat="false" ht="27" hidden="false" customHeight="true" outlineLevel="0" collapsed="false">
      <c r="A59" s="23"/>
      <c r="B59" s="23" t="s">
        <v>496</v>
      </c>
      <c r="C59" s="23"/>
      <c r="D59" s="23"/>
      <c r="E59" s="24" t="n">
        <f aca="false">SUM(E54:E58)</f>
        <v>426400</v>
      </c>
      <c r="F59" s="25" t="n">
        <f aca="false">SUM(F54:F58)</f>
        <v>102306</v>
      </c>
      <c r="G59" s="24" t="n">
        <f aca="false">E59-F59</f>
        <v>324094</v>
      </c>
      <c r="H59" s="48" t="s">
        <v>544</v>
      </c>
    </row>
    <row r="61" customFormat="false" ht="21" hidden="false" customHeight="true" outlineLevel="0" collapsed="false">
      <c r="A61" s="15" t="s">
        <v>545</v>
      </c>
      <c r="B61" s="15"/>
      <c r="C61" s="15"/>
      <c r="D61" s="15"/>
      <c r="E61" s="15"/>
      <c r="F61" s="15"/>
      <c r="G61" s="15"/>
      <c r="H61" s="15"/>
    </row>
    <row r="62" customFormat="false" ht="45" hidden="false" customHeight="true" outlineLevel="0" collapsed="false">
      <c r="A62" s="11" t="s">
        <v>546</v>
      </c>
      <c r="B62" s="11"/>
      <c r="C62" s="11"/>
      <c r="D62" s="11"/>
      <c r="E62" s="11"/>
      <c r="F62" s="11"/>
      <c r="G62" s="11"/>
      <c r="H62" s="11"/>
    </row>
    <row r="63" customFormat="false" ht="31.5" hidden="false" customHeight="true" outlineLevel="0" collapsed="false">
      <c r="A63" s="13" t="s">
        <v>92</v>
      </c>
      <c r="B63" s="13" t="s">
        <v>465</v>
      </c>
      <c r="C63" s="13" t="s">
        <v>466</v>
      </c>
      <c r="D63" s="13" t="s">
        <v>467</v>
      </c>
      <c r="E63" s="13" t="s">
        <v>468</v>
      </c>
      <c r="F63" s="43" t="s">
        <v>439</v>
      </c>
      <c r="G63" s="13" t="s">
        <v>440</v>
      </c>
      <c r="H63" s="13" t="s">
        <v>469</v>
      </c>
    </row>
    <row r="64" customFormat="false" ht="64.5" hidden="false" customHeight="true" outlineLevel="0" collapsed="false">
      <c r="A64" s="16" t="s">
        <v>354</v>
      </c>
      <c r="B64" s="17" t="s">
        <v>547</v>
      </c>
      <c r="C64" s="19" t="s">
        <v>548</v>
      </c>
      <c r="D64" s="47" t="n">
        <v>0.3</v>
      </c>
      <c r="E64" s="18" t="n">
        <v>126000</v>
      </c>
      <c r="F64" s="20" t="n">
        <f aca="false">'Build-Up'!$F$129+'Build-Up'!$F$130+'Build-Up'!$F$132+'Build-Up'!$F$133+'Build-Up'!$F$134</f>
        <v>107200</v>
      </c>
      <c r="G64" s="18" t="n">
        <f aca="false">E64-F64</f>
        <v>18800</v>
      </c>
      <c r="H64" s="19" t="s">
        <v>549</v>
      </c>
    </row>
    <row r="65" customFormat="false" ht="39" hidden="false" customHeight="true" outlineLevel="0" collapsed="false">
      <c r="A65" s="16" t="s">
        <v>358</v>
      </c>
      <c r="B65" s="17" t="s">
        <v>550</v>
      </c>
      <c r="C65" s="19" t="s">
        <v>551</v>
      </c>
      <c r="D65" s="47" t="n">
        <v>0.18</v>
      </c>
      <c r="E65" s="18" t="n">
        <v>75600</v>
      </c>
      <c r="F65" s="20" t="n">
        <f aca="false">'Build-Up'!$F$131</f>
        <v>55000</v>
      </c>
      <c r="G65" s="18" t="n">
        <f aca="false">E65-F65</f>
        <v>20600</v>
      </c>
      <c r="H65" s="19" t="s">
        <v>552</v>
      </c>
    </row>
    <row r="66" customFormat="false" ht="39" hidden="false" customHeight="true" outlineLevel="0" collapsed="false">
      <c r="A66" s="16" t="s">
        <v>361</v>
      </c>
      <c r="B66" s="17" t="s">
        <v>553</v>
      </c>
      <c r="C66" s="19" t="s">
        <v>551</v>
      </c>
      <c r="D66" s="47" t="n">
        <v>0.12</v>
      </c>
      <c r="E66" s="18" t="n">
        <v>50400</v>
      </c>
      <c r="F66" s="20" t="n">
        <f aca="false">'Build-Up'!$F$135+'Build-Up'!$F$136</f>
        <v>15000</v>
      </c>
      <c r="G66" s="18" t="n">
        <f aca="false">E66-F66</f>
        <v>35400</v>
      </c>
      <c r="H66" s="19" t="s">
        <v>554</v>
      </c>
    </row>
    <row r="67" customFormat="false" ht="64.5" hidden="false" customHeight="true" outlineLevel="0" collapsed="false">
      <c r="A67" s="16" t="s">
        <v>364</v>
      </c>
      <c r="B67" s="17" t="s">
        <v>555</v>
      </c>
      <c r="C67" s="19" t="s">
        <v>556</v>
      </c>
      <c r="D67" s="47" t="n">
        <v>0.2</v>
      </c>
      <c r="E67" s="18" t="n">
        <v>84000</v>
      </c>
      <c r="F67" s="20" t="n">
        <f aca="false">'Build-Up'!$F$142+'Build-Up'!$F$143</f>
        <v>20000</v>
      </c>
      <c r="G67" s="18" t="n">
        <f aca="false">E67-F67</f>
        <v>64000</v>
      </c>
      <c r="H67" s="19" t="s">
        <v>557</v>
      </c>
    </row>
    <row r="68" customFormat="false" ht="51.75" hidden="false" customHeight="true" outlineLevel="0" collapsed="false">
      <c r="A68" s="16" t="s">
        <v>366</v>
      </c>
      <c r="B68" s="17" t="s">
        <v>558</v>
      </c>
      <c r="C68" s="19" t="s">
        <v>559</v>
      </c>
      <c r="D68" s="47" t="n">
        <v>0.15</v>
      </c>
      <c r="E68" s="18" t="n">
        <v>63000</v>
      </c>
      <c r="F68" s="20" t="n">
        <f aca="false">'Build-Up'!$F$137+'Build-Up'!$F$138+'Build-Up'!$F$139+'Build-Up'!$F$140+'Build-Up'!$F$141+'Build-Up'!$F$144+'Build-Up'!$F$145+'Build-Up'!$F$146+'Build-Up'!$F$147</f>
        <v>40000</v>
      </c>
      <c r="G68" s="18" t="n">
        <f aca="false">E68-F68</f>
        <v>23000</v>
      </c>
      <c r="H68" s="19" t="s">
        <v>560</v>
      </c>
    </row>
    <row r="69" customFormat="false" ht="42" hidden="false" customHeight="true" outlineLevel="0" collapsed="false">
      <c r="A69" s="16" t="s">
        <v>368</v>
      </c>
      <c r="B69" s="17" t="s">
        <v>561</v>
      </c>
      <c r="C69" s="19" t="s">
        <v>551</v>
      </c>
      <c r="D69" s="47" t="n">
        <v>0.05</v>
      </c>
      <c r="E69" s="18" t="n">
        <v>21000</v>
      </c>
      <c r="F69" s="20" t="n">
        <f aca="false">'Build-Up'!$F$148+'Build-Up'!$F$149</f>
        <v>8000</v>
      </c>
      <c r="G69" s="18" t="n">
        <f aca="false">E69-F69</f>
        <v>13000</v>
      </c>
      <c r="H69" s="19" t="s">
        <v>562</v>
      </c>
    </row>
    <row r="70" customFormat="false" ht="27" hidden="false" customHeight="true" outlineLevel="0" collapsed="false">
      <c r="A70" s="23"/>
      <c r="B70" s="23" t="s">
        <v>496</v>
      </c>
      <c r="C70" s="23"/>
      <c r="D70" s="23"/>
      <c r="E70" s="24" t="n">
        <f aca="false">SUM(E64:E69)</f>
        <v>420000</v>
      </c>
      <c r="F70" s="25" t="n">
        <f aca="false">SUM(F64:F69)</f>
        <v>245200</v>
      </c>
      <c r="G70" s="24" t="n">
        <f aca="false">E70-F70</f>
        <v>174800</v>
      </c>
      <c r="H70" s="48" t="s">
        <v>563</v>
      </c>
    </row>
    <row r="72" customFormat="false" ht="21" hidden="false" customHeight="true" outlineLevel="0" collapsed="false">
      <c r="A72" s="15" t="s">
        <v>564</v>
      </c>
      <c r="B72" s="15"/>
      <c r="C72" s="15"/>
      <c r="D72" s="15"/>
      <c r="E72" s="15"/>
      <c r="F72" s="15"/>
      <c r="G72" s="15"/>
      <c r="H72" s="15"/>
    </row>
    <row r="73" customFormat="false" ht="45" hidden="false" customHeight="true" outlineLevel="0" collapsed="false">
      <c r="A73" s="11" t="s">
        <v>565</v>
      </c>
      <c r="B73" s="11"/>
      <c r="C73" s="11"/>
      <c r="D73" s="11"/>
      <c r="E73" s="11"/>
      <c r="F73" s="11"/>
      <c r="G73" s="11"/>
      <c r="H73" s="11"/>
    </row>
    <row r="74" customFormat="false" ht="31.5" hidden="false" customHeight="true" outlineLevel="0" collapsed="false">
      <c r="A74" s="13" t="s">
        <v>566</v>
      </c>
      <c r="B74" s="13" t="s">
        <v>567</v>
      </c>
      <c r="C74" s="13" t="s">
        <v>568</v>
      </c>
      <c r="D74" s="13"/>
      <c r="E74" s="13"/>
      <c r="F74" s="13"/>
      <c r="G74" s="13"/>
      <c r="H74" s="13" t="s">
        <v>569</v>
      </c>
    </row>
    <row r="75" customFormat="false" ht="30" hidden="false" customHeight="true" outlineLevel="0" collapsed="false">
      <c r="A75" s="16" t="s">
        <v>442</v>
      </c>
      <c r="B75" s="17" t="s">
        <v>570</v>
      </c>
      <c r="C75" s="49" t="s">
        <v>571</v>
      </c>
      <c r="D75" s="49"/>
      <c r="E75" s="49"/>
      <c r="F75" s="49"/>
      <c r="G75" s="49"/>
      <c r="H75" s="16" t="s">
        <v>572</v>
      </c>
    </row>
    <row r="76" customFormat="false" ht="30" hidden="false" customHeight="true" outlineLevel="0" collapsed="false">
      <c r="A76" s="16" t="s">
        <v>573</v>
      </c>
      <c r="B76" s="17" t="s">
        <v>574</v>
      </c>
      <c r="C76" s="49" t="s">
        <v>575</v>
      </c>
      <c r="D76" s="49"/>
      <c r="E76" s="49"/>
      <c r="F76" s="49"/>
      <c r="G76" s="49"/>
      <c r="H76" s="16" t="s">
        <v>576</v>
      </c>
    </row>
    <row r="77" customFormat="false" ht="30" hidden="false" customHeight="true" outlineLevel="0" collapsed="false">
      <c r="A77" s="16" t="s">
        <v>577</v>
      </c>
      <c r="B77" s="17" t="s">
        <v>578</v>
      </c>
      <c r="C77" s="49" t="s">
        <v>575</v>
      </c>
      <c r="D77" s="49"/>
      <c r="E77" s="49"/>
      <c r="F77" s="49"/>
      <c r="G77" s="49"/>
      <c r="H77" s="16" t="s">
        <v>576</v>
      </c>
    </row>
    <row r="78" customFormat="false" ht="39.75" hidden="false" customHeight="true" outlineLevel="0" collapsed="false">
      <c r="A78" s="16" t="s">
        <v>579</v>
      </c>
      <c r="B78" s="17" t="s">
        <v>580</v>
      </c>
      <c r="C78" s="49" t="s">
        <v>575</v>
      </c>
      <c r="D78" s="49"/>
      <c r="E78" s="49"/>
      <c r="F78" s="49"/>
      <c r="G78" s="49"/>
      <c r="H78" s="16" t="s">
        <v>581</v>
      </c>
    </row>
    <row r="79" customFormat="false" ht="30" hidden="false" customHeight="true" outlineLevel="0" collapsed="false">
      <c r="A79" s="16" t="s">
        <v>445</v>
      </c>
      <c r="B79" s="17" t="s">
        <v>582</v>
      </c>
      <c r="C79" s="50" t="s">
        <v>583</v>
      </c>
      <c r="D79" s="51"/>
      <c r="E79" s="51"/>
      <c r="F79" s="51"/>
      <c r="G79" s="52"/>
      <c r="H79" s="16" t="s">
        <v>572</v>
      </c>
    </row>
    <row r="80" customFormat="false" ht="30" hidden="false" customHeight="true" outlineLevel="0" collapsed="false">
      <c r="A80" s="16" t="s">
        <v>584</v>
      </c>
      <c r="B80" s="17" t="s">
        <v>585</v>
      </c>
      <c r="C80" s="50" t="s">
        <v>583</v>
      </c>
      <c r="D80" s="51"/>
      <c r="E80" s="51"/>
      <c r="F80" s="51"/>
      <c r="G80" s="52"/>
      <c r="H80" s="16" t="s">
        <v>586</v>
      </c>
    </row>
    <row r="81" customFormat="false" ht="30" hidden="false" customHeight="true" outlineLevel="0" collapsed="false">
      <c r="A81" s="16" t="s">
        <v>448</v>
      </c>
      <c r="B81" s="17" t="s">
        <v>587</v>
      </c>
      <c r="C81" s="50" t="s">
        <v>583</v>
      </c>
      <c r="D81" s="51"/>
      <c r="E81" s="51"/>
      <c r="F81" s="51"/>
      <c r="G81" s="52"/>
      <c r="H81" s="16" t="s">
        <v>586</v>
      </c>
    </row>
    <row r="82" customFormat="false" ht="30" hidden="false" customHeight="true" outlineLevel="0" collapsed="false">
      <c r="A82" s="16" t="s">
        <v>451</v>
      </c>
      <c r="B82" s="17" t="s">
        <v>588</v>
      </c>
      <c r="C82" s="50" t="s">
        <v>583</v>
      </c>
      <c r="D82" s="51"/>
      <c r="E82" s="51"/>
      <c r="F82" s="51"/>
      <c r="G82" s="52"/>
      <c r="H82" s="16" t="s">
        <v>572</v>
      </c>
    </row>
    <row r="83" customFormat="false" ht="30" hidden="false" customHeight="true" outlineLevel="0" collapsed="false">
      <c r="A83" s="16" t="s">
        <v>589</v>
      </c>
      <c r="B83" s="17" t="s">
        <v>590</v>
      </c>
      <c r="C83" s="50" t="s">
        <v>583</v>
      </c>
      <c r="D83" s="51"/>
      <c r="E83" s="51"/>
      <c r="F83" s="51"/>
      <c r="G83" s="52"/>
      <c r="H83" s="16" t="s">
        <v>591</v>
      </c>
    </row>
    <row r="84" customFormat="false" ht="54.75" hidden="false" customHeight="true" outlineLevel="0" collapsed="false">
      <c r="A84" s="16" t="n">
        <v>10</v>
      </c>
      <c r="B84" s="17" t="s">
        <v>592</v>
      </c>
      <c r="C84" s="49" t="s">
        <v>583</v>
      </c>
      <c r="D84" s="49"/>
      <c r="E84" s="49"/>
      <c r="F84" s="49"/>
      <c r="G84" s="49"/>
      <c r="H84" s="16" t="s">
        <v>593</v>
      </c>
    </row>
    <row r="85" customFormat="false" ht="54.75" hidden="false" customHeight="true" outlineLevel="0" collapsed="false">
      <c r="A85" s="16" t="n">
        <v>11</v>
      </c>
      <c r="B85" s="17" t="s">
        <v>594</v>
      </c>
      <c r="C85" s="49" t="s">
        <v>583</v>
      </c>
      <c r="D85" s="49"/>
      <c r="E85" s="49"/>
      <c r="F85" s="49"/>
      <c r="G85" s="49"/>
      <c r="H85" s="16" t="s">
        <v>593</v>
      </c>
    </row>
    <row r="86" customFormat="false" ht="67.5" hidden="false" customHeight="true" outlineLevel="0" collapsed="false">
      <c r="A86" s="16" t="n">
        <v>12</v>
      </c>
      <c r="B86" s="17" t="s">
        <v>595</v>
      </c>
      <c r="C86" s="49" t="s">
        <v>583</v>
      </c>
      <c r="D86" s="49"/>
      <c r="E86" s="49"/>
      <c r="F86" s="49"/>
      <c r="G86" s="49"/>
      <c r="H86" s="16" t="s">
        <v>593</v>
      </c>
    </row>
    <row r="87" customFormat="false" ht="67.5" hidden="false" customHeight="true" outlineLevel="0" collapsed="false">
      <c r="A87" s="16" t="n">
        <v>13</v>
      </c>
      <c r="B87" s="17" t="s">
        <v>596</v>
      </c>
      <c r="C87" s="49" t="s">
        <v>583</v>
      </c>
      <c r="D87" s="49"/>
      <c r="E87" s="49"/>
      <c r="F87" s="49"/>
      <c r="G87" s="49"/>
      <c r="H87" s="16" t="s">
        <v>593</v>
      </c>
    </row>
    <row r="89" customFormat="false" ht="30" hidden="false" customHeight="true" outlineLevel="0" collapsed="false">
      <c r="A89" s="53" t="str">
        <f aca="false">"Conclusion: the submission does not discharge the Contractor's obligation to substantiate its quantities and rates. The assessment stands at SAR " &amp; TEXT(Assessment!K21,"#,##0.00") &amp; " excluding VAT against the Contractor's proposal of SAR " &amp; TEXT(Assessment!F21,"#,##0.00") &amp; " excluding VAT."</f>
        <v>Conclusion: the submission does not discharge the Contractor's obligation to substantiate its quantities and rates. The assessment stands at SAR 6,984,428.39 excluding VAT against the Contractor's proposal of SAR 8,110,296.62 excluding VAT.</v>
      </c>
      <c r="B89" s="53"/>
      <c r="C89" s="53"/>
      <c r="D89" s="53"/>
      <c r="E89" s="53"/>
      <c r="F89" s="53"/>
      <c r="G89" s="53"/>
      <c r="H89" s="53"/>
    </row>
    <row r="91" customFormat="false" ht="21" hidden="false" customHeight="true" outlineLevel="0" collapsed="false">
      <c r="A91" s="15" t="s">
        <v>597</v>
      </c>
      <c r="B91" s="15"/>
      <c r="C91" s="15"/>
      <c r="D91" s="15"/>
      <c r="E91" s="15"/>
      <c r="F91" s="15"/>
      <c r="G91" s="15"/>
      <c r="H91" s="15"/>
    </row>
    <row r="92" customFormat="false" ht="43.5" hidden="false" customHeight="true" outlineLevel="0" collapsed="false">
      <c r="A92" s="11" t="s">
        <v>598</v>
      </c>
      <c r="B92" s="11"/>
      <c r="C92" s="11"/>
      <c r="D92" s="11"/>
      <c r="E92" s="11"/>
      <c r="F92" s="11"/>
      <c r="G92" s="11"/>
      <c r="H92" s="11"/>
    </row>
    <row r="93" customFormat="false" ht="43.5" hidden="false" customHeight="true" outlineLevel="0" collapsed="false">
      <c r="A93" s="13" t="s">
        <v>35</v>
      </c>
      <c r="B93" s="13" t="s">
        <v>599</v>
      </c>
      <c r="C93" s="13" t="s">
        <v>600</v>
      </c>
      <c r="D93" s="13"/>
      <c r="E93" s="13" t="s">
        <v>438</v>
      </c>
      <c r="F93" s="43" t="s">
        <v>601</v>
      </c>
      <c r="G93" s="13" t="s">
        <v>602</v>
      </c>
      <c r="H93" s="13" t="s">
        <v>603</v>
      </c>
    </row>
    <row r="94" customFormat="false" ht="67.5" hidden="false" customHeight="true" outlineLevel="0" collapsed="false">
      <c r="A94" s="16" t="s">
        <v>442</v>
      </c>
      <c r="B94" s="17" t="s">
        <v>604</v>
      </c>
      <c r="C94" s="49" t="s">
        <v>605</v>
      </c>
      <c r="D94" s="49"/>
      <c r="E94" s="18" t="n">
        <f aca="false">Assessment!$F$8</f>
        <v>680000</v>
      </c>
      <c r="F94" s="20" t="n">
        <v>714000</v>
      </c>
      <c r="G94" s="18" t="n">
        <f aca="false">ROUND(F94/1.05,2)</f>
        <v>680000</v>
      </c>
      <c r="H94" s="19" t="s">
        <v>606</v>
      </c>
    </row>
    <row r="95" customFormat="false" ht="30" hidden="false" customHeight="true" outlineLevel="0" collapsed="false">
      <c r="A95" s="16" t="s">
        <v>573</v>
      </c>
      <c r="B95" s="17" t="s">
        <v>607</v>
      </c>
      <c r="C95" s="49" t="s">
        <v>608</v>
      </c>
      <c r="D95" s="49"/>
      <c r="E95" s="18" t="n">
        <f aca="false">Assessment!$F$10</f>
        <v>85000</v>
      </c>
      <c r="F95" s="20" t="n">
        <v>89250</v>
      </c>
      <c r="G95" s="18" t="n">
        <f aca="false">ROUND(F95/1.05,2)</f>
        <v>85000</v>
      </c>
      <c r="H95" s="19" t="s">
        <v>609</v>
      </c>
    </row>
    <row r="96" customFormat="false" ht="30" hidden="false" customHeight="true" outlineLevel="0" collapsed="false">
      <c r="A96" s="16" t="s">
        <v>610</v>
      </c>
      <c r="B96" s="17" t="s">
        <v>611</v>
      </c>
      <c r="C96" s="49" t="s">
        <v>612</v>
      </c>
      <c r="D96" s="49"/>
      <c r="E96" s="18" t="n">
        <f aca="false">Assessment!$F$12+Assessment!$F$13</f>
        <v>81500</v>
      </c>
      <c r="F96" s="20" t="n">
        <v>85575</v>
      </c>
      <c r="G96" s="18" t="n">
        <f aca="false">ROUND(F96/1.05,2)</f>
        <v>81500</v>
      </c>
      <c r="H96" s="19" t="s">
        <v>613</v>
      </c>
    </row>
    <row r="97" customFormat="false" ht="80.25" hidden="false" customHeight="true" outlineLevel="0" collapsed="false">
      <c r="A97" s="16" t="s">
        <v>614</v>
      </c>
      <c r="B97" s="17" t="s">
        <v>615</v>
      </c>
      <c r="C97" s="49" t="s">
        <v>616</v>
      </c>
      <c r="D97" s="49"/>
      <c r="E97" s="18" t="n">
        <f aca="false">Assessment!$F$14+Assessment!$F$16+Assessment!$F$17+Assessment!$F$18</f>
        <v>6877592.02</v>
      </c>
      <c r="F97" s="20" t="n">
        <v>7221471.62</v>
      </c>
      <c r="G97" s="18" t="n">
        <f aca="false">ROUND(F97/1.05,2)</f>
        <v>6877592.02</v>
      </c>
      <c r="H97" s="19" t="s">
        <v>617</v>
      </c>
    </row>
    <row r="98" customFormat="false" ht="80.25" hidden="false" customHeight="true" outlineLevel="0" collapsed="false">
      <c r="A98" s="16" t="s">
        <v>448</v>
      </c>
      <c r="B98" s="17" t="s">
        <v>618</v>
      </c>
      <c r="C98" s="49" t="s">
        <v>619</v>
      </c>
      <c r="D98" s="49"/>
      <c r="E98" s="18" t="n">
        <f aca="false">Assessment!$F$17</f>
        <v>426400</v>
      </c>
      <c r="F98" s="20" t="n">
        <v>200305.97</v>
      </c>
      <c r="G98" s="18" t="n">
        <f aca="false">ROUND(F98/1.05,2)</f>
        <v>190767.59</v>
      </c>
      <c r="H98" s="19" t="s">
        <v>620</v>
      </c>
    </row>
    <row r="99" customFormat="false" ht="27" hidden="false" customHeight="true" outlineLevel="0" collapsed="false">
      <c r="A99" s="23"/>
      <c r="B99" s="23" t="s">
        <v>621</v>
      </c>
      <c r="C99" s="23"/>
      <c r="D99" s="23"/>
      <c r="E99" s="24"/>
      <c r="F99" s="25" t="n">
        <f aca="false">SUM(F94:F97)</f>
        <v>8110296.62</v>
      </c>
      <c r="G99" s="24" t="n">
        <f aca="false">ROUND(F99/1.05,2)</f>
        <v>7724092.02</v>
      </c>
      <c r="H99" s="48" t="s">
        <v>622</v>
      </c>
    </row>
    <row r="101" customFormat="false" ht="57" hidden="false" customHeight="true" outlineLevel="0" collapsed="false">
      <c r="A101" s="11" t="s">
        <v>623</v>
      </c>
      <c r="B101" s="11"/>
      <c r="C101" s="11"/>
      <c r="D101" s="11"/>
      <c r="E101" s="11"/>
      <c r="F101" s="11"/>
      <c r="G101" s="11"/>
      <c r="H101" s="11"/>
    </row>
    <row r="102" customFormat="false" ht="21" hidden="false" customHeight="true" outlineLevel="0" collapsed="false">
      <c r="A102" s="13"/>
      <c r="B102" s="13" t="s">
        <v>624</v>
      </c>
      <c r="C102" s="13" t="s">
        <v>625</v>
      </c>
      <c r="D102" s="13"/>
      <c r="E102" s="13" t="s">
        <v>626</v>
      </c>
      <c r="F102" s="43"/>
      <c r="G102" s="13"/>
      <c r="H102" s="13" t="s">
        <v>603</v>
      </c>
    </row>
    <row r="103" customFormat="false" ht="18" hidden="false" customHeight="true" outlineLevel="0" collapsed="false">
      <c r="A103" s="16"/>
      <c r="B103" s="17" t="s">
        <v>627</v>
      </c>
      <c r="C103" s="18" t="n">
        <v>12035.96</v>
      </c>
      <c r="D103" s="18"/>
      <c r="E103" s="18" t="n">
        <f aca="false">SUM($C$103:C103)</f>
        <v>12035.96</v>
      </c>
      <c r="F103" s="20"/>
      <c r="G103" s="18"/>
      <c r="H103" s="19" t="s">
        <v>628</v>
      </c>
    </row>
    <row r="104" customFormat="false" ht="29.25" hidden="false" customHeight="true" outlineLevel="0" collapsed="false">
      <c r="A104" s="16"/>
      <c r="B104" s="17" t="s">
        <v>629</v>
      </c>
      <c r="C104" s="18" t="n">
        <v>1470052.21</v>
      </c>
      <c r="D104" s="18"/>
      <c r="E104" s="18" t="n">
        <f aca="false">SUM($C$103:C104)</f>
        <v>1482088.17</v>
      </c>
      <c r="F104" s="20"/>
      <c r="G104" s="18"/>
      <c r="H104" s="19" t="s">
        <v>630</v>
      </c>
    </row>
    <row r="105" customFormat="false" ht="18" hidden="false" customHeight="true" outlineLevel="0" collapsed="false">
      <c r="A105" s="16"/>
      <c r="B105" s="17" t="s">
        <v>631</v>
      </c>
      <c r="C105" s="18" t="n">
        <v>1005870.64</v>
      </c>
      <c r="D105" s="18"/>
      <c r="E105" s="18" t="n">
        <f aca="false">SUM($C$103:C105)</f>
        <v>2487958.81</v>
      </c>
      <c r="F105" s="20"/>
      <c r="G105" s="18"/>
      <c r="H105" s="19" t="s">
        <v>632</v>
      </c>
    </row>
    <row r="106" customFormat="false" ht="18" hidden="false" customHeight="true" outlineLevel="0" collapsed="false">
      <c r="A106" s="16"/>
      <c r="B106" s="17" t="s">
        <v>633</v>
      </c>
      <c r="C106" s="18" t="n">
        <v>2701160.67</v>
      </c>
      <c r="D106" s="18"/>
      <c r="E106" s="18" t="n">
        <f aca="false">SUM($C$103:C106)</f>
        <v>5189119.48</v>
      </c>
      <c r="F106" s="20"/>
      <c r="G106" s="18"/>
      <c r="H106" s="19" t="s">
        <v>634</v>
      </c>
    </row>
    <row r="107" customFormat="false" ht="18" hidden="false" customHeight="true" outlineLevel="0" collapsed="false">
      <c r="A107" s="16"/>
      <c r="B107" s="17" t="s">
        <v>635</v>
      </c>
      <c r="C107" s="18" t="n">
        <v>2417025.29</v>
      </c>
      <c r="D107" s="18"/>
      <c r="E107" s="18" t="n">
        <f aca="false">SUM($C$103:C107)</f>
        <v>7606144.77</v>
      </c>
      <c r="F107" s="20"/>
      <c r="G107" s="18"/>
      <c r="H107" s="19" t="s">
        <v>636</v>
      </c>
    </row>
    <row r="108" customFormat="false" ht="18" hidden="false" customHeight="true" outlineLevel="0" collapsed="false">
      <c r="A108" s="16"/>
      <c r="B108" s="17" t="s">
        <v>637</v>
      </c>
      <c r="C108" s="18" t="n">
        <v>504151.86</v>
      </c>
      <c r="D108" s="18"/>
      <c r="E108" s="18" t="n">
        <f aca="false">SUM($C$103:C108)</f>
        <v>8110296.63</v>
      </c>
      <c r="F108" s="20"/>
      <c r="G108" s="18"/>
      <c r="H108" s="19" t="s">
        <v>638</v>
      </c>
    </row>
    <row r="109" customFormat="false" ht="21.75" hidden="false" customHeight="true" outlineLevel="0" collapsed="false">
      <c r="A109" s="23"/>
      <c r="B109" s="23" t="s">
        <v>639</v>
      </c>
      <c r="C109" s="24" t="n">
        <f aca="false">SUM(C103:C108)</f>
        <v>8110296.63</v>
      </c>
      <c r="D109" s="24"/>
      <c r="E109" s="24"/>
      <c r="F109" s="25"/>
      <c r="G109" s="24"/>
      <c r="H109" s="48" t="s">
        <v>640</v>
      </c>
    </row>
    <row r="111" customFormat="false" ht="69.75" hidden="false" customHeight="true" outlineLevel="0" collapsed="false">
      <c r="A111" s="11" t="s">
        <v>641</v>
      </c>
      <c r="B111" s="11"/>
      <c r="C111" s="11"/>
      <c r="D111" s="11"/>
      <c r="E111" s="11"/>
      <c r="F111" s="11"/>
      <c r="G111" s="11"/>
      <c r="H111" s="11"/>
    </row>
    <row r="112" customFormat="false" ht="21" hidden="false" customHeight="true" outlineLevel="0" collapsed="false">
      <c r="A112" s="13"/>
      <c r="B112" s="13" t="s">
        <v>642</v>
      </c>
      <c r="C112" s="13" t="s">
        <v>639</v>
      </c>
      <c r="D112" s="13" t="s">
        <v>643</v>
      </c>
      <c r="E112" s="13" t="s">
        <v>644</v>
      </c>
      <c r="F112" s="43"/>
      <c r="G112" s="13"/>
      <c r="H112" s="13" t="s">
        <v>603</v>
      </c>
    </row>
    <row r="113" customFormat="false" ht="16.5" hidden="false" customHeight="true" outlineLevel="0" collapsed="false">
      <c r="A113" s="16"/>
      <c r="B113" s="17" t="s">
        <v>645</v>
      </c>
      <c r="C113" s="54" t="n">
        <v>8</v>
      </c>
      <c r="D113" s="54" t="n">
        <v>5</v>
      </c>
      <c r="E113" s="54" t="n">
        <v>3</v>
      </c>
      <c r="F113" s="20"/>
      <c r="G113" s="18"/>
      <c r="H113" s="19" t="s">
        <v>646</v>
      </c>
    </row>
    <row r="114" customFormat="false" ht="16.5" hidden="false" customHeight="true" outlineLevel="0" collapsed="false">
      <c r="A114" s="16"/>
      <c r="B114" s="17" t="s">
        <v>647</v>
      </c>
      <c r="C114" s="54" t="n">
        <v>14</v>
      </c>
      <c r="D114" s="54" t="n">
        <v>9</v>
      </c>
      <c r="E114" s="54" t="n">
        <v>5</v>
      </c>
      <c r="F114" s="20"/>
      <c r="G114" s="18"/>
      <c r="H114" s="19"/>
    </row>
    <row r="115" customFormat="false" ht="16.5" hidden="false" customHeight="true" outlineLevel="0" collapsed="false">
      <c r="A115" s="16"/>
      <c r="B115" s="17" t="s">
        <v>648</v>
      </c>
      <c r="C115" s="54" t="n">
        <v>13</v>
      </c>
      <c r="D115" s="54" t="n">
        <v>8</v>
      </c>
      <c r="E115" s="54" t="n">
        <v>5</v>
      </c>
      <c r="F115" s="20"/>
      <c r="G115" s="18"/>
      <c r="H115" s="19"/>
    </row>
    <row r="116" customFormat="false" ht="16.5" hidden="false" customHeight="true" outlineLevel="0" collapsed="false">
      <c r="A116" s="16"/>
      <c r="B116" s="17" t="s">
        <v>649</v>
      </c>
      <c r="C116" s="54" t="n">
        <v>12</v>
      </c>
      <c r="D116" s="54" t="n">
        <v>8</v>
      </c>
      <c r="E116" s="54" t="n">
        <v>4</v>
      </c>
      <c r="F116" s="20"/>
      <c r="G116" s="18"/>
      <c r="H116" s="19"/>
    </row>
    <row r="117" customFormat="false" ht="16.5" hidden="false" customHeight="true" outlineLevel="0" collapsed="false">
      <c r="A117" s="16"/>
      <c r="B117" s="17" t="s">
        <v>650</v>
      </c>
      <c r="C117" s="54" t="n">
        <v>11</v>
      </c>
      <c r="D117" s="54" t="n">
        <v>7</v>
      </c>
      <c r="E117" s="54" t="n">
        <v>4</v>
      </c>
      <c r="F117" s="20"/>
      <c r="G117" s="18"/>
      <c r="H117" s="19"/>
    </row>
    <row r="118" customFormat="false" ht="16.5" hidden="false" customHeight="true" outlineLevel="0" collapsed="false">
      <c r="A118" s="16"/>
      <c r="B118" s="17" t="s">
        <v>651</v>
      </c>
      <c r="C118" s="54" t="n">
        <v>10</v>
      </c>
      <c r="D118" s="54" t="n">
        <v>6</v>
      </c>
      <c r="E118" s="54" t="n">
        <v>4</v>
      </c>
      <c r="F118" s="20"/>
      <c r="G118" s="18"/>
      <c r="H118" s="19" t="s">
        <v>652</v>
      </c>
    </row>
    <row r="119" customFormat="false" ht="16.5" hidden="false" customHeight="true" outlineLevel="0" collapsed="false">
      <c r="A119" s="16"/>
      <c r="B119" s="17" t="s">
        <v>653</v>
      </c>
      <c r="C119" s="54" t="n">
        <v>10</v>
      </c>
      <c r="D119" s="54" t="n">
        <v>6</v>
      </c>
      <c r="E119" s="54" t="n">
        <v>4</v>
      </c>
      <c r="F119" s="20"/>
      <c r="G119" s="18"/>
      <c r="H119" s="19"/>
    </row>
    <row r="120" customFormat="false" ht="16.5" hidden="false" customHeight="true" outlineLevel="0" collapsed="false">
      <c r="A120" s="16"/>
      <c r="B120" s="17" t="s">
        <v>654</v>
      </c>
      <c r="C120" s="54" t="n">
        <v>8</v>
      </c>
      <c r="D120" s="54" t="n">
        <v>4</v>
      </c>
      <c r="E120" s="54" t="n">
        <v>4</v>
      </c>
      <c r="F120" s="20"/>
      <c r="G120" s="18"/>
      <c r="H120" s="19"/>
    </row>
    <row r="121" customFormat="false" ht="16.5" hidden="false" customHeight="true" outlineLevel="0" collapsed="false">
      <c r="A121" s="16"/>
      <c r="B121" s="17" t="s">
        <v>655</v>
      </c>
      <c r="C121" s="54" t="n">
        <v>14</v>
      </c>
      <c r="D121" s="54" t="n">
        <v>8</v>
      </c>
      <c r="E121" s="54" t="n">
        <v>6</v>
      </c>
      <c r="F121" s="20"/>
      <c r="G121" s="18"/>
      <c r="H121" s="19"/>
    </row>
    <row r="122" customFormat="false" ht="16.5" hidden="false" customHeight="true" outlineLevel="0" collapsed="false">
      <c r="A122" s="16"/>
      <c r="B122" s="17" t="s">
        <v>656</v>
      </c>
      <c r="C122" s="54" t="n">
        <v>35</v>
      </c>
      <c r="D122" s="54" t="n">
        <v>23</v>
      </c>
      <c r="E122" s="54" t="n">
        <v>12</v>
      </c>
      <c r="F122" s="20"/>
      <c r="G122" s="18"/>
      <c r="H122" s="19" t="s">
        <v>657</v>
      </c>
    </row>
    <row r="123" customFormat="false" ht="16.5" hidden="false" customHeight="true" outlineLevel="0" collapsed="false">
      <c r="A123" s="16"/>
      <c r="B123" s="17" t="s">
        <v>658</v>
      </c>
      <c r="C123" s="54" t="n">
        <v>26</v>
      </c>
      <c r="D123" s="54" t="n">
        <v>16</v>
      </c>
      <c r="E123" s="54" t="n">
        <v>10</v>
      </c>
      <c r="F123" s="20"/>
      <c r="G123" s="18"/>
      <c r="H123" s="19"/>
    </row>
    <row r="124" customFormat="false" ht="16.5" hidden="false" customHeight="true" outlineLevel="0" collapsed="false">
      <c r="A124" s="16"/>
      <c r="B124" s="17" t="s">
        <v>659</v>
      </c>
      <c r="C124" s="54" t="n">
        <v>19</v>
      </c>
      <c r="D124" s="54" t="n">
        <v>11</v>
      </c>
      <c r="E124" s="54" t="n">
        <v>8</v>
      </c>
      <c r="F124" s="20"/>
      <c r="G124" s="18"/>
      <c r="H124" s="19"/>
    </row>
    <row r="125" customFormat="false" ht="16.5" hidden="false" customHeight="true" outlineLevel="0" collapsed="false">
      <c r="A125" s="16"/>
      <c r="B125" s="17" t="s">
        <v>660</v>
      </c>
      <c r="C125" s="54" t="n">
        <v>16</v>
      </c>
      <c r="D125" s="54" t="n">
        <v>10</v>
      </c>
      <c r="E125" s="54" t="n">
        <v>6</v>
      </c>
      <c r="F125" s="20"/>
      <c r="G125" s="18"/>
      <c r="H125" s="19"/>
    </row>
    <row r="126" customFormat="false" ht="16.5" hidden="false" customHeight="true" outlineLevel="0" collapsed="false">
      <c r="A126" s="16"/>
      <c r="B126" s="17" t="s">
        <v>661</v>
      </c>
      <c r="C126" s="54" t="n">
        <v>13</v>
      </c>
      <c r="D126" s="54" t="n">
        <v>8</v>
      </c>
      <c r="E126" s="54" t="n">
        <v>5</v>
      </c>
      <c r="F126" s="20"/>
      <c r="G126" s="18"/>
      <c r="H126" s="19"/>
    </row>
    <row r="127" customFormat="false" ht="16.5" hidden="false" customHeight="true" outlineLevel="0" collapsed="false">
      <c r="A127" s="16"/>
      <c r="B127" s="17" t="s">
        <v>662</v>
      </c>
      <c r="C127" s="54" t="n">
        <v>7</v>
      </c>
      <c r="D127" s="54" t="n">
        <v>4</v>
      </c>
      <c r="E127" s="54" t="n">
        <v>3</v>
      </c>
      <c r="F127" s="20"/>
      <c r="G127" s="18"/>
      <c r="H127" s="19" t="s">
        <v>663</v>
      </c>
    </row>
    <row r="128" customFormat="false" ht="16.5" hidden="false" customHeight="true" outlineLevel="0" collapsed="false">
      <c r="A128" s="16"/>
      <c r="B128" s="17" t="s">
        <v>664</v>
      </c>
      <c r="C128" s="54" t="n">
        <v>5</v>
      </c>
      <c r="D128" s="54" t="n">
        <v>3</v>
      </c>
      <c r="E128" s="54" t="n">
        <v>2</v>
      </c>
      <c r="F128" s="20"/>
      <c r="G128" s="18"/>
      <c r="H128" s="19" t="s">
        <v>665</v>
      </c>
    </row>
    <row r="129" customFormat="false" ht="21.75" hidden="false" customHeight="true" outlineLevel="0" collapsed="false">
      <c r="A129" s="23"/>
      <c r="B129" s="23" t="s">
        <v>666</v>
      </c>
      <c r="C129" s="55" t="n">
        <f aca="false">SUM(C113:C128)</f>
        <v>221</v>
      </c>
      <c r="D129" s="55" t="n">
        <f aca="false">SUM(D113:D128)</f>
        <v>136</v>
      </c>
      <c r="E129" s="55" t="n">
        <f aca="false">SUM(E113:E128)</f>
        <v>85</v>
      </c>
      <c r="F129" s="25"/>
      <c r="G129" s="24"/>
      <c r="H129" s="48" t="s">
        <v>667</v>
      </c>
    </row>
  </sheetData>
  <mergeCells count="53">
    <mergeCell ref="A4:H4"/>
    <mergeCell ref="A6:H6"/>
    <mergeCell ref="B7:D7"/>
    <mergeCell ref="B8:D8"/>
    <mergeCell ref="B9:D9"/>
    <mergeCell ref="B10:D10"/>
    <mergeCell ref="B11:D11"/>
    <mergeCell ref="A13:H13"/>
    <mergeCell ref="A15:H15"/>
    <mergeCell ref="A16:H16"/>
    <mergeCell ref="A17:H17"/>
    <mergeCell ref="A18:H18"/>
    <mergeCell ref="A19:H19"/>
    <mergeCell ref="A20:H20"/>
    <mergeCell ref="A22:H22"/>
    <mergeCell ref="A23:H23"/>
    <mergeCell ref="A35:H35"/>
    <mergeCell ref="A37:H37"/>
    <mergeCell ref="A38:H38"/>
    <mergeCell ref="A51:H51"/>
    <mergeCell ref="A52:H52"/>
    <mergeCell ref="A61:H61"/>
    <mergeCell ref="A62:H62"/>
    <mergeCell ref="A72:H72"/>
    <mergeCell ref="A73:H73"/>
    <mergeCell ref="C74:G74"/>
    <mergeCell ref="C75:G75"/>
    <mergeCell ref="C76:G76"/>
    <mergeCell ref="C77:G77"/>
    <mergeCell ref="C78:G78"/>
    <mergeCell ref="C84:G84"/>
    <mergeCell ref="C85:G85"/>
    <mergeCell ref="C86:G86"/>
    <mergeCell ref="C87:G87"/>
    <mergeCell ref="A89:H89"/>
    <mergeCell ref="A91:H91"/>
    <mergeCell ref="A92:H92"/>
    <mergeCell ref="C93:D93"/>
    <mergeCell ref="C94:D94"/>
    <mergeCell ref="C95:D95"/>
    <mergeCell ref="C96:D96"/>
    <mergeCell ref="C97:D97"/>
    <mergeCell ref="C98:D98"/>
    <mergeCell ref="A101:H101"/>
    <mergeCell ref="C102:D102"/>
    <mergeCell ref="C103:D103"/>
    <mergeCell ref="C104:D104"/>
    <mergeCell ref="C105:D105"/>
    <mergeCell ref="C106:D106"/>
    <mergeCell ref="C107:D107"/>
    <mergeCell ref="C108:D108"/>
    <mergeCell ref="C109:D109"/>
    <mergeCell ref="A111:H111"/>
  </mergeCells>
  <printOptions headings="false" gridLines="false" gridLinesSet="true" horizontalCentered="false" verticalCentered="false"/>
  <pageMargins left="0.354166666666667" right="0.354166666666667" top="0.5" bottom="0.433333333333333"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2"/>
    <col collapsed="false" customWidth="true" hidden="false" outlineLevel="0" max="5" min="5" style="0" width="9"/>
    <col collapsed="false" customWidth="true" hidden="false" outlineLevel="0" max="6" min="6" style="0" width="14"/>
    <col collapsed="false" customWidth="true" hidden="false" outlineLevel="0" max="7" min="7" style="0" width="20"/>
    <col collapsed="false" customWidth="true" hidden="false" outlineLevel="0" max="9" min="8" style="0" width="14"/>
    <col collapsed="false" customWidth="true" hidden="false" outlineLevel="0" max="10" min="10" style="0" width="52"/>
  </cols>
  <sheetData>
    <row r="1" customFormat="false" ht="25.5" hidden="false" customHeight="true" outlineLevel="0" collapsed="false">
      <c r="A1" s="8" t="s">
        <v>668</v>
      </c>
    </row>
    <row r="2" customFormat="false" ht="17.25" hidden="false" customHeight="true" outlineLevel="0" collapsed="false">
      <c r="A2" s="9" t="s">
        <v>30</v>
      </c>
    </row>
    <row r="3" customFormat="false" ht="15" hidden="false" customHeight="false" outlineLevel="0" collapsed="false">
      <c r="A3" s="10" t="s">
        <v>31</v>
      </c>
    </row>
    <row r="4" customFormat="false" ht="69.75" hidden="false" customHeight="true" outlineLevel="0" collapsed="false">
      <c r="A4" s="11" t="s">
        <v>669</v>
      </c>
      <c r="B4" s="11"/>
      <c r="C4" s="11"/>
      <c r="D4" s="11"/>
      <c r="E4" s="11"/>
      <c r="F4" s="11"/>
      <c r="G4" s="11"/>
      <c r="H4" s="11"/>
      <c r="I4" s="11"/>
      <c r="J4" s="11"/>
    </row>
    <row r="6" customFormat="false" ht="21" hidden="false" customHeight="true" outlineLevel="0" collapsed="false">
      <c r="A6" s="15" t="s">
        <v>670</v>
      </c>
      <c r="B6" s="15"/>
      <c r="C6" s="15"/>
      <c r="D6" s="15"/>
      <c r="E6" s="15"/>
      <c r="F6" s="15"/>
      <c r="G6" s="15"/>
      <c r="H6" s="15"/>
      <c r="I6" s="15"/>
      <c r="J6" s="15"/>
    </row>
    <row r="7" customFormat="false" ht="69.75" hidden="false" customHeight="true" outlineLevel="0" collapsed="false">
      <c r="A7" s="11" t="s">
        <v>671</v>
      </c>
      <c r="B7" s="11"/>
      <c r="C7" s="11"/>
      <c r="D7" s="11"/>
      <c r="E7" s="11"/>
      <c r="F7" s="11"/>
      <c r="G7" s="11"/>
      <c r="H7" s="11"/>
      <c r="I7" s="11"/>
      <c r="J7" s="11"/>
    </row>
    <row r="8" customFormat="false" ht="43.5" hidden="false" customHeight="true" outlineLevel="0" collapsed="false">
      <c r="A8" s="11" t="s">
        <v>672</v>
      </c>
      <c r="B8" s="11"/>
      <c r="C8" s="11"/>
      <c r="D8" s="11"/>
      <c r="E8" s="11"/>
      <c r="F8" s="11"/>
      <c r="G8" s="11"/>
      <c r="H8" s="11"/>
      <c r="I8" s="11"/>
      <c r="J8" s="11"/>
    </row>
    <row r="9" customFormat="false" ht="82.5" hidden="false" customHeight="true" outlineLevel="0" collapsed="false">
      <c r="A9" s="11" t="s">
        <v>673</v>
      </c>
      <c r="B9" s="11"/>
      <c r="C9" s="11"/>
      <c r="D9" s="11"/>
      <c r="E9" s="11"/>
      <c r="F9" s="11"/>
      <c r="G9" s="11"/>
      <c r="H9" s="11"/>
      <c r="I9" s="11"/>
      <c r="J9" s="11"/>
    </row>
    <row r="11" customFormat="false" ht="21" hidden="false" customHeight="true" outlineLevel="0" collapsed="false">
      <c r="A11" s="15" t="s">
        <v>674</v>
      </c>
      <c r="B11" s="15"/>
      <c r="C11" s="15"/>
      <c r="D11" s="15"/>
      <c r="E11" s="15"/>
      <c r="F11" s="15"/>
      <c r="G11" s="15"/>
      <c r="H11" s="15"/>
      <c r="I11" s="15"/>
      <c r="J11" s="15"/>
    </row>
    <row r="12" customFormat="false" ht="31.5" hidden="false" customHeight="true" outlineLevel="0" collapsed="false">
      <c r="A12" s="13" t="s">
        <v>92</v>
      </c>
      <c r="B12" s="13" t="s">
        <v>675</v>
      </c>
      <c r="C12" s="13" t="s">
        <v>676</v>
      </c>
      <c r="D12" s="13"/>
      <c r="E12" s="13"/>
      <c r="F12" s="13"/>
      <c r="G12" s="13"/>
      <c r="H12" s="13"/>
      <c r="I12" s="13" t="s">
        <v>677</v>
      </c>
      <c r="J12" s="13"/>
    </row>
    <row r="13" customFormat="false" ht="42" hidden="false" customHeight="true" outlineLevel="0" collapsed="false">
      <c r="A13" s="16" t="s">
        <v>678</v>
      </c>
      <c r="B13" s="17" t="s">
        <v>679</v>
      </c>
      <c r="C13" s="49" t="s">
        <v>680</v>
      </c>
      <c r="D13" s="49"/>
      <c r="E13" s="49"/>
      <c r="F13" s="49"/>
      <c r="G13" s="49"/>
      <c r="H13" s="49"/>
      <c r="I13" s="19" t="s">
        <v>681</v>
      </c>
      <c r="J13" s="19"/>
    </row>
    <row r="14" customFormat="false" ht="30" hidden="false" customHeight="true" outlineLevel="0" collapsed="false">
      <c r="A14" s="16" t="s">
        <v>682</v>
      </c>
      <c r="B14" s="17" t="s">
        <v>683</v>
      </c>
      <c r="C14" s="56" t="n">
        <v>46288</v>
      </c>
      <c r="D14" s="56"/>
      <c r="E14" s="56"/>
      <c r="F14" s="56"/>
      <c r="G14" s="56"/>
      <c r="H14" s="56"/>
      <c r="I14" s="19" t="s">
        <v>684</v>
      </c>
      <c r="J14" s="19"/>
    </row>
    <row r="15" customFormat="false" ht="30" hidden="false" customHeight="true" outlineLevel="0" collapsed="false">
      <c r="A15" s="16" t="s">
        <v>685</v>
      </c>
      <c r="B15" s="17" t="s">
        <v>686</v>
      </c>
      <c r="C15" s="57" t="n">
        <v>30.4</v>
      </c>
      <c r="D15" s="57"/>
      <c r="E15" s="57"/>
      <c r="F15" s="57"/>
      <c r="G15" s="57"/>
      <c r="H15" s="57"/>
      <c r="I15" s="19" t="s">
        <v>687</v>
      </c>
      <c r="J15" s="19"/>
    </row>
    <row r="17" customFormat="false" ht="21" hidden="false" customHeight="true" outlineLevel="0" collapsed="false">
      <c r="A17" s="15" t="s">
        <v>688</v>
      </c>
      <c r="B17" s="15"/>
      <c r="C17" s="15"/>
      <c r="D17" s="15"/>
      <c r="E17" s="15"/>
      <c r="F17" s="15"/>
      <c r="G17" s="15"/>
      <c r="H17" s="15"/>
      <c r="I17" s="15"/>
      <c r="J17" s="15"/>
    </row>
    <row r="18" customFormat="false" ht="69.75" hidden="false" customHeight="true" outlineLevel="0" collapsed="false">
      <c r="A18" s="11" t="s">
        <v>689</v>
      </c>
      <c r="B18" s="11"/>
      <c r="C18" s="11"/>
      <c r="D18" s="11"/>
      <c r="E18" s="11"/>
      <c r="F18" s="11"/>
      <c r="G18" s="11"/>
      <c r="H18" s="11"/>
      <c r="I18" s="11"/>
      <c r="J18" s="11"/>
    </row>
    <row r="19" customFormat="false" ht="31.5" hidden="false" customHeight="true" outlineLevel="0" collapsed="false">
      <c r="A19" s="13" t="s">
        <v>92</v>
      </c>
      <c r="B19" s="13" t="s">
        <v>690</v>
      </c>
      <c r="C19" s="13" t="s">
        <v>691</v>
      </c>
      <c r="D19" s="13" t="s">
        <v>692</v>
      </c>
      <c r="E19" s="13" t="s">
        <v>693</v>
      </c>
      <c r="F19" s="13" t="s">
        <v>694</v>
      </c>
      <c r="G19" s="13" t="s">
        <v>695</v>
      </c>
      <c r="H19" s="13" t="s">
        <v>696</v>
      </c>
      <c r="I19" s="13" t="s">
        <v>697</v>
      </c>
      <c r="J19" s="13"/>
    </row>
    <row r="20" customFormat="false" ht="42" hidden="false" customHeight="true" outlineLevel="0" collapsed="false">
      <c r="A20" s="16" t="s">
        <v>698</v>
      </c>
      <c r="B20" s="17" t="s">
        <v>699</v>
      </c>
      <c r="C20" s="58" t="n">
        <f aca="false">$C$368</f>
        <v>46256</v>
      </c>
      <c r="D20" s="58" t="n">
        <f aca="false">$D$369</f>
        <v>46260</v>
      </c>
      <c r="E20" s="54" t="n">
        <f aca="false">D20-C20+1</f>
        <v>5</v>
      </c>
      <c r="F20" s="58" t="n">
        <f aca="false">C20</f>
        <v>46256</v>
      </c>
      <c r="G20" s="58" t="n">
        <f aca="false">D20</f>
        <v>46260</v>
      </c>
      <c r="H20" s="54" t="n">
        <f aca="false">E20</f>
        <v>5</v>
      </c>
      <c r="I20" s="19" t="s">
        <v>700</v>
      </c>
      <c r="J20" s="19"/>
    </row>
    <row r="21" customFormat="false" ht="54.75" hidden="false" customHeight="true" outlineLevel="0" collapsed="false">
      <c r="A21" s="16" t="s">
        <v>701</v>
      </c>
      <c r="B21" s="17" t="s">
        <v>702</v>
      </c>
      <c r="C21" s="58" t="n">
        <f aca="false">$C$371</f>
        <v>46261</v>
      </c>
      <c r="D21" s="58" t="n">
        <f aca="false">$D$374</f>
        <v>46277</v>
      </c>
      <c r="E21" s="54" t="n">
        <f aca="false">D21-C21+1</f>
        <v>17</v>
      </c>
      <c r="F21" s="58" t="n">
        <f aca="false">C21</f>
        <v>46261</v>
      </c>
      <c r="G21" s="58" t="n">
        <f aca="false">D21</f>
        <v>46277</v>
      </c>
      <c r="H21" s="54" t="n">
        <f aca="false">E21</f>
        <v>17</v>
      </c>
      <c r="I21" s="19" t="s">
        <v>703</v>
      </c>
      <c r="J21" s="19"/>
    </row>
    <row r="22" customFormat="false" ht="80.25" hidden="false" customHeight="true" outlineLevel="0" collapsed="false">
      <c r="A22" s="16" t="s">
        <v>704</v>
      </c>
      <c r="B22" s="17" t="s">
        <v>705</v>
      </c>
      <c r="C22" s="58" t="n">
        <f aca="false">$C$380</f>
        <v>46277</v>
      </c>
      <c r="D22" s="58" t="n">
        <f aca="false">$D$380</f>
        <v>46300</v>
      </c>
      <c r="E22" s="54" t="n">
        <f aca="false">NETWORKDAYS.INTL(C22,D22,"0000100",$C$14)</f>
        <v>20</v>
      </c>
      <c r="F22" s="58" t="n">
        <f aca="false">C22</f>
        <v>46277</v>
      </c>
      <c r="G22" s="58" t="n">
        <f aca="false">D22</f>
        <v>46300</v>
      </c>
      <c r="H22" s="54" t="n">
        <f aca="false">E22</f>
        <v>20</v>
      </c>
      <c r="I22" s="19" t="s">
        <v>706</v>
      </c>
      <c r="J22" s="19"/>
    </row>
    <row r="23" customFormat="false" ht="54.75" hidden="false" customHeight="true" outlineLevel="0" collapsed="false">
      <c r="A23" s="16" t="s">
        <v>707</v>
      </c>
      <c r="B23" s="17" t="s">
        <v>708</v>
      </c>
      <c r="C23" s="58" t="n">
        <f aca="false">$C$386</f>
        <v>46301</v>
      </c>
      <c r="D23" s="58" t="n">
        <f aca="false">$D$386</f>
        <v>46319</v>
      </c>
      <c r="E23" s="54" t="n">
        <f aca="false">NETWORKDAYS.INTL(C23,D23,"0000100",$C$14)</f>
        <v>16</v>
      </c>
      <c r="F23" s="58" t="n">
        <f aca="false">C23</f>
        <v>46301</v>
      </c>
      <c r="G23" s="58" t="n">
        <f aca="false">D23</f>
        <v>46319</v>
      </c>
      <c r="H23" s="54" t="n">
        <f aca="false">E23</f>
        <v>16</v>
      </c>
      <c r="I23" s="19" t="s">
        <v>709</v>
      </c>
      <c r="J23" s="19"/>
    </row>
    <row r="24" customFormat="false" ht="42" hidden="false" customHeight="true" outlineLevel="0" collapsed="false">
      <c r="A24" s="16" t="s">
        <v>710</v>
      </c>
      <c r="B24" s="17" t="s">
        <v>711</v>
      </c>
      <c r="C24" s="58" t="n">
        <f aca="false">$C$387</f>
        <v>46303</v>
      </c>
      <c r="D24" s="58" t="n">
        <f aca="false">$D$387</f>
        <v>46324</v>
      </c>
      <c r="E24" s="54" t="n">
        <f aca="false">NETWORKDAYS.INTL(C24,D24,"0000100",$C$14)</f>
        <v>19</v>
      </c>
      <c r="F24" s="58" t="n">
        <f aca="false">C24</f>
        <v>46303</v>
      </c>
      <c r="G24" s="58" t="n">
        <f aca="false">D24</f>
        <v>46324</v>
      </c>
      <c r="H24" s="54" t="n">
        <f aca="false">E24</f>
        <v>19</v>
      </c>
      <c r="I24" s="19" t="s">
        <v>712</v>
      </c>
      <c r="J24" s="19"/>
    </row>
    <row r="25" customFormat="false" ht="30" hidden="false" customHeight="true" outlineLevel="0" collapsed="false">
      <c r="A25" s="16" t="s">
        <v>713</v>
      </c>
      <c r="B25" s="17" t="s">
        <v>714</v>
      </c>
      <c r="C25" s="58" t="n">
        <f aca="false">$C$393</f>
        <v>46326</v>
      </c>
      <c r="D25" s="58" t="n">
        <f aca="false">$D$393</f>
        <v>46330</v>
      </c>
      <c r="E25" s="54" t="n">
        <f aca="false">NETWORKDAYS.INTL(C25,D25,"0000100",$C$14)</f>
        <v>5</v>
      </c>
      <c r="F25" s="58" t="n">
        <f aca="false">C25</f>
        <v>46326</v>
      </c>
      <c r="G25" s="58" t="n">
        <f aca="false">D25</f>
        <v>46330</v>
      </c>
      <c r="H25" s="54" t="n">
        <f aca="false">E25</f>
        <v>5</v>
      </c>
      <c r="I25" s="19" t="s">
        <v>715</v>
      </c>
      <c r="J25" s="19"/>
    </row>
    <row r="26" customFormat="false" ht="30" hidden="false" customHeight="true" outlineLevel="0" collapsed="false">
      <c r="A26" s="16" t="s">
        <v>716</v>
      </c>
      <c r="B26" s="17" t="s">
        <v>717</v>
      </c>
      <c r="C26" s="58" t="n">
        <f aca="false">$C$397</f>
        <v>46331</v>
      </c>
      <c r="D26" s="58" t="n">
        <f aca="false">$D$397</f>
        <v>46337</v>
      </c>
      <c r="E26" s="54" t="n">
        <f aca="false">NETWORKDAYS.INTL(C26,D26,"0000100",$C$14)</f>
        <v>6</v>
      </c>
      <c r="F26" s="58" t="n">
        <f aca="false">C26</f>
        <v>46331</v>
      </c>
      <c r="G26" s="58" t="n">
        <f aca="false">D26</f>
        <v>46337</v>
      </c>
      <c r="H26" s="54" t="n">
        <f aca="false">E26</f>
        <v>6</v>
      </c>
      <c r="I26" s="19" t="s">
        <v>718</v>
      </c>
      <c r="J26" s="19"/>
    </row>
    <row r="27" customFormat="false" ht="31.5" hidden="false" customHeight="true" outlineLevel="0" collapsed="false">
      <c r="A27" s="13" t="s">
        <v>92</v>
      </c>
      <c r="B27" s="13" t="s">
        <v>690</v>
      </c>
      <c r="C27" s="13" t="s">
        <v>691</v>
      </c>
      <c r="D27" s="13" t="s">
        <v>692</v>
      </c>
      <c r="E27" s="13" t="s">
        <v>693</v>
      </c>
      <c r="F27" s="13" t="s">
        <v>694</v>
      </c>
      <c r="G27" s="13" t="s">
        <v>695</v>
      </c>
      <c r="H27" s="13" t="s">
        <v>696</v>
      </c>
      <c r="I27" s="13" t="s">
        <v>697</v>
      </c>
      <c r="J27" s="13"/>
    </row>
    <row r="28" customFormat="false" ht="42" hidden="false" customHeight="true" outlineLevel="0" collapsed="false">
      <c r="A28" s="16" t="s">
        <v>719</v>
      </c>
      <c r="B28" s="17" t="s">
        <v>720</v>
      </c>
      <c r="C28" s="58" t="n">
        <f aca="false">$C$398</f>
        <v>46335</v>
      </c>
      <c r="D28" s="58" t="n">
        <f aca="false">$D$400</f>
        <v>46342</v>
      </c>
      <c r="E28" s="54" t="n">
        <f aca="false">NETWORKDAYS.INTL(C28,D28,"0000100",$C$14)</f>
        <v>7</v>
      </c>
      <c r="F28" s="58" t="n">
        <f aca="false">C28</f>
        <v>46335</v>
      </c>
      <c r="G28" s="58" t="n">
        <f aca="false">D28</f>
        <v>46342</v>
      </c>
      <c r="H28" s="54" t="n">
        <f aca="false">E28</f>
        <v>7</v>
      </c>
      <c r="I28" s="19" t="s">
        <v>721</v>
      </c>
      <c r="J28" s="19"/>
    </row>
    <row r="29" customFormat="false" ht="54.75" hidden="false" customHeight="true" outlineLevel="0" collapsed="false">
      <c r="A29" s="16" t="s">
        <v>722</v>
      </c>
      <c r="B29" s="17" t="s">
        <v>723</v>
      </c>
      <c r="C29" s="58" t="n">
        <f aca="false">$C$390</f>
        <v>46317</v>
      </c>
      <c r="D29" s="58" t="n">
        <f aca="false">$D$390</f>
        <v>46323</v>
      </c>
      <c r="E29" s="54" t="n">
        <f aca="false">NETWORKDAYS.INTL(C29,D29,"0000100",$C$14)</f>
        <v>6</v>
      </c>
      <c r="F29" s="58" t="n">
        <f aca="false">C29</f>
        <v>46317</v>
      </c>
      <c r="G29" s="58" t="n">
        <f aca="false">D29</f>
        <v>46323</v>
      </c>
      <c r="H29" s="54" t="n">
        <f aca="false">E29</f>
        <v>6</v>
      </c>
      <c r="I29" s="19" t="s">
        <v>724</v>
      </c>
      <c r="J29" s="19"/>
    </row>
    <row r="30" customFormat="false" ht="30" hidden="false" customHeight="true" outlineLevel="0" collapsed="false">
      <c r="A30" s="16" t="s">
        <v>725</v>
      </c>
      <c r="B30" s="17" t="s">
        <v>726</v>
      </c>
      <c r="C30" s="58" t="n">
        <f aca="false">$C$392</f>
        <v>46324</v>
      </c>
      <c r="D30" s="58" t="n">
        <f aca="false">$D$392</f>
        <v>46337</v>
      </c>
      <c r="E30" s="54" t="n">
        <f aca="false">NETWORKDAYS.INTL(C30,D30,"0000100",$C$14)</f>
        <v>12</v>
      </c>
      <c r="F30" s="58" t="n">
        <f aca="false">C30</f>
        <v>46324</v>
      </c>
      <c r="G30" s="58" t="n">
        <f aca="false">D30</f>
        <v>46337</v>
      </c>
      <c r="H30" s="54" t="n">
        <f aca="false">E30</f>
        <v>12</v>
      </c>
      <c r="I30" s="19" t="s">
        <v>727</v>
      </c>
      <c r="J30" s="19"/>
    </row>
    <row r="31" customFormat="false" ht="30" hidden="false" customHeight="true" outlineLevel="0" collapsed="false">
      <c r="A31" s="16" t="s">
        <v>728</v>
      </c>
      <c r="B31" s="17" t="s">
        <v>729</v>
      </c>
      <c r="C31" s="58" t="n">
        <f aca="false">$C$394</f>
        <v>46327</v>
      </c>
      <c r="D31" s="58" t="n">
        <f aca="false">$D$394</f>
        <v>46343</v>
      </c>
      <c r="E31" s="54" t="n">
        <f aca="false">NETWORKDAYS.INTL(C31,D31,"0000100",$C$14)</f>
        <v>15</v>
      </c>
      <c r="F31" s="58" t="n">
        <f aca="false">C31</f>
        <v>46327</v>
      </c>
      <c r="G31" s="58" t="n">
        <f aca="false">D31</f>
        <v>46343</v>
      </c>
      <c r="H31" s="54" t="n">
        <f aca="false">E31</f>
        <v>15</v>
      </c>
      <c r="I31" s="19" t="s">
        <v>730</v>
      </c>
      <c r="J31" s="19"/>
    </row>
    <row r="32" customFormat="false" ht="30" hidden="false" customHeight="true" outlineLevel="0" collapsed="false">
      <c r="A32" s="16" t="s">
        <v>731</v>
      </c>
      <c r="B32" s="17" t="s">
        <v>732</v>
      </c>
      <c r="C32" s="58" t="n">
        <f aca="false">$C$401</f>
        <v>46344</v>
      </c>
      <c r="D32" s="58" t="n">
        <f aca="false">$D$401</f>
        <v>46349</v>
      </c>
      <c r="E32" s="54" t="n">
        <f aca="false">NETWORKDAYS.INTL(C32,D32,"0000100",$C$14)</f>
        <v>5</v>
      </c>
      <c r="F32" s="58" t="n">
        <f aca="false">C32</f>
        <v>46344</v>
      </c>
      <c r="G32" s="58" t="n">
        <f aca="false">D32</f>
        <v>46349</v>
      </c>
      <c r="H32" s="54" t="n">
        <f aca="false">E32</f>
        <v>5</v>
      </c>
      <c r="I32" s="19" t="s">
        <v>733</v>
      </c>
      <c r="J32" s="19"/>
    </row>
    <row r="33" customFormat="false" ht="30" hidden="false" customHeight="true" outlineLevel="0" collapsed="false">
      <c r="A33" s="16" t="s">
        <v>734</v>
      </c>
      <c r="B33" s="17" t="s">
        <v>735</v>
      </c>
      <c r="C33" s="58" t="n">
        <f aca="false">$C$402</f>
        <v>46350</v>
      </c>
      <c r="D33" s="58" t="n">
        <f aca="false">$D$402</f>
        <v>46356</v>
      </c>
      <c r="E33" s="54" t="n">
        <f aca="false">NETWORKDAYS.INTL(C33,D33,"0000100",$C$14)</f>
        <v>6</v>
      </c>
      <c r="F33" s="58" t="n">
        <f aca="false">C33</f>
        <v>46350</v>
      </c>
      <c r="G33" s="58" t="n">
        <f aca="false">D33</f>
        <v>46356</v>
      </c>
      <c r="H33" s="54" t="n">
        <f aca="false">E33</f>
        <v>6</v>
      </c>
      <c r="I33" s="19" t="s">
        <v>736</v>
      </c>
      <c r="J33" s="19"/>
    </row>
    <row r="34" customFormat="false" ht="30" hidden="false" customHeight="true" outlineLevel="0" collapsed="false">
      <c r="A34" s="16" t="s">
        <v>737</v>
      </c>
      <c r="B34" s="17" t="s">
        <v>738</v>
      </c>
      <c r="C34" s="58" t="n">
        <f aca="false">$C$403</f>
        <v>46354</v>
      </c>
      <c r="D34" s="58" t="n">
        <f aca="false">$D$405</f>
        <v>46359</v>
      </c>
      <c r="E34" s="54" t="n">
        <f aca="false">NETWORKDAYS.INTL(C34,D34,"0000100",$C$14)</f>
        <v>6</v>
      </c>
      <c r="F34" s="58" t="n">
        <f aca="false">C34</f>
        <v>46354</v>
      </c>
      <c r="G34" s="58" t="n">
        <f aca="false">D34</f>
        <v>46359</v>
      </c>
      <c r="H34" s="54" t="n">
        <f aca="false">E34</f>
        <v>6</v>
      </c>
      <c r="I34" s="19" t="s">
        <v>739</v>
      </c>
      <c r="J34" s="19"/>
    </row>
    <row r="35" customFormat="false" ht="42" hidden="false" customHeight="true" outlineLevel="0" collapsed="false">
      <c r="A35" s="16" t="s">
        <v>740</v>
      </c>
      <c r="B35" s="17" t="s">
        <v>741</v>
      </c>
      <c r="C35" s="58" t="n">
        <f aca="false">$C$406</f>
        <v>46359</v>
      </c>
      <c r="D35" s="58" t="n">
        <f aca="false">$D$406</f>
        <v>46359</v>
      </c>
      <c r="E35" s="54" t="s">
        <v>742</v>
      </c>
      <c r="F35" s="58" t="n">
        <f aca="false">C35</f>
        <v>46359</v>
      </c>
      <c r="G35" s="58" t="n">
        <f aca="false">D35</f>
        <v>46359</v>
      </c>
      <c r="H35" s="54" t="s">
        <v>742</v>
      </c>
      <c r="I35" s="19" t="s">
        <v>743</v>
      </c>
      <c r="J35" s="19"/>
    </row>
    <row r="36" customFormat="false" ht="30" hidden="false" customHeight="true" outlineLevel="0" collapsed="false">
      <c r="A36" s="16" t="s">
        <v>744</v>
      </c>
      <c r="B36" s="17" t="s">
        <v>745</v>
      </c>
      <c r="C36" s="58" t="n">
        <f aca="false">$C$407</f>
        <v>46361</v>
      </c>
      <c r="D36" s="58" t="n">
        <f aca="false">$D$407</f>
        <v>46364</v>
      </c>
      <c r="E36" s="54" t="n">
        <f aca="false">NETWORKDAYS.INTL(C36,D36,"0000100",$C$14)</f>
        <v>4</v>
      </c>
      <c r="F36" s="58" t="n">
        <f aca="false">C36</f>
        <v>46361</v>
      </c>
      <c r="G36" s="58" t="n">
        <f aca="false">D36</f>
        <v>46364</v>
      </c>
      <c r="H36" s="54" t="n">
        <f aca="false">E36</f>
        <v>4</v>
      </c>
      <c r="I36" s="19" t="s">
        <v>746</v>
      </c>
      <c r="J36" s="19"/>
    </row>
    <row r="37" customFormat="false" ht="80.25" hidden="false" customHeight="true" outlineLevel="0" collapsed="false">
      <c r="A37" s="16" t="s">
        <v>747</v>
      </c>
      <c r="B37" s="17" t="s">
        <v>748</v>
      </c>
      <c r="C37" s="58" t="n">
        <f aca="false">$C$408</f>
        <v>46365</v>
      </c>
      <c r="D37" s="58" t="n">
        <f aca="false">$D$409</f>
        <v>46372</v>
      </c>
      <c r="E37" s="54" t="n">
        <f aca="false">NETWORKDAYS.INTL(C37,D37,"0000100",$C$14)</f>
        <v>7</v>
      </c>
      <c r="F37" s="58" t="s">
        <v>742</v>
      </c>
      <c r="G37" s="58" t="s">
        <v>742</v>
      </c>
      <c r="H37" s="54" t="s">
        <v>742</v>
      </c>
      <c r="I37" s="19" t="s">
        <v>749</v>
      </c>
      <c r="J37" s="19"/>
    </row>
    <row r="38" customFormat="false" ht="208.5" hidden="false" customHeight="true" outlineLevel="0" collapsed="false">
      <c r="A38" s="16" t="s">
        <v>750</v>
      </c>
      <c r="B38" s="17" t="s">
        <v>751</v>
      </c>
      <c r="C38" s="58" t="str">
        <f aca="false">G37</f>
        <v>-</v>
      </c>
      <c r="D38" s="58" t="str">
        <f aca="false">G37</f>
        <v>-</v>
      </c>
      <c r="E38" s="54" t="str">
        <f aca="false">G37</f>
        <v>-</v>
      </c>
      <c r="F38" s="58" t="n">
        <f aca="false">WORKDAY.INTL(D28,1,"0000100",$C$14)</f>
        <v>46343</v>
      </c>
      <c r="G38" s="58" t="n">
        <f aca="false">WORKDAY.INTL(F38,H38-1,"0000100",$C$14)</f>
        <v>46350</v>
      </c>
      <c r="H38" s="54" t="n">
        <f aca="false">$E$408</f>
        <v>7</v>
      </c>
      <c r="I38" s="19" t="s">
        <v>752</v>
      </c>
      <c r="J38" s="19"/>
    </row>
    <row r="39" customFormat="false" ht="105.75" hidden="false" customHeight="true" outlineLevel="0" collapsed="false">
      <c r="A39" s="16" t="s">
        <v>753</v>
      </c>
      <c r="B39" s="17" t="s">
        <v>754</v>
      </c>
      <c r="C39" s="58" t="str">
        <f aca="false">G37</f>
        <v>-</v>
      </c>
      <c r="D39" s="58" t="str">
        <f aca="false">G37</f>
        <v>-</v>
      </c>
      <c r="E39" s="54" t="str">
        <f aca="false">G37</f>
        <v>-</v>
      </c>
      <c r="F39" s="58" t="n">
        <f aca="false">WORKDAY.INTL(MAX(G38,G34),1,"0000100",$C$14)</f>
        <v>46361</v>
      </c>
      <c r="G39" s="58" t="n">
        <f aca="false">WORKDAY.INTL(F39,H39-1,"0000100",$C$14)</f>
        <v>46363</v>
      </c>
      <c r="H39" s="54" t="n">
        <v>3</v>
      </c>
      <c r="I39" s="19" t="s">
        <v>755</v>
      </c>
      <c r="J39" s="19"/>
    </row>
    <row r="40" customFormat="false" ht="80.25" hidden="false" customHeight="true" outlineLevel="0" collapsed="false">
      <c r="A40" s="16" t="s">
        <v>756</v>
      </c>
      <c r="B40" s="17" t="s">
        <v>757</v>
      </c>
      <c r="C40" s="58" t="str">
        <f aca="false">G37</f>
        <v>-</v>
      </c>
      <c r="D40" s="58" t="str">
        <f aca="false">G37</f>
        <v>-</v>
      </c>
      <c r="E40" s="54" t="str">
        <f aca="false">G37</f>
        <v>-</v>
      </c>
      <c r="F40" s="58" t="n">
        <f aca="false">WORKDAY.INTL(G39,1,"0000100",$C$14)</f>
        <v>46364</v>
      </c>
      <c r="G40" s="58" t="n">
        <f aca="false">WORKDAY.INTL(F40,H40-1,"0000100",$C$14)</f>
        <v>46368</v>
      </c>
      <c r="H40" s="54" t="n">
        <v>4</v>
      </c>
      <c r="I40" s="19" t="s">
        <v>758</v>
      </c>
      <c r="J40" s="19"/>
    </row>
    <row r="41" customFormat="false" ht="93" hidden="false" customHeight="true" outlineLevel="0" collapsed="false">
      <c r="A41" s="16" t="s">
        <v>759</v>
      </c>
      <c r="B41" s="17" t="s">
        <v>760</v>
      </c>
      <c r="C41" s="58" t="str">
        <f aca="false">G37</f>
        <v>-</v>
      </c>
      <c r="D41" s="58" t="str">
        <f aca="false">G37</f>
        <v>-</v>
      </c>
      <c r="E41" s="54" t="str">
        <f aca="false">G37</f>
        <v>-</v>
      </c>
      <c r="F41" s="58" t="n">
        <f aca="false">WORKDAY.INTL(G36,1,"0000100",$C$14)</f>
        <v>46365</v>
      </c>
      <c r="G41" s="58" t="n">
        <f aca="false">WORKDAY.INTL(F41,H41-1,"0000100",$C$14)</f>
        <v>46368</v>
      </c>
      <c r="H41" s="54" t="n">
        <v>3</v>
      </c>
      <c r="I41" s="19" t="s">
        <v>761</v>
      </c>
      <c r="J41" s="19"/>
    </row>
    <row r="42" customFormat="false" ht="80.25" hidden="false" customHeight="true" outlineLevel="0" collapsed="false">
      <c r="A42" s="16" t="s">
        <v>762</v>
      </c>
      <c r="B42" s="17" t="s">
        <v>763</v>
      </c>
      <c r="C42" s="58" t="str">
        <f aca="false">G37</f>
        <v>-</v>
      </c>
      <c r="D42" s="58" t="str">
        <f aca="false">G37</f>
        <v>-</v>
      </c>
      <c r="E42" s="54" t="str">
        <f aca="false">G37</f>
        <v>-</v>
      </c>
      <c r="F42" s="58" t="n">
        <f aca="false">WORKDAY.INTL(MAX(G36,G40,G41),1,"0000100",$C$14)</f>
        <v>46369</v>
      </c>
      <c r="G42" s="58" t="n">
        <f aca="false">WORKDAY.INTL(F42,H42-1,"0000100",$C$14)</f>
        <v>46371</v>
      </c>
      <c r="H42" s="54" t="n">
        <v>3</v>
      </c>
      <c r="I42" s="19" t="s">
        <v>764</v>
      </c>
      <c r="J42" s="19"/>
    </row>
    <row r="43" customFormat="false" ht="42" hidden="false" customHeight="true" outlineLevel="0" collapsed="false">
      <c r="A43" s="16" t="s">
        <v>765</v>
      </c>
      <c r="B43" s="17" t="s">
        <v>766</v>
      </c>
      <c r="C43" s="58" t="n">
        <f aca="false">$D$410</f>
        <v>46372</v>
      </c>
      <c r="D43" s="58" t="n">
        <f aca="false">C43</f>
        <v>46372</v>
      </c>
      <c r="E43" s="54" t="s">
        <v>742</v>
      </c>
      <c r="F43" s="58" t="n">
        <f aca="false">G42</f>
        <v>46371</v>
      </c>
      <c r="G43" s="58" t="n">
        <f aca="false">F43</f>
        <v>46371</v>
      </c>
      <c r="H43" s="54" t="s">
        <v>742</v>
      </c>
      <c r="I43" s="19" t="s">
        <v>767</v>
      </c>
      <c r="J43" s="19"/>
    </row>
    <row r="44" customFormat="false" ht="30" hidden="false" customHeight="true" outlineLevel="0" collapsed="false">
      <c r="A44" s="16" t="s">
        <v>768</v>
      </c>
      <c r="B44" s="17" t="s">
        <v>769</v>
      </c>
      <c r="C44" s="58" t="n">
        <f aca="false">$C$412</f>
        <v>46373</v>
      </c>
      <c r="D44" s="58" t="n">
        <f aca="false">$D$412</f>
        <v>46380</v>
      </c>
      <c r="E44" s="54" t="n">
        <f aca="false">NETWORKDAYS.INTL(C44,D44,"0000100",$C$14)</f>
        <v>7</v>
      </c>
      <c r="F44" s="58" t="n">
        <f aca="false">WORKDAY.INTL(G43,1,"0000100",$C$14)</f>
        <v>46372</v>
      </c>
      <c r="G44" s="58" t="n">
        <f aca="false">WORKDAY.INTL(F44,H44-1,"0000100",$C$14)</f>
        <v>46379</v>
      </c>
      <c r="H44" s="54" t="n">
        <f aca="false">E44</f>
        <v>7</v>
      </c>
      <c r="I44" s="19" t="s">
        <v>770</v>
      </c>
      <c r="J44" s="19"/>
    </row>
    <row r="45" customFormat="false" ht="31.5" hidden="false" customHeight="true" outlineLevel="0" collapsed="false">
      <c r="A45" s="13" t="s">
        <v>92</v>
      </c>
      <c r="B45" s="13" t="s">
        <v>690</v>
      </c>
      <c r="C45" s="13" t="s">
        <v>691</v>
      </c>
      <c r="D45" s="13" t="s">
        <v>692</v>
      </c>
      <c r="E45" s="13" t="s">
        <v>693</v>
      </c>
      <c r="F45" s="13" t="s">
        <v>694</v>
      </c>
      <c r="G45" s="13" t="s">
        <v>695</v>
      </c>
      <c r="H45" s="13" t="s">
        <v>696</v>
      </c>
      <c r="I45" s="13" t="s">
        <v>697</v>
      </c>
      <c r="J45" s="13"/>
    </row>
    <row r="46" customFormat="false" ht="19.5" hidden="false" customHeight="true" outlineLevel="0" collapsed="false">
      <c r="A46" s="23"/>
      <c r="B46" s="23" t="s">
        <v>771</v>
      </c>
      <c r="C46" s="23"/>
      <c r="D46" s="23"/>
      <c r="E46" s="23"/>
      <c r="F46" s="23"/>
      <c r="G46" s="23"/>
      <c r="H46" s="23"/>
      <c r="I46" s="23"/>
      <c r="J46" s="23"/>
    </row>
    <row r="47" customFormat="false" ht="105.75" hidden="false" customHeight="true" outlineLevel="0" collapsed="false">
      <c r="A47" s="16" t="s">
        <v>772</v>
      </c>
      <c r="B47" s="17" t="s">
        <v>773</v>
      </c>
      <c r="C47" s="58" t="n">
        <f aca="false">C20</f>
        <v>46256</v>
      </c>
      <c r="D47" s="58" t="n">
        <f aca="false">D44</f>
        <v>46380</v>
      </c>
      <c r="E47" s="54" t="n">
        <f aca="false">D47-C47+1</f>
        <v>125</v>
      </c>
      <c r="F47" s="58" t="n">
        <f aca="false">F20</f>
        <v>46256</v>
      </c>
      <c r="G47" s="58" t="n">
        <f aca="false">G44</f>
        <v>46379</v>
      </c>
      <c r="H47" s="54" t="n">
        <f aca="false">G47-F47+1</f>
        <v>124</v>
      </c>
      <c r="I47" s="19" t="s">
        <v>774</v>
      </c>
      <c r="J47" s="19"/>
    </row>
    <row r="48" customFormat="false" ht="30" hidden="false" customHeight="true" outlineLevel="0" collapsed="false">
      <c r="A48" s="16" t="s">
        <v>775</v>
      </c>
      <c r="B48" s="17" t="s">
        <v>776</v>
      </c>
      <c r="C48" s="58" t="n">
        <f aca="false">C20</f>
        <v>46256</v>
      </c>
      <c r="D48" s="58" t="n">
        <f aca="false">D43</f>
        <v>46372</v>
      </c>
      <c r="E48" s="54" t="n">
        <f aca="false">D48-C48+1</f>
        <v>117</v>
      </c>
      <c r="F48" s="58" t="n">
        <f aca="false">F20</f>
        <v>46256</v>
      </c>
      <c r="G48" s="58" t="n">
        <f aca="false">G43</f>
        <v>46371</v>
      </c>
      <c r="H48" s="54" t="n">
        <f aca="false">G48-F48+1</f>
        <v>116</v>
      </c>
      <c r="I48" s="19" t="s">
        <v>777</v>
      </c>
      <c r="J48" s="19"/>
    </row>
    <row r="49" customFormat="false" ht="30" hidden="false" customHeight="true" outlineLevel="0" collapsed="false">
      <c r="A49" s="16" t="s">
        <v>778</v>
      </c>
      <c r="B49" s="17" t="s">
        <v>779</v>
      </c>
      <c r="C49" s="58" t="n">
        <f aca="false">C22</f>
        <v>46277</v>
      </c>
      <c r="D49" s="58" t="n">
        <f aca="false">D34</f>
        <v>46359</v>
      </c>
      <c r="E49" s="54" t="n">
        <f aca="false">D49-C49+1</f>
        <v>83</v>
      </c>
      <c r="F49" s="58" t="n">
        <f aca="false">C49</f>
        <v>46277</v>
      </c>
      <c r="G49" s="58" t="n">
        <f aca="false">D49</f>
        <v>46359</v>
      </c>
      <c r="H49" s="54" t="n">
        <f aca="false">E49</f>
        <v>83</v>
      </c>
      <c r="I49" s="19" t="s">
        <v>780</v>
      </c>
      <c r="J49" s="19"/>
    </row>
    <row r="50" customFormat="false" ht="42" hidden="false" customHeight="true" outlineLevel="0" collapsed="false">
      <c r="A50" s="16" t="s">
        <v>781</v>
      </c>
      <c r="B50" s="17" t="s">
        <v>782</v>
      </c>
      <c r="C50" s="58" t="n">
        <f aca="false">C23</f>
        <v>46301</v>
      </c>
      <c r="D50" s="58" t="n">
        <f aca="false">D33</f>
        <v>46356</v>
      </c>
      <c r="E50" s="54" t="n">
        <f aca="false">D50-C50+1</f>
        <v>56</v>
      </c>
      <c r="F50" s="58" t="n">
        <f aca="false">C50</f>
        <v>46301</v>
      </c>
      <c r="G50" s="58" t="n">
        <f aca="false">D50</f>
        <v>46356</v>
      </c>
      <c r="H50" s="54" t="n">
        <f aca="false">E50</f>
        <v>56</v>
      </c>
      <c r="I50" s="19" t="s">
        <v>783</v>
      </c>
      <c r="J50" s="19"/>
    </row>
    <row r="51" customFormat="false" ht="54.75" hidden="false" customHeight="true" outlineLevel="0" collapsed="false">
      <c r="A51" s="16" t="s">
        <v>784</v>
      </c>
      <c r="B51" s="17" t="s">
        <v>785</v>
      </c>
      <c r="C51" s="58" t="n">
        <f aca="false">$C$377</f>
        <v>46273</v>
      </c>
      <c r="D51" s="58" t="n">
        <f aca="false">D33</f>
        <v>46356</v>
      </c>
      <c r="E51" s="54" t="n">
        <f aca="false">D51-C51+1</f>
        <v>84</v>
      </c>
      <c r="F51" s="58" t="n">
        <f aca="false">C51</f>
        <v>46273</v>
      </c>
      <c r="G51" s="58" t="n">
        <f aca="false">D51</f>
        <v>46356</v>
      </c>
      <c r="H51" s="54" t="n">
        <f aca="false">E51</f>
        <v>84</v>
      </c>
      <c r="I51" s="19" t="s">
        <v>786</v>
      </c>
      <c r="J51" s="19"/>
    </row>
    <row r="52" customFormat="false" ht="19.5" hidden="false" customHeight="true" outlineLevel="0" collapsed="false">
      <c r="A52" s="23"/>
      <c r="B52" s="23" t="s">
        <v>787</v>
      </c>
      <c r="C52" s="23"/>
      <c r="D52" s="23"/>
      <c r="E52" s="23"/>
      <c r="F52" s="23"/>
      <c r="G52" s="23"/>
      <c r="H52" s="23"/>
      <c r="I52" s="23"/>
      <c r="J52" s="23"/>
    </row>
    <row r="53" customFormat="false" ht="60" hidden="false" customHeight="true" outlineLevel="0" collapsed="false">
      <c r="A53" s="16" t="s">
        <v>788</v>
      </c>
      <c r="B53" s="17" t="s">
        <v>789</v>
      </c>
      <c r="C53" s="58" t="n">
        <f aca="false">F20</f>
        <v>46256</v>
      </c>
      <c r="D53" s="58" t="n">
        <f aca="false">WORKDAY.INTL(WORKDAY.INTL(WORKDAY.INTL(WORKDAY.INTL(MAX(G36,WORKDAY.INTL(WORKDAY.INTL(WORKDAY.INTL(WORKDAY.INTL(WORKDAY.INTL(WORKDAY.INTL(G36,1,"0000100",$C$14),7-1,"0000100",$C$14),1,"0000100",$C$14),3-1,"0000100",$C$14),1,"0000100",$C$14),4-1,"0000100",$C$14),WORKDAY.INTL(WORKDAY.INTL(G36,1,"0000100",$C$14),3-1,"0000100",$C$14)),1,"0000100",$C$14),3-1,"0000100",$C$14),1,"0000100",$C$14),7-1,"0000100",$C$14)</f>
        <v>46392</v>
      </c>
      <c r="E53" s="54" t="n">
        <f aca="false">D53-C53+1</f>
        <v>137</v>
      </c>
      <c r="F53" s="58" t="s">
        <v>742</v>
      </c>
      <c r="G53" s="58" t="s">
        <v>742</v>
      </c>
      <c r="H53" s="54" t="s">
        <v>742</v>
      </c>
      <c r="I53" s="19" t="s">
        <v>790</v>
      </c>
      <c r="J53" s="19"/>
    </row>
    <row r="54" customFormat="false" ht="93" hidden="false" customHeight="true" outlineLevel="0" collapsed="false">
      <c r="A54" s="16" t="s">
        <v>791</v>
      </c>
      <c r="B54" s="17" t="s">
        <v>792</v>
      </c>
      <c r="C54" s="59" t="n">
        <f aca="false">E53-H47</f>
        <v>13</v>
      </c>
      <c r="D54" s="58" t="s">
        <v>742</v>
      </c>
      <c r="E54" s="18" t="n">
        <f aca="false">D113*(ROUND((H47+C54)/$C$15,1)-G113)+D114*(ROUND((H47+C54)/$C$15,1)-G114)+D115*(ROUND((WORKDAY.INTL(WORKDAY.INTL(MAX(G36,WORKDAY.INTL(WORKDAY.INTL(WORKDAY.INTL(WORKDAY.INTL(WORKDAY.INTL(WORKDAY.INTL(G36,1,"0000100",$C$14),7-1,"0000100",$C$14),1,"0000100",$C$14),3-1,"0000100",$C$14),1,"0000100",$C$14),4-1,"0000100",$C$14),WORKDAY.INTL(WORKDAY.INTL(G36,1,"0000100",$C$14),3-1,"0000100",$C$14)),1,"0000100",$C$14),3-1,"0000100",$C$14)-F21+1)/$C$15,1)-G115)+D116*(ROUND((H47+C54)/$C$15,1)-G116)+D117*(ROUND((WORKDAY.INTL(WORKDAY.INTL(MAX(G36,WORKDAY.INTL(WORKDAY.INTL(WORKDAY.INTL(WORKDAY.INTL(WORKDAY.INTL(WORKDAY.INTL(G36,1,"0000100",$C$14),7-1,"0000100",$C$14),1,"0000100",$C$14),3-1,"0000100",$C$14),1,"0000100",$C$14),4-1,"0000100",$C$14),WORKDAY.INTL(WORKDAY.INTL(G36,1,"0000100",$C$14),3-1,"0000100",$C$14)),1,"0000100",$C$14),3-1,"0000100",$C$14)-$C$377+1)/$C$15,1)-G117)+D118*(ROUND((H47+C54)/$C$15,1)-G118)+D119*(ROUND((H47+C54)/$C$15,1)-G119)+D120*(ROUND((H47+C54)/$C$15,1)-G120)+D122*(ROUND((H47+C54)/$C$15,1)-G122)+D124*(ROUND((H47+C54)/$C$15,1)-G124)+D125*(ROUND((H47+C54)/$C$15,1)-G125)+D131*(ROUND((WORKDAY.INTL(WORKDAY.INTL(MAX(G36,WORKDAY.INTL(WORKDAY.INTL(WORKDAY.INTL(WORKDAY.INTL(WORKDAY.INTL(WORKDAY.INTL(G36,1,"0000100",$C$14),7-1,"0000100",$C$14),1,"0000100",$C$14),3-1,"0000100",$C$14),1,"0000100",$C$14),4-1,"0000100",$C$14),WORKDAY.INTL(WORKDAY.INTL(G36,1,"0000100",$C$14),3-1,"0000100",$C$14)),1,"0000100",$C$14),3-1,"0000100",$C$14)-F20+1)/$C$15,1)-G131)+D132*(ROUND((H47+C54)/$C$15,1)-G132)+D133*(ROUND((H47+C54)/$C$15,1)-G133)+D121*(2*ROUNDUP((H47+C54)/7,0)-G121)</f>
        <v>32820</v>
      </c>
      <c r="F54" s="58" t="s">
        <v>742</v>
      </c>
      <c r="G54" s="58" t="s">
        <v>742</v>
      </c>
      <c r="H54" s="54" t="s">
        <v>742</v>
      </c>
      <c r="I54" s="19" t="s">
        <v>793</v>
      </c>
      <c r="J54" s="19"/>
    </row>
    <row r="55" customFormat="false" ht="42" hidden="false" customHeight="true" outlineLevel="0" collapsed="false">
      <c r="A55" s="16" t="s">
        <v>794</v>
      </c>
      <c r="B55" s="17" t="s">
        <v>795</v>
      </c>
      <c r="C55" s="60" t="n">
        <f aca="false">ROUND(E54*0.05,2)</f>
        <v>1641</v>
      </c>
      <c r="D55" s="58" t="s">
        <v>742</v>
      </c>
      <c r="E55" s="18" t="n">
        <f aca="false">E54+C55</f>
        <v>34461</v>
      </c>
      <c r="F55" s="58" t="s">
        <v>742</v>
      </c>
      <c r="G55" s="58" t="s">
        <v>742</v>
      </c>
      <c r="H55" s="54" t="s">
        <v>742</v>
      </c>
      <c r="I55" s="19" t="s">
        <v>796</v>
      </c>
      <c r="J55" s="19"/>
    </row>
    <row r="57" customFormat="false" ht="21" hidden="false" customHeight="true" outlineLevel="0" collapsed="false">
      <c r="A57" s="15" t="s">
        <v>797</v>
      </c>
      <c r="B57" s="15"/>
      <c r="C57" s="15"/>
      <c r="D57" s="15"/>
      <c r="E57" s="15"/>
      <c r="F57" s="15"/>
      <c r="G57" s="15"/>
      <c r="H57" s="15"/>
      <c r="I57" s="15"/>
      <c r="J57" s="15"/>
    </row>
    <row r="58" customFormat="false" ht="69.75" hidden="false" customHeight="true" outlineLevel="0" collapsed="false">
      <c r="A58" s="11" t="s">
        <v>798</v>
      </c>
      <c r="B58" s="11"/>
      <c r="C58" s="11"/>
      <c r="D58" s="11"/>
      <c r="E58" s="11"/>
      <c r="F58" s="11"/>
      <c r="G58" s="11"/>
      <c r="H58" s="11"/>
      <c r="I58" s="11"/>
      <c r="J58" s="11"/>
    </row>
    <row r="59" customFormat="false" ht="69.75" hidden="false" customHeight="true" outlineLevel="0" collapsed="false">
      <c r="A59" s="11" t="s">
        <v>799</v>
      </c>
      <c r="B59" s="11"/>
      <c r="C59" s="11"/>
      <c r="D59" s="11"/>
      <c r="E59" s="11"/>
      <c r="F59" s="11"/>
      <c r="G59" s="11"/>
      <c r="H59" s="11"/>
      <c r="I59" s="11"/>
      <c r="J59" s="11"/>
    </row>
    <row r="60" customFormat="false" ht="69.75" hidden="false" customHeight="true" outlineLevel="0" collapsed="false">
      <c r="A60" s="11" t="s">
        <v>800</v>
      </c>
      <c r="B60" s="11"/>
      <c r="C60" s="11"/>
      <c r="D60" s="11"/>
      <c r="E60" s="11"/>
      <c r="F60" s="11"/>
      <c r="G60" s="11"/>
      <c r="H60" s="11"/>
      <c r="I60" s="11"/>
      <c r="J60" s="11"/>
    </row>
    <row r="61" customFormat="false" ht="42" hidden="false" customHeight="true" outlineLevel="0" collapsed="false">
      <c r="A61" s="13" t="s">
        <v>92</v>
      </c>
      <c r="B61" s="13" t="s">
        <v>801</v>
      </c>
      <c r="C61" s="13" t="s">
        <v>802</v>
      </c>
      <c r="D61" s="13" t="s">
        <v>803</v>
      </c>
      <c r="E61" s="13" t="s">
        <v>804</v>
      </c>
      <c r="F61" s="13" t="s">
        <v>805</v>
      </c>
      <c r="G61" s="13" t="s">
        <v>806</v>
      </c>
      <c r="H61" s="13" t="s">
        <v>807</v>
      </c>
      <c r="I61" s="13" t="s">
        <v>808</v>
      </c>
      <c r="J61" s="13" t="s">
        <v>809</v>
      </c>
    </row>
    <row r="62" customFormat="false" ht="30" hidden="false" customHeight="true" outlineLevel="0" collapsed="false">
      <c r="A62" s="16" t="s">
        <v>810</v>
      </c>
      <c r="B62" s="17" t="s">
        <v>811</v>
      </c>
      <c r="C62" s="54" t="n">
        <f aca="false">NETWORKDAYS.INTL(C20,D20,"0000100",$C$14)</f>
        <v>5</v>
      </c>
      <c r="D62" s="54" t="n">
        <f aca="false">C62</f>
        <v>5</v>
      </c>
      <c r="E62" s="54" t="n">
        <v>2</v>
      </c>
      <c r="F62" s="54" t="n">
        <f aca="false">C62*E62</f>
        <v>10</v>
      </c>
      <c r="G62" s="54" t="n">
        <f aca="false">(C62-D62)*E62</f>
        <v>0</v>
      </c>
      <c r="H62" s="61" t="n">
        <v>0</v>
      </c>
      <c r="I62" s="61" t="n">
        <v>0</v>
      </c>
      <c r="J62" s="19" t="s">
        <v>812</v>
      </c>
    </row>
    <row r="63" customFormat="false" ht="80.25" hidden="false" customHeight="true" outlineLevel="0" collapsed="false">
      <c r="A63" s="16" t="s">
        <v>813</v>
      </c>
      <c r="B63" s="17" t="s">
        <v>814</v>
      </c>
      <c r="C63" s="54" t="n">
        <f aca="false">NETWORKDAYS.INTL(C21,D21,"0000100",$C$14)</f>
        <v>14</v>
      </c>
      <c r="D63" s="54" t="n">
        <f aca="false">C63</f>
        <v>14</v>
      </c>
      <c r="E63" s="54" t="n">
        <v>2</v>
      </c>
      <c r="F63" s="54" t="n">
        <f aca="false">C63*E63</f>
        <v>28</v>
      </c>
      <c r="G63" s="54" t="n">
        <f aca="false">(C63-D63)*E63</f>
        <v>0</v>
      </c>
      <c r="H63" s="61" t="n">
        <v>0</v>
      </c>
      <c r="I63" s="61" t="n">
        <v>0</v>
      </c>
      <c r="J63" s="19" t="s">
        <v>815</v>
      </c>
    </row>
    <row r="64" customFormat="false" ht="80.25" hidden="false" customHeight="true" outlineLevel="0" collapsed="false">
      <c r="A64" s="16" t="s">
        <v>816</v>
      </c>
      <c r="B64" s="17" t="s">
        <v>817</v>
      </c>
      <c r="C64" s="54" t="n">
        <v>3</v>
      </c>
      <c r="D64" s="54" t="n">
        <f aca="false">C64</f>
        <v>3</v>
      </c>
      <c r="E64" s="54" t="n">
        <v>4</v>
      </c>
      <c r="F64" s="54" t="n">
        <f aca="false">C64*E64</f>
        <v>12</v>
      </c>
      <c r="G64" s="54" t="n">
        <f aca="false">(C64-D64)*E64</f>
        <v>0</v>
      </c>
      <c r="H64" s="61" t="n">
        <v>0</v>
      </c>
      <c r="I64" s="61" t="n">
        <v>0</v>
      </c>
      <c r="J64" s="19" t="s">
        <v>818</v>
      </c>
    </row>
    <row r="65" customFormat="false" ht="93" hidden="false" customHeight="true" outlineLevel="0" collapsed="false">
      <c r="A65" s="16" t="s">
        <v>819</v>
      </c>
      <c r="B65" s="17" t="s">
        <v>820</v>
      </c>
      <c r="C65" s="54" t="n">
        <f aca="false">E22</f>
        <v>20</v>
      </c>
      <c r="D65" s="54" t="n">
        <f aca="false">$E$390</f>
        <v>6</v>
      </c>
      <c r="E65" s="54" t="n">
        <v>5</v>
      </c>
      <c r="F65" s="54" t="n">
        <f aca="false">C65*E65</f>
        <v>100</v>
      </c>
      <c r="G65" s="54" t="n">
        <f aca="false">(C65-D65)*E65</f>
        <v>70</v>
      </c>
      <c r="H65" s="61" t="n">
        <v>0</v>
      </c>
      <c r="I65" s="61" t="n">
        <f aca="false">C65</f>
        <v>20</v>
      </c>
      <c r="J65" s="19" t="s">
        <v>821</v>
      </c>
    </row>
    <row r="66" customFormat="false" ht="54.75" hidden="false" customHeight="true" outlineLevel="0" collapsed="false">
      <c r="A66" s="16" t="s">
        <v>822</v>
      </c>
      <c r="B66" s="17" t="s">
        <v>823</v>
      </c>
      <c r="C66" s="54" t="n">
        <f aca="false">NETWORKDAYS.INTL(C23,D24,"0000100",$C$14)</f>
        <v>21</v>
      </c>
      <c r="D66" s="54" t="n">
        <f aca="false">NETWORKDAYS.INTL(C30,D31,"0000100",$C$14)</f>
        <v>17</v>
      </c>
      <c r="E66" s="54" t="n">
        <v>5</v>
      </c>
      <c r="F66" s="54" t="n">
        <f aca="false">C66*E66</f>
        <v>105</v>
      </c>
      <c r="G66" s="54" t="n">
        <f aca="false">(C66-D66)*E66</f>
        <v>20</v>
      </c>
      <c r="H66" s="61" t="n">
        <f aca="false">ROUND(E23/2,0)+ROUND((C66-E23)/2,0)</f>
        <v>11</v>
      </c>
      <c r="I66" s="61" t="n">
        <f aca="false">E23</f>
        <v>16</v>
      </c>
      <c r="J66" s="19" t="s">
        <v>824</v>
      </c>
    </row>
    <row r="67" customFormat="false" ht="42" hidden="false" customHeight="true" outlineLevel="0" collapsed="false">
      <c r="A67" s="16" t="s">
        <v>825</v>
      </c>
      <c r="B67" s="17" t="s">
        <v>826</v>
      </c>
      <c r="C67" s="54" t="n">
        <f aca="false">E25</f>
        <v>5</v>
      </c>
      <c r="D67" s="54" t="n">
        <f aca="false">C67</f>
        <v>5</v>
      </c>
      <c r="E67" s="54" t="n">
        <v>3</v>
      </c>
      <c r="F67" s="54" t="n">
        <f aca="false">C67*E67</f>
        <v>15</v>
      </c>
      <c r="G67" s="54" t="n">
        <f aca="false">(C67-D67)*E67</f>
        <v>0</v>
      </c>
      <c r="H67" s="61" t="n">
        <f aca="false">D67</f>
        <v>5</v>
      </c>
      <c r="I67" s="61" t="n">
        <f aca="false">ROUND(D67/2,0)</f>
        <v>3</v>
      </c>
      <c r="J67" s="19" t="s">
        <v>827</v>
      </c>
    </row>
    <row r="68" customFormat="false" ht="42" hidden="false" customHeight="true" outlineLevel="0" collapsed="false">
      <c r="A68" s="16" t="s">
        <v>828</v>
      </c>
      <c r="B68" s="17" t="s">
        <v>829</v>
      </c>
      <c r="C68" s="54" t="n">
        <f aca="false">E26</f>
        <v>6</v>
      </c>
      <c r="D68" s="54" t="n">
        <f aca="false">C68</f>
        <v>6</v>
      </c>
      <c r="E68" s="54" t="n">
        <v>5</v>
      </c>
      <c r="F68" s="54" t="n">
        <f aca="false">C68*E68</f>
        <v>30</v>
      </c>
      <c r="G68" s="54" t="n">
        <f aca="false">(C68-D68)*E68</f>
        <v>0</v>
      </c>
      <c r="H68" s="61" t="n">
        <f aca="false">D68</f>
        <v>6</v>
      </c>
      <c r="I68" s="61" t="n">
        <f aca="false">D68</f>
        <v>6</v>
      </c>
      <c r="J68" s="19" t="s">
        <v>830</v>
      </c>
    </row>
    <row r="69" customFormat="false" ht="42" hidden="false" customHeight="true" outlineLevel="0" collapsed="false">
      <c r="A69" s="16" t="s">
        <v>831</v>
      </c>
      <c r="B69" s="17" t="s">
        <v>832</v>
      </c>
      <c r="C69" s="54" t="n">
        <f aca="false">$E$398</f>
        <v>5</v>
      </c>
      <c r="D69" s="54" t="n">
        <f aca="false">C69</f>
        <v>5</v>
      </c>
      <c r="E69" s="54" t="n">
        <v>2</v>
      </c>
      <c r="F69" s="54" t="n">
        <f aca="false">C69*E69</f>
        <v>10</v>
      </c>
      <c r="G69" s="54" t="n">
        <f aca="false">(C69-D69)*E69</f>
        <v>0</v>
      </c>
      <c r="H69" s="61" t="n">
        <v>0</v>
      </c>
      <c r="I69" s="61" t="n">
        <v>0</v>
      </c>
      <c r="J69" s="19" t="s">
        <v>833</v>
      </c>
    </row>
    <row r="70" customFormat="false" ht="54.75" hidden="false" customHeight="true" outlineLevel="0" collapsed="false">
      <c r="A70" s="16" t="s">
        <v>834</v>
      </c>
      <c r="B70" s="17" t="s">
        <v>835</v>
      </c>
      <c r="C70" s="54" t="n">
        <f aca="false">E29</f>
        <v>6</v>
      </c>
      <c r="D70" s="54" t="n">
        <f aca="false">C70</f>
        <v>6</v>
      </c>
      <c r="E70" s="54" t="n">
        <v>5</v>
      </c>
      <c r="F70" s="54" t="n">
        <f aca="false">C70*E70</f>
        <v>30</v>
      </c>
      <c r="G70" s="54" t="n">
        <f aca="false">(C70-D70)*E70</f>
        <v>0</v>
      </c>
      <c r="H70" s="61" t="n">
        <v>0</v>
      </c>
      <c r="I70" s="61" t="n">
        <f aca="false">C70</f>
        <v>6</v>
      </c>
      <c r="J70" s="19" t="s">
        <v>836</v>
      </c>
    </row>
    <row r="71" customFormat="false" ht="30" hidden="false" customHeight="true" outlineLevel="0" collapsed="false">
      <c r="A71" s="16" t="s">
        <v>837</v>
      </c>
      <c r="B71" s="17" t="s">
        <v>838</v>
      </c>
      <c r="C71" s="54" t="n">
        <f aca="false">NETWORKDAYS.INTL(C30,D31,"0000100",$C$14)</f>
        <v>17</v>
      </c>
      <c r="D71" s="54" t="n">
        <f aca="false">C71</f>
        <v>17</v>
      </c>
      <c r="E71" s="54" t="n">
        <v>5</v>
      </c>
      <c r="F71" s="54" t="n">
        <f aca="false">C71*E71</f>
        <v>85</v>
      </c>
      <c r="G71" s="54" t="n">
        <f aca="false">(C71-D71)*E71</f>
        <v>0</v>
      </c>
      <c r="H71" s="61" t="n">
        <f aca="false">ROUND(E30/2,0)+ROUND((C71-E30)/2,0)</f>
        <v>9</v>
      </c>
      <c r="I71" s="61" t="n">
        <f aca="false">E30</f>
        <v>12</v>
      </c>
      <c r="J71" s="19" t="s">
        <v>839</v>
      </c>
    </row>
    <row r="72" customFormat="false" ht="30" hidden="false" customHeight="true" outlineLevel="0" collapsed="false">
      <c r="A72" s="16" t="s">
        <v>840</v>
      </c>
      <c r="B72" s="17" t="s">
        <v>841</v>
      </c>
      <c r="C72" s="54" t="n">
        <f aca="false">E32</f>
        <v>5</v>
      </c>
      <c r="D72" s="54" t="n">
        <f aca="false">C72</f>
        <v>5</v>
      </c>
      <c r="E72" s="54" t="n">
        <v>3</v>
      </c>
      <c r="F72" s="54" t="n">
        <f aca="false">C72*E72</f>
        <v>15</v>
      </c>
      <c r="G72" s="54" t="n">
        <f aca="false">(C72-D72)*E72</f>
        <v>0</v>
      </c>
      <c r="H72" s="61" t="n">
        <f aca="false">D72</f>
        <v>5</v>
      </c>
      <c r="I72" s="61" t="n">
        <f aca="false">ROUND(D72/2,0)</f>
        <v>3</v>
      </c>
      <c r="J72" s="19" t="s">
        <v>842</v>
      </c>
    </row>
    <row r="73" customFormat="false" ht="30" hidden="false" customHeight="true" outlineLevel="0" collapsed="false">
      <c r="A73" s="16" t="s">
        <v>843</v>
      </c>
      <c r="B73" s="17" t="s">
        <v>844</v>
      </c>
      <c r="C73" s="54" t="n">
        <f aca="false">E33</f>
        <v>6</v>
      </c>
      <c r="D73" s="54" t="n">
        <f aca="false">C73</f>
        <v>6</v>
      </c>
      <c r="E73" s="54" t="n">
        <v>5</v>
      </c>
      <c r="F73" s="54" t="n">
        <f aca="false">C73*E73</f>
        <v>30</v>
      </c>
      <c r="G73" s="54" t="n">
        <f aca="false">(C73-D73)*E73</f>
        <v>0</v>
      </c>
      <c r="H73" s="61" t="n">
        <f aca="false">D73</f>
        <v>6</v>
      </c>
      <c r="I73" s="61" t="n">
        <f aca="false">D73</f>
        <v>6</v>
      </c>
      <c r="J73" s="19" t="s">
        <v>845</v>
      </c>
    </row>
    <row r="74" customFormat="false" ht="30" hidden="false" customHeight="true" outlineLevel="0" collapsed="false">
      <c r="A74" s="16" t="s">
        <v>846</v>
      </c>
      <c r="B74" s="17" t="s">
        <v>847</v>
      </c>
      <c r="C74" s="54" t="n">
        <f aca="false">$E$403</f>
        <v>5</v>
      </c>
      <c r="D74" s="54" t="n">
        <f aca="false">C74</f>
        <v>5</v>
      </c>
      <c r="E74" s="54" t="n">
        <v>2</v>
      </c>
      <c r="F74" s="54" t="n">
        <f aca="false">C74*E74</f>
        <v>10</v>
      </c>
      <c r="G74" s="54" t="n">
        <f aca="false">(C74-D74)*E74</f>
        <v>0</v>
      </c>
      <c r="H74" s="61" t="n">
        <v>0</v>
      </c>
      <c r="I74" s="61" t="n">
        <v>0</v>
      </c>
      <c r="J74" s="19" t="s">
        <v>848</v>
      </c>
    </row>
    <row r="75" customFormat="false" ht="42" hidden="false" customHeight="true" outlineLevel="0" collapsed="false">
      <c r="A75" s="13" t="s">
        <v>92</v>
      </c>
      <c r="B75" s="13" t="s">
        <v>801</v>
      </c>
      <c r="C75" s="13" t="s">
        <v>802</v>
      </c>
      <c r="D75" s="13" t="s">
        <v>803</v>
      </c>
      <c r="E75" s="13" t="s">
        <v>804</v>
      </c>
      <c r="F75" s="13" t="s">
        <v>805</v>
      </c>
      <c r="G75" s="13" t="s">
        <v>806</v>
      </c>
      <c r="H75" s="13" t="s">
        <v>807</v>
      </c>
      <c r="I75" s="13" t="s">
        <v>808</v>
      </c>
      <c r="J75" s="13" t="s">
        <v>809</v>
      </c>
    </row>
    <row r="76" customFormat="false" ht="54.75" hidden="false" customHeight="true" outlineLevel="0" collapsed="false">
      <c r="A76" s="16" t="s">
        <v>849</v>
      </c>
      <c r="B76" s="17" t="s">
        <v>850</v>
      </c>
      <c r="C76" s="54" t="n">
        <f aca="false">H36+H38+H39+H40+H41+H42</f>
        <v>24</v>
      </c>
      <c r="D76" s="54" t="n">
        <f aca="false">C76</f>
        <v>24</v>
      </c>
      <c r="E76" s="54" t="n">
        <v>0</v>
      </c>
      <c r="F76" s="54" t="n">
        <f aca="false">C76*E76</f>
        <v>0</v>
      </c>
      <c r="G76" s="54" t="n">
        <f aca="false">(C76-D76)*E76</f>
        <v>0</v>
      </c>
      <c r="H76" s="61" t="n">
        <v>0</v>
      </c>
      <c r="I76" s="61" t="n">
        <v>0</v>
      </c>
      <c r="J76" s="19" t="s">
        <v>851</v>
      </c>
    </row>
    <row r="77" customFormat="false" ht="30" hidden="false" customHeight="true" outlineLevel="0" collapsed="false">
      <c r="A77" s="16" t="s">
        <v>852</v>
      </c>
      <c r="B77" s="17" t="s">
        <v>853</v>
      </c>
      <c r="C77" s="54" t="n">
        <f aca="false">H44</f>
        <v>7</v>
      </c>
      <c r="D77" s="54" t="n">
        <f aca="false">C77</f>
        <v>7</v>
      </c>
      <c r="E77" s="54" t="n">
        <v>0</v>
      </c>
      <c r="F77" s="54" t="n">
        <f aca="false">C77*E77</f>
        <v>0</v>
      </c>
      <c r="G77" s="54" t="n">
        <f aca="false">(C77-D77)*E77</f>
        <v>0</v>
      </c>
      <c r="H77" s="61" t="n">
        <v>0</v>
      </c>
      <c r="I77" s="61" t="n">
        <v>0</v>
      </c>
      <c r="J77" s="19" t="s">
        <v>854</v>
      </c>
    </row>
    <row r="78" customFormat="false" ht="42" hidden="false" customHeight="true" outlineLevel="0" collapsed="false">
      <c r="A78" s="23"/>
      <c r="B78" s="23" t="s">
        <v>855</v>
      </c>
      <c r="C78" s="23"/>
      <c r="D78" s="23"/>
      <c r="E78" s="23"/>
      <c r="F78" s="62" t="n">
        <f aca="false">SUM(F62:F77)</f>
        <v>480</v>
      </c>
      <c r="G78" s="23"/>
      <c r="H78" s="23"/>
      <c r="I78" s="23"/>
      <c r="J78" s="19" t="s">
        <v>856</v>
      </c>
    </row>
    <row r="79" customFormat="false" ht="54.75" hidden="false" customHeight="true" outlineLevel="0" collapsed="false">
      <c r="A79" s="23"/>
      <c r="B79" s="23" t="s">
        <v>857</v>
      </c>
      <c r="C79" s="23"/>
      <c r="D79" s="23"/>
      <c r="E79" s="23"/>
      <c r="F79" s="23"/>
      <c r="G79" s="62" t="n">
        <f aca="false">SUM(G62:G77)</f>
        <v>90</v>
      </c>
      <c r="H79" s="23"/>
      <c r="I79" s="23"/>
      <c r="J79" s="19" t="s">
        <v>858</v>
      </c>
    </row>
    <row r="80" customFormat="false" ht="19.5" hidden="false" customHeight="true" outlineLevel="0" collapsed="false">
      <c r="A80" s="23"/>
      <c r="B80" s="23" t="s">
        <v>859</v>
      </c>
      <c r="C80" s="23"/>
      <c r="D80" s="23"/>
      <c r="E80" s="23"/>
      <c r="F80" s="62" t="n">
        <f aca="false">ROUND(F78/26,1)</f>
        <v>18.5</v>
      </c>
      <c r="G80" s="23"/>
      <c r="H80" s="23"/>
      <c r="I80" s="23"/>
      <c r="J80" s="19" t="s">
        <v>860</v>
      </c>
    </row>
    <row r="81" customFormat="false" ht="42" hidden="false" customHeight="true" outlineLevel="0" collapsed="false">
      <c r="A81" s="23"/>
      <c r="B81" s="23" t="s">
        <v>861</v>
      </c>
      <c r="C81" s="23"/>
      <c r="D81" s="23"/>
      <c r="E81" s="23"/>
      <c r="F81" s="62" t="n">
        <f aca="false">85*6</f>
        <v>510</v>
      </c>
      <c r="G81" s="23"/>
      <c r="H81" s="23"/>
      <c r="I81" s="23"/>
      <c r="J81" s="19" t="s">
        <v>862</v>
      </c>
    </row>
    <row r="82" customFormat="false" ht="29.25" hidden="false" customHeight="true" outlineLevel="0" collapsed="false">
      <c r="A82" s="23"/>
      <c r="B82" s="23" t="s">
        <v>863</v>
      </c>
      <c r="C82" s="23"/>
      <c r="D82" s="23"/>
      <c r="E82" s="23"/>
      <c r="F82" s="23"/>
      <c r="G82" s="23"/>
      <c r="H82" s="63" t="n">
        <f aca="false">SUM(H62:H77)+18</f>
        <v>60</v>
      </c>
      <c r="I82" s="63" t="n">
        <f aca="false">SUM(I62:I77)+18</f>
        <v>90</v>
      </c>
      <c r="J82" s="19" t="s">
        <v>864</v>
      </c>
    </row>
    <row r="83" customFormat="false" ht="118.5" hidden="false" customHeight="true" outlineLevel="0" collapsed="false">
      <c r="A83" s="23"/>
      <c r="B83" s="23" t="s">
        <v>865</v>
      </c>
      <c r="C83" s="23"/>
      <c r="D83" s="23"/>
      <c r="E83" s="23"/>
      <c r="F83" s="23"/>
      <c r="G83" s="23"/>
      <c r="H83" s="63" t="n">
        <f aca="false">H82-44</f>
        <v>16</v>
      </c>
      <c r="I83" s="63" t="n">
        <f aca="false">I82-62</f>
        <v>28</v>
      </c>
      <c r="J83" s="19" t="s">
        <v>866</v>
      </c>
    </row>
    <row r="84" customFormat="false" ht="29.25" hidden="false" customHeight="true" outlineLevel="0" collapsed="false">
      <c r="A84" s="23"/>
      <c r="B84" s="23" t="s">
        <v>867</v>
      </c>
      <c r="C84" s="23"/>
      <c r="D84" s="23"/>
      <c r="E84" s="23"/>
      <c r="F84" s="23"/>
      <c r="G84" s="23"/>
      <c r="H84" s="63" t="n">
        <f aca="false">H82-H83</f>
        <v>44</v>
      </c>
      <c r="I84" s="63" t="n">
        <f aca="false">I82-I83</f>
        <v>62</v>
      </c>
      <c r="J84" s="19" t="s">
        <v>868</v>
      </c>
    </row>
    <row r="85" customFormat="false" ht="31.5" hidden="false" customHeight="true" outlineLevel="0" collapsed="false">
      <c r="A85" s="13" t="s">
        <v>92</v>
      </c>
      <c r="B85" s="13" t="s">
        <v>869</v>
      </c>
      <c r="C85" s="13" t="s">
        <v>870</v>
      </c>
      <c r="D85" s="13" t="s">
        <v>871</v>
      </c>
      <c r="E85" s="13" t="s">
        <v>872</v>
      </c>
      <c r="F85" s="13" t="s">
        <v>873</v>
      </c>
      <c r="G85" s="13"/>
      <c r="H85" s="13"/>
      <c r="I85" s="13"/>
      <c r="J85" s="13" t="s">
        <v>603</v>
      </c>
    </row>
    <row r="86" customFormat="false" ht="18" hidden="false" customHeight="true" outlineLevel="0" collapsed="false">
      <c r="A86" s="16" t="s">
        <v>874</v>
      </c>
      <c r="B86" s="17" t="s">
        <v>875</v>
      </c>
      <c r="C86" s="54" t="n">
        <v>3</v>
      </c>
      <c r="D86" s="54" t="n">
        <f aca="false">C86*6</f>
        <v>18</v>
      </c>
      <c r="E86" s="54" t="n">
        <v>12</v>
      </c>
      <c r="F86" s="64" t="n">
        <f aca="false">ROUND(E86/6,1)</f>
        <v>2</v>
      </c>
      <c r="G86" s="16"/>
      <c r="H86" s="16"/>
      <c r="I86" s="16"/>
      <c r="J86" s="19"/>
    </row>
    <row r="87" customFormat="false" ht="18" hidden="false" customHeight="true" outlineLevel="0" collapsed="false">
      <c r="A87" s="16" t="s">
        <v>876</v>
      </c>
      <c r="B87" s="17" t="s">
        <v>877</v>
      </c>
      <c r="C87" s="54" t="n">
        <v>5</v>
      </c>
      <c r="D87" s="54" t="n">
        <f aca="false">C87*6</f>
        <v>30</v>
      </c>
      <c r="E87" s="54" t="n">
        <v>12</v>
      </c>
      <c r="F87" s="64" t="n">
        <f aca="false">ROUND(E87/6,1)</f>
        <v>2</v>
      </c>
      <c r="G87" s="16"/>
      <c r="H87" s="16"/>
      <c r="I87" s="16"/>
      <c r="J87" s="19"/>
    </row>
    <row r="88" customFormat="false" ht="29.25" hidden="false" customHeight="true" outlineLevel="0" collapsed="false">
      <c r="A88" s="16" t="s">
        <v>878</v>
      </c>
      <c r="B88" s="17" t="s">
        <v>879</v>
      </c>
      <c r="C88" s="54" t="n">
        <v>5</v>
      </c>
      <c r="D88" s="54" t="n">
        <f aca="false">C88*6</f>
        <v>30</v>
      </c>
      <c r="E88" s="54" t="n">
        <v>16</v>
      </c>
      <c r="F88" s="64" t="n">
        <f aca="false">ROUND(E88/6,1)</f>
        <v>2.7</v>
      </c>
      <c r="G88" s="16"/>
      <c r="H88" s="16"/>
      <c r="I88" s="16"/>
      <c r="J88" s="19"/>
    </row>
    <row r="89" customFormat="false" ht="29.25" hidden="false" customHeight="true" outlineLevel="0" collapsed="false">
      <c r="A89" s="16" t="s">
        <v>880</v>
      </c>
      <c r="B89" s="17" t="s">
        <v>881</v>
      </c>
      <c r="C89" s="54" t="n">
        <v>4</v>
      </c>
      <c r="D89" s="54" t="n">
        <f aca="false">C89*6</f>
        <v>24</v>
      </c>
      <c r="E89" s="54" t="n">
        <v>32</v>
      </c>
      <c r="F89" s="64" t="n">
        <f aca="false">ROUND(E89/6,1)</f>
        <v>5.3</v>
      </c>
      <c r="G89" s="16"/>
      <c r="H89" s="16"/>
      <c r="I89" s="16"/>
      <c r="J89" s="19"/>
    </row>
    <row r="90" customFormat="false" ht="30" hidden="false" customHeight="true" outlineLevel="0" collapsed="false">
      <c r="A90" s="16" t="s">
        <v>882</v>
      </c>
      <c r="B90" s="17" t="s">
        <v>883</v>
      </c>
      <c r="C90" s="54" t="n">
        <v>4</v>
      </c>
      <c r="D90" s="54" t="n">
        <f aca="false">C90*6</f>
        <v>24</v>
      </c>
      <c r="E90" s="54" t="n">
        <v>25</v>
      </c>
      <c r="F90" s="64" t="n">
        <f aca="false">ROUND(E90/5,1)</f>
        <v>5</v>
      </c>
      <c r="G90" s="16"/>
      <c r="H90" s="16"/>
      <c r="I90" s="16"/>
      <c r="J90" s="19"/>
    </row>
    <row r="91" customFormat="false" ht="18" hidden="false" customHeight="true" outlineLevel="0" collapsed="false">
      <c r="A91" s="16" t="s">
        <v>884</v>
      </c>
      <c r="B91" s="17" t="s">
        <v>885</v>
      </c>
      <c r="C91" s="54" t="n">
        <v>4</v>
      </c>
      <c r="D91" s="54" t="n">
        <f aca="false">C91*6</f>
        <v>24</v>
      </c>
      <c r="E91" s="54" t="n">
        <v>30</v>
      </c>
      <c r="F91" s="64" t="n">
        <f aca="false">ROUND(E91/6,1)</f>
        <v>5</v>
      </c>
      <c r="G91" s="16"/>
      <c r="H91" s="16"/>
      <c r="I91" s="16"/>
      <c r="J91" s="19"/>
    </row>
    <row r="92" customFormat="false" ht="30" hidden="false" customHeight="true" outlineLevel="0" collapsed="false">
      <c r="A92" s="16" t="s">
        <v>886</v>
      </c>
      <c r="B92" s="17" t="s">
        <v>887</v>
      </c>
      <c r="C92" s="54" t="n">
        <v>4</v>
      </c>
      <c r="D92" s="54" t="n">
        <f aca="false">C92*6</f>
        <v>24</v>
      </c>
      <c r="E92" s="54" t="n">
        <v>30</v>
      </c>
      <c r="F92" s="64" t="n">
        <f aca="false">ROUND(E92/6,1)</f>
        <v>5</v>
      </c>
      <c r="G92" s="16"/>
      <c r="H92" s="16"/>
      <c r="I92" s="16"/>
      <c r="J92" s="19"/>
    </row>
    <row r="93" customFormat="false" ht="18" hidden="false" customHeight="true" outlineLevel="0" collapsed="false">
      <c r="A93" s="16" t="s">
        <v>888</v>
      </c>
      <c r="B93" s="17" t="s">
        <v>889</v>
      </c>
      <c r="C93" s="54" t="n">
        <v>4</v>
      </c>
      <c r="D93" s="54" t="n">
        <f aca="false">C93*6</f>
        <v>24</v>
      </c>
      <c r="E93" s="54" t="n">
        <v>30</v>
      </c>
      <c r="F93" s="64" t="n">
        <f aca="false">ROUND(E93/6,1)</f>
        <v>5</v>
      </c>
      <c r="G93" s="16"/>
      <c r="H93" s="16"/>
      <c r="I93" s="16"/>
      <c r="J93" s="19"/>
    </row>
    <row r="94" customFormat="false" ht="30" hidden="false" customHeight="true" outlineLevel="0" collapsed="false">
      <c r="A94" s="16" t="s">
        <v>890</v>
      </c>
      <c r="B94" s="17" t="s">
        <v>891</v>
      </c>
      <c r="C94" s="54" t="n">
        <v>6</v>
      </c>
      <c r="D94" s="54" t="n">
        <f aca="false">C94*6</f>
        <v>36</v>
      </c>
      <c r="E94" s="54" t="n">
        <v>43</v>
      </c>
      <c r="F94" s="64" t="n">
        <f aca="false">ROUND(E94/6,1)</f>
        <v>7.2</v>
      </c>
      <c r="G94" s="16"/>
      <c r="H94" s="16"/>
      <c r="I94" s="16"/>
      <c r="J94" s="19"/>
    </row>
    <row r="95" customFormat="false" ht="30" hidden="false" customHeight="true" outlineLevel="0" collapsed="false">
      <c r="A95" s="16" t="s">
        <v>892</v>
      </c>
      <c r="B95" s="17" t="s">
        <v>893</v>
      </c>
      <c r="C95" s="54" t="n">
        <v>12</v>
      </c>
      <c r="D95" s="54" t="n">
        <f aca="false">C95*6</f>
        <v>72</v>
      </c>
      <c r="E95" s="54" t="n">
        <v>60</v>
      </c>
      <c r="F95" s="64" t="n">
        <f aca="false">ROUND(E95/6,1)</f>
        <v>10</v>
      </c>
      <c r="G95" s="16"/>
      <c r="H95" s="16"/>
      <c r="I95" s="16"/>
      <c r="J95" s="19"/>
    </row>
    <row r="96" customFormat="false" ht="30" hidden="false" customHeight="true" outlineLevel="0" collapsed="false">
      <c r="A96" s="16" t="s">
        <v>894</v>
      </c>
      <c r="B96" s="17" t="s">
        <v>895</v>
      </c>
      <c r="C96" s="54" t="n">
        <v>10</v>
      </c>
      <c r="D96" s="54" t="n">
        <f aca="false">C96*6</f>
        <v>60</v>
      </c>
      <c r="E96" s="54" t="n">
        <v>50</v>
      </c>
      <c r="F96" s="64" t="n">
        <f aca="false">ROUND(E96/6,1)</f>
        <v>8.3</v>
      </c>
      <c r="G96" s="16"/>
      <c r="H96" s="16"/>
      <c r="I96" s="16"/>
      <c r="J96" s="19"/>
    </row>
    <row r="97" customFormat="false" ht="30" hidden="false" customHeight="true" outlineLevel="0" collapsed="false">
      <c r="A97" s="16" t="s">
        <v>896</v>
      </c>
      <c r="B97" s="17" t="s">
        <v>897</v>
      </c>
      <c r="C97" s="54" t="n">
        <v>8</v>
      </c>
      <c r="D97" s="54" t="n">
        <f aca="false">C97*6</f>
        <v>48</v>
      </c>
      <c r="E97" s="54" t="n">
        <v>63</v>
      </c>
      <c r="F97" s="64" t="n">
        <f aca="false">ROUND(E97/6,1)</f>
        <v>10.5</v>
      </c>
      <c r="G97" s="16"/>
      <c r="H97" s="16"/>
      <c r="I97" s="16"/>
      <c r="J97" s="19"/>
    </row>
    <row r="98" customFormat="false" ht="18" hidden="false" customHeight="true" outlineLevel="0" collapsed="false">
      <c r="A98" s="16" t="s">
        <v>898</v>
      </c>
      <c r="B98" s="17" t="s">
        <v>899</v>
      </c>
      <c r="C98" s="54" t="n">
        <v>6</v>
      </c>
      <c r="D98" s="54" t="n">
        <f aca="false">C98*6</f>
        <v>36</v>
      </c>
      <c r="E98" s="54" t="n">
        <v>28</v>
      </c>
      <c r="F98" s="64" t="n">
        <f aca="false">ROUND(E98/6,1)</f>
        <v>4.7</v>
      </c>
      <c r="G98" s="16"/>
      <c r="H98" s="16"/>
      <c r="I98" s="16"/>
      <c r="J98" s="19"/>
    </row>
    <row r="99" customFormat="false" ht="29.25" hidden="false" customHeight="true" outlineLevel="0" collapsed="false">
      <c r="A99" s="16" t="s">
        <v>900</v>
      </c>
      <c r="B99" s="17" t="s">
        <v>901</v>
      </c>
      <c r="C99" s="54" t="n">
        <v>5</v>
      </c>
      <c r="D99" s="54" t="n">
        <f aca="false">C99*6</f>
        <v>30</v>
      </c>
      <c r="E99" s="54" t="n">
        <v>24</v>
      </c>
      <c r="F99" s="64" t="n">
        <f aca="false">ROUND(E99/6,1)</f>
        <v>4</v>
      </c>
      <c r="G99" s="16"/>
      <c r="H99" s="16"/>
      <c r="I99" s="16"/>
      <c r="J99" s="19"/>
    </row>
    <row r="100" customFormat="false" ht="18" hidden="false" customHeight="true" outlineLevel="0" collapsed="false">
      <c r="A100" s="16" t="s">
        <v>902</v>
      </c>
      <c r="B100" s="17" t="s">
        <v>903</v>
      </c>
      <c r="C100" s="54" t="n">
        <v>3</v>
      </c>
      <c r="D100" s="54" t="n">
        <f aca="false">C100*6</f>
        <v>18</v>
      </c>
      <c r="E100" s="54" t="n">
        <v>25</v>
      </c>
      <c r="F100" s="64" t="n">
        <f aca="false">ROUND(E100/6,1)</f>
        <v>4.2</v>
      </c>
      <c r="G100" s="16"/>
      <c r="H100" s="16"/>
      <c r="I100" s="16"/>
      <c r="J100" s="19"/>
    </row>
    <row r="101" customFormat="false" ht="18" hidden="false" customHeight="true" outlineLevel="0" collapsed="false">
      <c r="A101" s="16" t="s">
        <v>904</v>
      </c>
      <c r="B101" s="17" t="s">
        <v>905</v>
      </c>
      <c r="C101" s="54" t="n">
        <v>2</v>
      </c>
      <c r="D101" s="54" t="n">
        <f aca="false">C101*6</f>
        <v>12</v>
      </c>
      <c r="E101" s="54" t="n">
        <v>0</v>
      </c>
      <c r="F101" s="64" t="n">
        <f aca="false">ROUND(E101/6,1)</f>
        <v>0</v>
      </c>
      <c r="G101" s="16"/>
      <c r="H101" s="16"/>
      <c r="I101" s="16"/>
      <c r="J101" s="19"/>
    </row>
    <row r="102" customFormat="false" ht="80.25" hidden="false" customHeight="true" outlineLevel="0" collapsed="false">
      <c r="A102" s="23"/>
      <c r="B102" s="23" t="s">
        <v>906</v>
      </c>
      <c r="C102" s="23"/>
      <c r="D102" s="62" t="n">
        <f aca="false">SUM(D86:D101)</f>
        <v>510</v>
      </c>
      <c r="E102" s="62" t="n">
        <f aca="false">SUM(E86:E101)</f>
        <v>480</v>
      </c>
      <c r="F102" s="23"/>
      <c r="G102" s="23"/>
      <c r="H102" s="23"/>
      <c r="I102" s="23"/>
      <c r="J102" s="19" t="s">
        <v>907</v>
      </c>
    </row>
    <row r="103" customFormat="false" ht="31.5" hidden="false" customHeight="true" outlineLevel="0" collapsed="false">
      <c r="A103" s="13" t="s">
        <v>92</v>
      </c>
      <c r="B103" s="13" t="s">
        <v>908</v>
      </c>
      <c r="C103" s="13" t="s">
        <v>909</v>
      </c>
      <c r="D103" s="13" t="s">
        <v>910</v>
      </c>
      <c r="E103" s="13" t="s">
        <v>911</v>
      </c>
      <c r="F103" s="13" t="s">
        <v>912</v>
      </c>
      <c r="G103" s="13"/>
      <c r="H103" s="13"/>
      <c r="I103" s="13"/>
      <c r="J103" s="13" t="s">
        <v>913</v>
      </c>
    </row>
    <row r="104" customFormat="false" ht="80.25" hidden="false" customHeight="true" outlineLevel="0" collapsed="false">
      <c r="A104" s="16" t="s">
        <v>914</v>
      </c>
      <c r="B104" s="17" t="s">
        <v>915</v>
      </c>
      <c r="C104" s="58" t="n">
        <f aca="false">F47</f>
        <v>46256</v>
      </c>
      <c r="D104" s="58" t="n">
        <f aca="false">G47</f>
        <v>46379</v>
      </c>
      <c r="E104" s="54" t="n">
        <f aca="false">D104-C104+1</f>
        <v>124</v>
      </c>
      <c r="F104" s="65" t="n">
        <f aca="false">ROUND(E104/$C$15,1)</f>
        <v>4.1</v>
      </c>
      <c r="G104" s="16"/>
      <c r="H104" s="16"/>
      <c r="I104" s="16"/>
      <c r="J104" s="19" t="s">
        <v>916</v>
      </c>
    </row>
    <row r="105" customFormat="false" ht="54.75" hidden="false" customHeight="true" outlineLevel="0" collapsed="false">
      <c r="A105" s="16" t="s">
        <v>917</v>
      </c>
      <c r="B105" s="17" t="s">
        <v>918</v>
      </c>
      <c r="C105" s="58" t="n">
        <f aca="false">F47</f>
        <v>46256</v>
      </c>
      <c r="D105" s="58" t="n">
        <f aca="false">G47</f>
        <v>46379</v>
      </c>
      <c r="E105" s="54" t="n">
        <f aca="false">D105-C105+1</f>
        <v>124</v>
      </c>
      <c r="F105" s="65" t="n">
        <f aca="false">ROUND(E105/$C$15,1)</f>
        <v>4.1</v>
      </c>
      <c r="G105" s="16"/>
      <c r="H105" s="16"/>
      <c r="I105" s="16"/>
      <c r="J105" s="19" t="s">
        <v>919</v>
      </c>
    </row>
    <row r="106" customFormat="false" ht="42" hidden="false" customHeight="true" outlineLevel="0" collapsed="false">
      <c r="A106" s="16" t="s">
        <v>920</v>
      </c>
      <c r="B106" s="17" t="s">
        <v>921</v>
      </c>
      <c r="C106" s="58" t="n">
        <f aca="false">F21</f>
        <v>46261</v>
      </c>
      <c r="D106" s="58" t="n">
        <f aca="false">G43</f>
        <v>46371</v>
      </c>
      <c r="E106" s="54" t="n">
        <f aca="false">D106-C106+1</f>
        <v>111</v>
      </c>
      <c r="F106" s="65" t="n">
        <f aca="false">ROUND(E106/$C$15,1)</f>
        <v>3.7</v>
      </c>
      <c r="G106" s="16"/>
      <c r="H106" s="16"/>
      <c r="I106" s="16"/>
      <c r="J106" s="19" t="s">
        <v>922</v>
      </c>
    </row>
    <row r="107" customFormat="false" ht="42" hidden="false" customHeight="true" outlineLevel="0" collapsed="false">
      <c r="A107" s="16" t="s">
        <v>923</v>
      </c>
      <c r="B107" s="17" t="s">
        <v>924</v>
      </c>
      <c r="C107" s="58" t="n">
        <f aca="false">F47</f>
        <v>46256</v>
      </c>
      <c r="D107" s="58" t="n">
        <f aca="false">G47</f>
        <v>46379</v>
      </c>
      <c r="E107" s="54" t="n">
        <f aca="false">D107-C107+1</f>
        <v>124</v>
      </c>
      <c r="F107" s="65" t="n">
        <f aca="false">ROUND(E107/$C$15,1)</f>
        <v>4.1</v>
      </c>
      <c r="G107" s="16"/>
      <c r="H107" s="16"/>
      <c r="I107" s="16"/>
      <c r="J107" s="19" t="s">
        <v>925</v>
      </c>
    </row>
    <row r="108" customFormat="false" ht="42" hidden="false" customHeight="true" outlineLevel="0" collapsed="false">
      <c r="A108" s="16" t="s">
        <v>926</v>
      </c>
      <c r="B108" s="17" t="s">
        <v>927</v>
      </c>
      <c r="C108" s="58" t="n">
        <f aca="false">$C$377</f>
        <v>46273</v>
      </c>
      <c r="D108" s="58" t="n">
        <f aca="false">G43</f>
        <v>46371</v>
      </c>
      <c r="E108" s="54" t="n">
        <f aca="false">D108-C108+1</f>
        <v>99</v>
      </c>
      <c r="F108" s="65" t="n">
        <f aca="false">ROUND(E108/$C$15,1)</f>
        <v>3.3</v>
      </c>
      <c r="G108" s="16"/>
      <c r="H108" s="16"/>
      <c r="I108" s="16"/>
      <c r="J108" s="19" t="s">
        <v>928</v>
      </c>
    </row>
    <row r="110" customFormat="false" ht="21" hidden="false" customHeight="true" outlineLevel="0" collapsed="false">
      <c r="A110" s="15" t="s">
        <v>929</v>
      </c>
      <c r="B110" s="15"/>
      <c r="C110" s="15"/>
      <c r="D110" s="15"/>
      <c r="E110" s="15"/>
      <c r="F110" s="15"/>
      <c r="G110" s="15"/>
      <c r="H110" s="15"/>
      <c r="I110" s="15"/>
      <c r="J110" s="15"/>
    </row>
    <row r="111" customFormat="false" ht="43.5" hidden="false" customHeight="true" outlineLevel="0" collapsed="false">
      <c r="A111" s="11" t="s">
        <v>930</v>
      </c>
      <c r="B111" s="11"/>
      <c r="C111" s="11"/>
      <c r="D111" s="11"/>
      <c r="E111" s="11"/>
      <c r="F111" s="11"/>
      <c r="G111" s="11"/>
      <c r="H111" s="11"/>
      <c r="I111" s="11"/>
      <c r="J111" s="11"/>
    </row>
    <row r="112" customFormat="false" ht="42" hidden="false" customHeight="true" outlineLevel="0" collapsed="false">
      <c r="A112" s="13" t="s">
        <v>92</v>
      </c>
      <c r="B112" s="13" t="s">
        <v>931</v>
      </c>
      <c r="C112" s="13" t="s">
        <v>37</v>
      </c>
      <c r="D112" s="13" t="s">
        <v>39</v>
      </c>
      <c r="E112" s="13" t="s">
        <v>932</v>
      </c>
      <c r="F112" s="13" t="s">
        <v>933</v>
      </c>
      <c r="G112" s="13" t="s">
        <v>934</v>
      </c>
      <c r="H112" s="13" t="s">
        <v>935</v>
      </c>
      <c r="I112" s="13" t="s">
        <v>936</v>
      </c>
      <c r="J112" s="13" t="s">
        <v>937</v>
      </c>
    </row>
    <row r="113" customFormat="false" ht="30" hidden="false" customHeight="true" outlineLevel="0" collapsed="false">
      <c r="A113" s="16" t="s">
        <v>94</v>
      </c>
      <c r="B113" s="17" t="str">
        <f aca="false">'Build-Up'!B9</f>
        <v>Site engineer - dedicated to the tank site</v>
      </c>
      <c r="C113" s="16" t="str">
        <f aca="false">'Build-Up'!C9</f>
        <v>month</v>
      </c>
      <c r="D113" s="18" t="n">
        <f aca="false">'Build-Up'!E9</f>
        <v>12000</v>
      </c>
      <c r="E113" s="18" t="n">
        <v>3</v>
      </c>
      <c r="F113" s="18" t="n">
        <f aca="false">ROUND(E47/$C$15,1)</f>
        <v>4.1</v>
      </c>
      <c r="G113" s="20" t="n">
        <f aca="false">F104</f>
        <v>4.1</v>
      </c>
      <c r="H113" s="18" t="n">
        <f aca="false">ROUND(F113*D113,2)</f>
        <v>49200</v>
      </c>
      <c r="I113" s="18" t="n">
        <f aca="false">ROUND(G113*D113,2)</f>
        <v>49200</v>
      </c>
      <c r="J113" s="19" t="s">
        <v>938</v>
      </c>
    </row>
    <row r="114" customFormat="false" ht="30" hidden="false" customHeight="true" outlineLevel="0" collapsed="false">
      <c r="A114" s="16" t="s">
        <v>98</v>
      </c>
      <c r="B114" s="17" t="str">
        <f aca="false">'Build-Up'!B10</f>
        <v>HSE officer - dedicated</v>
      </c>
      <c r="C114" s="16" t="str">
        <f aca="false">'Build-Up'!C10</f>
        <v>month</v>
      </c>
      <c r="D114" s="18" t="n">
        <f aca="false">'Build-Up'!E10</f>
        <v>10000</v>
      </c>
      <c r="E114" s="18" t="n">
        <v>3</v>
      </c>
      <c r="F114" s="18" t="n">
        <f aca="false">ROUND(E47/$C$15,1)</f>
        <v>4.1</v>
      </c>
      <c r="G114" s="20" t="n">
        <f aca="false">F105</f>
        <v>4.1</v>
      </c>
      <c r="H114" s="18" t="n">
        <f aca="false">ROUND(F114*D114,2)</f>
        <v>41000</v>
      </c>
      <c r="I114" s="18" t="n">
        <f aca="false">ROUND(G114*D114,2)</f>
        <v>41000</v>
      </c>
      <c r="J114" s="19" t="s">
        <v>939</v>
      </c>
    </row>
    <row r="115" customFormat="false" ht="30" hidden="false" customHeight="true" outlineLevel="0" collapsed="false">
      <c r="A115" s="16" t="s">
        <v>101</v>
      </c>
      <c r="B115" s="17" t="str">
        <f aca="false">'Build-Up'!B11</f>
        <v>QA/QC inspector - dedicated (daily inspections, ITPs and WIRs during erection)</v>
      </c>
      <c r="C115" s="16" t="str">
        <f aca="false">'Build-Up'!C11</f>
        <v>month</v>
      </c>
      <c r="D115" s="18" t="n">
        <f aca="false">'Build-Up'!E11</f>
        <v>10000</v>
      </c>
      <c r="E115" s="18" t="n">
        <v>3</v>
      </c>
      <c r="F115" s="18" t="n">
        <f aca="false">ROUND(E47/$C$15,1)</f>
        <v>4.1</v>
      </c>
      <c r="G115" s="20" t="n">
        <f aca="false">F106</f>
        <v>3.7</v>
      </c>
      <c r="H115" s="18" t="n">
        <f aca="false">ROUND(F115*D115,2)</f>
        <v>41000</v>
      </c>
      <c r="I115" s="18" t="n">
        <f aca="false">ROUND(G115*D115,2)</f>
        <v>37000</v>
      </c>
      <c r="J115" s="19" t="s">
        <v>940</v>
      </c>
    </row>
    <row r="116" customFormat="false" ht="30" hidden="false" customHeight="true" outlineLevel="0" collapsed="false">
      <c r="A116" s="16" t="s">
        <v>104</v>
      </c>
      <c r="B116" s="17" t="str">
        <f aca="false">'Build-Up'!B12</f>
        <v>Works foreman - dedicated</v>
      </c>
      <c r="C116" s="16" t="str">
        <f aca="false">'Build-Up'!C12</f>
        <v>month</v>
      </c>
      <c r="D116" s="18" t="n">
        <f aca="false">'Build-Up'!E12</f>
        <v>8000</v>
      </c>
      <c r="E116" s="18" t="n">
        <v>3</v>
      </c>
      <c r="F116" s="18" t="n">
        <f aca="false">ROUND(E47/$C$15,1)</f>
        <v>4.1</v>
      </c>
      <c r="G116" s="20" t="n">
        <f aca="false">F107</f>
        <v>4.1</v>
      </c>
      <c r="H116" s="18" t="n">
        <f aca="false">ROUND(F116*D116,2)</f>
        <v>32800</v>
      </c>
      <c r="I116" s="18" t="n">
        <f aca="false">ROUND(G116*D116,2)</f>
        <v>32800</v>
      </c>
      <c r="J116" s="19" t="s">
        <v>941</v>
      </c>
    </row>
    <row r="117" customFormat="false" ht="30" hidden="false" customHeight="true" outlineLevel="0" collapsed="false">
      <c r="A117" s="16" t="s">
        <v>107</v>
      </c>
      <c r="B117" s="17" t="str">
        <f aca="false">'Build-Up'!B13</f>
        <v>Storekeeper / timekeeper</v>
      </c>
      <c r="C117" s="16" t="str">
        <f aca="false">'Build-Up'!C13</f>
        <v>month</v>
      </c>
      <c r="D117" s="18" t="n">
        <f aca="false">'Build-Up'!E13</f>
        <v>4000</v>
      </c>
      <c r="E117" s="18" t="n">
        <v>3</v>
      </c>
      <c r="F117" s="18" t="n">
        <f aca="false">ROUND(E47/$C$15,1)</f>
        <v>4.1</v>
      </c>
      <c r="G117" s="20" t="n">
        <f aca="false">F108</f>
        <v>3.3</v>
      </c>
      <c r="H117" s="18" t="n">
        <f aca="false">ROUND(F117*D117,2)</f>
        <v>16400</v>
      </c>
      <c r="I117" s="18" t="n">
        <f aca="false">ROUND(G117*D117,2)</f>
        <v>13200</v>
      </c>
      <c r="J117" s="19" t="s">
        <v>942</v>
      </c>
    </row>
    <row r="118" customFormat="false" ht="30" hidden="false" customHeight="true" outlineLevel="0" collapsed="false">
      <c r="A118" s="16" t="s">
        <v>110</v>
      </c>
      <c r="B118" s="17" t="str">
        <f aca="false">'Build-Up'!B14</f>
        <v>Site office porta cabin, air-conditioned, rental with electricity connection and maintenance</v>
      </c>
      <c r="C118" s="16" t="str">
        <f aca="false">'Build-Up'!C14</f>
        <v>month</v>
      </c>
      <c r="D118" s="18" t="n">
        <f aca="false">'Build-Up'!E14</f>
        <v>2200</v>
      </c>
      <c r="E118" s="18" t="n">
        <v>3</v>
      </c>
      <c r="F118" s="18" t="n">
        <f aca="false">ROUND(E47/$C$15,1)</f>
        <v>4.1</v>
      </c>
      <c r="G118" s="20" t="n">
        <f aca="false">ROUND(H47/$C$15,1)</f>
        <v>4.1</v>
      </c>
      <c r="H118" s="18" t="n">
        <f aca="false">ROUND(F118*D118,2)</f>
        <v>9020</v>
      </c>
      <c r="I118" s="18" t="n">
        <f aca="false">ROUND(G118*D118,2)</f>
        <v>9020</v>
      </c>
      <c r="J118" s="19" t="s">
        <v>943</v>
      </c>
    </row>
    <row r="119" customFormat="false" ht="30" hidden="false" customHeight="true" outlineLevel="0" collapsed="false">
      <c r="A119" s="16" t="s">
        <v>113</v>
      </c>
      <c r="B119" s="17" t="str">
        <f aca="false">'Build-Up'!B15</f>
        <v>Rest and welfare porta cabin, air-conditioned, rental with electricity connection and maintenance</v>
      </c>
      <c r="C119" s="16" t="str">
        <f aca="false">'Build-Up'!C15</f>
        <v>month</v>
      </c>
      <c r="D119" s="18" t="n">
        <f aca="false">'Build-Up'!E15</f>
        <v>2200</v>
      </c>
      <c r="E119" s="18" t="n">
        <v>3</v>
      </c>
      <c r="F119" s="18" t="n">
        <f aca="false">ROUND(E47/$C$15,1)</f>
        <v>4.1</v>
      </c>
      <c r="G119" s="20" t="n">
        <f aca="false">ROUND(H47/$C$15,1)</f>
        <v>4.1</v>
      </c>
      <c r="H119" s="18" t="n">
        <f aca="false">ROUND(F119*D119,2)</f>
        <v>9020</v>
      </c>
      <c r="I119" s="18" t="n">
        <f aca="false">ROUND(G119*D119,2)</f>
        <v>9020</v>
      </c>
      <c r="J119" s="19" t="s">
        <v>943</v>
      </c>
    </row>
    <row r="120" customFormat="false" ht="30" hidden="false" customHeight="true" outlineLevel="0" collapsed="false">
      <c r="A120" s="16" t="s">
        <v>115</v>
      </c>
      <c r="B120" s="17" t="str">
        <f aca="false">'Build-Up'!B16</f>
        <v>WC unit, rental with servicing</v>
      </c>
      <c r="C120" s="16" t="str">
        <f aca="false">'Build-Up'!C16</f>
        <v>month</v>
      </c>
      <c r="D120" s="18" t="n">
        <f aca="false">'Build-Up'!E16</f>
        <v>1300</v>
      </c>
      <c r="E120" s="18" t="n">
        <v>3</v>
      </c>
      <c r="F120" s="18" t="n">
        <f aca="false">ROUND(E47/$C$15,1)</f>
        <v>4.1</v>
      </c>
      <c r="G120" s="20" t="n">
        <f aca="false">ROUND(H47/$C$15,1)</f>
        <v>4.1</v>
      </c>
      <c r="H120" s="18" t="n">
        <f aca="false">ROUND(F120*D120,2)</f>
        <v>5330</v>
      </c>
      <c r="I120" s="18" t="n">
        <f aca="false">ROUND(G120*D120,2)</f>
        <v>5330</v>
      </c>
      <c r="J120" s="19" t="s">
        <v>943</v>
      </c>
    </row>
    <row r="121" customFormat="false" ht="30" hidden="false" customHeight="true" outlineLevel="0" collapsed="false">
      <c r="A121" s="16" t="s">
        <v>117</v>
      </c>
      <c r="B121" s="17" t="str">
        <f aca="false">'Build-Up'!B17</f>
        <v>Site water supply - tankered deliveries for welfare and general site use, whole period</v>
      </c>
      <c r="C121" s="16" t="str">
        <f aca="false">'Build-Up'!C17</f>
        <v>delivery</v>
      </c>
      <c r="D121" s="18" t="n">
        <f aca="false">'Build-Up'!E17</f>
        <v>350</v>
      </c>
      <c r="E121" s="18" t="n">
        <v>26</v>
      </c>
      <c r="F121" s="18" t="n">
        <f aca="false">2*ROUNDUP(E47/7,0)</f>
        <v>36</v>
      </c>
      <c r="G121" s="20" t="n">
        <f aca="false">2*ROUNDUP(H47/7,0)</f>
        <v>36</v>
      </c>
      <c r="H121" s="18" t="n">
        <f aca="false">ROUND(F121*D121,2)</f>
        <v>12600</v>
      </c>
      <c r="I121" s="18" t="n">
        <f aca="false">ROUND(G121*D121,2)</f>
        <v>12600</v>
      </c>
      <c r="J121" s="19" t="s">
        <v>944</v>
      </c>
    </row>
    <row r="122" customFormat="false" ht="30" hidden="false" customHeight="true" outlineLevel="0" collapsed="false">
      <c r="A122" s="16" t="s">
        <v>121</v>
      </c>
      <c r="B122" s="17" t="str">
        <f aca="false">'Build-Up'!B18</f>
        <v>Site water storage tank, hire</v>
      </c>
      <c r="C122" s="16" t="str">
        <f aca="false">'Build-Up'!C18</f>
        <v>month</v>
      </c>
      <c r="D122" s="18" t="n">
        <f aca="false">'Build-Up'!E18</f>
        <v>350</v>
      </c>
      <c r="E122" s="18" t="n">
        <v>3</v>
      </c>
      <c r="F122" s="18" t="n">
        <f aca="false">ROUND(E47/$C$15,1)</f>
        <v>4.1</v>
      </c>
      <c r="G122" s="20" t="n">
        <f aca="false">ROUND(H47/$C$15,1)</f>
        <v>4.1</v>
      </c>
      <c r="H122" s="18" t="n">
        <f aca="false">ROUND(F122*D122,2)</f>
        <v>1435</v>
      </c>
      <c r="I122" s="18" t="n">
        <f aca="false">ROUND(G122*D122,2)</f>
        <v>1435</v>
      </c>
      <c r="J122" s="19" t="s">
        <v>943</v>
      </c>
    </row>
    <row r="123" customFormat="false" ht="42" hidden="false" customHeight="true" outlineLevel="0" collapsed="false">
      <c r="A123" s="16" t="s">
        <v>123</v>
      </c>
      <c r="B123" s="17" t="str">
        <f aca="false">'Build-Up'!B19</f>
        <v>Storage containers, 2 No. for the panel storage window (RFP Scope of Works, work package 1 - pre-construction and setup: safe storage of panels)</v>
      </c>
      <c r="C123" s="16" t="str">
        <f aca="false">'Build-Up'!C19</f>
        <v>container-month</v>
      </c>
      <c r="D123" s="18" t="n">
        <f aca="false">'Build-Up'!E19</f>
        <v>1200</v>
      </c>
      <c r="E123" s="18" t="n">
        <v>6</v>
      </c>
      <c r="F123" s="18" t="n">
        <f aca="false">2*ROUND(E51/$C$15,1)</f>
        <v>5.6</v>
      </c>
      <c r="G123" s="20" t="n">
        <f aca="false">2*ROUND(H51/$C$15,1)</f>
        <v>5.6</v>
      </c>
      <c r="H123" s="18" t="n">
        <f aca="false">ROUND(F123*D123,2)</f>
        <v>6720</v>
      </c>
      <c r="I123" s="18" t="n">
        <f aca="false">ROUND(G123*D123,2)</f>
        <v>6720</v>
      </c>
      <c r="J123" s="19" t="s">
        <v>945</v>
      </c>
    </row>
    <row r="124" customFormat="false" ht="54.75" hidden="false" customHeight="true" outlineLevel="0" collapsed="false">
      <c r="A124" s="16" t="s">
        <v>127</v>
      </c>
      <c r="B124" s="17" t="str">
        <f aca="false">'Build-Up'!B20</f>
        <v>Workforce transport to the tank site, daily bus</v>
      </c>
      <c r="C124" s="16" t="str">
        <f aca="false">'Build-Up'!C20</f>
        <v>month</v>
      </c>
      <c r="D124" s="18" t="n">
        <f aca="false">'Build-Up'!E20</f>
        <v>4000</v>
      </c>
      <c r="E124" s="18" t="n">
        <v>3</v>
      </c>
      <c r="F124" s="18" t="n">
        <f aca="false">ROUND(E47/$C$15,1)</f>
        <v>4.1</v>
      </c>
      <c r="G124" s="20" t="n">
        <f aca="false">ROUND(H47/$C$15,1)</f>
        <v>4.1</v>
      </c>
      <c r="H124" s="18" t="n">
        <f aca="false">ROUND(F124*D124,2)</f>
        <v>16400</v>
      </c>
      <c r="I124" s="18" t="n">
        <f aca="false">ROUND(G124*D124,2)</f>
        <v>16400</v>
      </c>
      <c r="J124" s="19" t="s">
        <v>946</v>
      </c>
    </row>
    <row r="125" customFormat="false" ht="30" hidden="false" customHeight="true" outlineLevel="0" collapsed="false">
      <c r="A125" s="16" t="s">
        <v>130</v>
      </c>
      <c r="B125" s="17" t="str">
        <f aca="false">'Build-Up'!B21</f>
        <v>Watchman for the tank site</v>
      </c>
      <c r="C125" s="16" t="str">
        <f aca="false">'Build-Up'!C21</f>
        <v>month</v>
      </c>
      <c r="D125" s="18" t="n">
        <f aca="false">'Build-Up'!E21</f>
        <v>4500</v>
      </c>
      <c r="E125" s="18" t="n">
        <v>3</v>
      </c>
      <c r="F125" s="18" t="n">
        <f aca="false">ROUND(E47/$C$15,1)</f>
        <v>4.1</v>
      </c>
      <c r="G125" s="20" t="n">
        <f aca="false">ROUND(H47/$C$15,1)</f>
        <v>4.1</v>
      </c>
      <c r="H125" s="18" t="n">
        <f aca="false">ROUND(F125*D125,2)</f>
        <v>18450</v>
      </c>
      <c r="I125" s="18" t="n">
        <f aca="false">ROUND(G125*D125,2)</f>
        <v>18450</v>
      </c>
      <c r="J125" s="19" t="s">
        <v>947</v>
      </c>
    </row>
    <row r="126" customFormat="false" ht="30" hidden="false" customHeight="true" outlineLevel="0" collapsed="false">
      <c r="A126" s="16" t="s">
        <v>232</v>
      </c>
      <c r="B126" s="17" t="str">
        <f aca="false">'Build-Up'!B74</f>
        <v>Boom truck (hiab) - offloading and erection support</v>
      </c>
      <c r="C126" s="16" t="str">
        <f aca="false">'Build-Up'!C74</f>
        <v>day</v>
      </c>
      <c r="D126" s="18" t="n">
        <f aca="false">'Build-Up'!E74</f>
        <v>1200</v>
      </c>
      <c r="E126" s="18" t="n">
        <v>50</v>
      </c>
      <c r="F126" s="18" t="n">
        <v>44</v>
      </c>
      <c r="G126" s="20" t="n">
        <f aca="false">H84</f>
        <v>44</v>
      </c>
      <c r="H126" s="18" t="n">
        <f aca="false">ROUND(F126*D126,2)</f>
        <v>52800</v>
      </c>
      <c r="I126" s="18" t="n">
        <f aca="false">ROUND(G126*D126,2)</f>
        <v>52800</v>
      </c>
      <c r="J126" s="19" t="s">
        <v>948</v>
      </c>
    </row>
    <row r="127" customFormat="false" ht="42" hidden="false" customHeight="true" outlineLevel="0" collapsed="false">
      <c r="A127" s="13" t="s">
        <v>92</v>
      </c>
      <c r="B127" s="13" t="s">
        <v>931</v>
      </c>
      <c r="C127" s="13" t="s">
        <v>37</v>
      </c>
      <c r="D127" s="13" t="s">
        <v>39</v>
      </c>
      <c r="E127" s="13" t="s">
        <v>932</v>
      </c>
      <c r="F127" s="13" t="s">
        <v>933</v>
      </c>
      <c r="G127" s="13" t="s">
        <v>934</v>
      </c>
      <c r="H127" s="13" t="s">
        <v>935</v>
      </c>
      <c r="I127" s="13" t="s">
        <v>936</v>
      </c>
      <c r="J127" s="13" t="s">
        <v>937</v>
      </c>
    </row>
    <row r="128" customFormat="false" ht="30" hidden="false" customHeight="true" outlineLevel="0" collapsed="false">
      <c r="A128" s="16" t="s">
        <v>235</v>
      </c>
      <c r="B128" s="17" t="str">
        <f aca="false">'Build-Up'!B75</f>
        <v>Telehandler / forklift</v>
      </c>
      <c r="C128" s="16" t="str">
        <f aca="false">'Build-Up'!C75</f>
        <v>day</v>
      </c>
      <c r="D128" s="18" t="n">
        <f aca="false">'Build-Up'!E75</f>
        <v>900</v>
      </c>
      <c r="E128" s="18" t="n">
        <v>50</v>
      </c>
      <c r="F128" s="18" t="n">
        <v>62</v>
      </c>
      <c r="G128" s="20" t="n">
        <f aca="false">I84</f>
        <v>62</v>
      </c>
      <c r="H128" s="18" t="n">
        <f aca="false">ROUND(F128*D128,2)</f>
        <v>55800</v>
      </c>
      <c r="I128" s="18" t="n">
        <f aca="false">ROUND(G128*D128,2)</f>
        <v>55800</v>
      </c>
      <c r="J128" s="19" t="s">
        <v>949</v>
      </c>
    </row>
    <row r="129" customFormat="false" ht="30" hidden="false" customHeight="true" outlineLevel="0" collapsed="false">
      <c r="A129" s="16" t="s">
        <v>242</v>
      </c>
      <c r="B129" s="17" t="str">
        <f aca="false">'Build-Up'!B77</f>
        <v>Mobile aluminium access towers, 2 No. for the access window, whole hire months</v>
      </c>
      <c r="C129" s="16" t="str">
        <f aca="false">'Build-Up'!C77</f>
        <v>tower-month</v>
      </c>
      <c r="D129" s="18" t="n">
        <f aca="false">'Build-Up'!E77</f>
        <v>1800</v>
      </c>
      <c r="E129" s="18" t="n">
        <v>6</v>
      </c>
      <c r="F129" s="18" t="n">
        <f aca="false">2*ROUNDUP(E50/$C$15,0)</f>
        <v>4</v>
      </c>
      <c r="G129" s="20" t="n">
        <f aca="false">2*ROUNDUP(H50/$C$15,0)</f>
        <v>4</v>
      </c>
      <c r="H129" s="18" t="n">
        <f aca="false">ROUND(F129*D129,2)</f>
        <v>7200</v>
      </c>
      <c r="I129" s="18" t="n">
        <f aca="false">ROUND(G129*D129,2)</f>
        <v>7200</v>
      </c>
      <c r="J129" s="19" t="s">
        <v>950</v>
      </c>
    </row>
    <row r="130" customFormat="false" ht="30" hidden="false" customHeight="true" outlineLevel="0" collapsed="false">
      <c r="A130" s="16" t="s">
        <v>248</v>
      </c>
      <c r="B130" s="17" t="str">
        <f aca="false">'Build-Up'!B79</f>
        <v>Podium steps, 2 No. for the access window, whole hire months</v>
      </c>
      <c r="C130" s="16" t="str">
        <f aca="false">'Build-Up'!C79</f>
        <v>unit-month</v>
      </c>
      <c r="D130" s="18" t="n">
        <f aca="false">'Build-Up'!E79</f>
        <v>350</v>
      </c>
      <c r="E130" s="18" t="n">
        <v>6</v>
      </c>
      <c r="F130" s="18" t="n">
        <f aca="false">2*ROUNDUP(E50/$C$15,0)</f>
        <v>4</v>
      </c>
      <c r="G130" s="20" t="n">
        <f aca="false">2*ROUNDUP(H50/$C$15,0)</f>
        <v>4</v>
      </c>
      <c r="H130" s="18" t="n">
        <f aca="false">ROUND(F130*D130,2)</f>
        <v>1400</v>
      </c>
      <c r="I130" s="18" t="n">
        <f aca="false">ROUND(G130*D130,2)</f>
        <v>1400</v>
      </c>
      <c r="J130" s="19" t="s">
        <v>951</v>
      </c>
    </row>
    <row r="131" customFormat="false" ht="30" hidden="false" customHeight="true" outlineLevel="0" collapsed="false">
      <c r="A131" s="16" t="s">
        <v>252</v>
      </c>
      <c r="B131" s="17" t="str">
        <f aca="false">'Build-Up'!B80</f>
        <v>Generator 100 kVA for the works, daytime running with fuel</v>
      </c>
      <c r="C131" s="16" t="str">
        <f aca="false">'Build-Up'!C80</f>
        <v>month</v>
      </c>
      <c r="D131" s="18" t="n">
        <f aca="false">'Build-Up'!E80</f>
        <v>11000</v>
      </c>
      <c r="E131" s="18" t="n">
        <v>3</v>
      </c>
      <c r="F131" s="18" t="n">
        <f aca="false">ROUND(E48/$C$15,1)</f>
        <v>3.8</v>
      </c>
      <c r="G131" s="20" t="n">
        <f aca="false">ROUND(H48/$C$15,1)</f>
        <v>3.8</v>
      </c>
      <c r="H131" s="18" t="n">
        <f aca="false">ROUND(F131*D131,2)</f>
        <v>41800</v>
      </c>
      <c r="I131" s="18" t="n">
        <f aca="false">ROUND(G131*D131,2)</f>
        <v>41800</v>
      </c>
      <c r="J131" s="19" t="s">
        <v>952</v>
      </c>
    </row>
    <row r="132" customFormat="false" ht="30" hidden="false" customHeight="true" outlineLevel="0" collapsed="false">
      <c r="A132" s="16" t="s">
        <v>255</v>
      </c>
      <c r="B132" s="17" t="str">
        <f aca="false">'Build-Up'!B81</f>
        <v>Generator 30 kVA for the site office and welfare cabins, continuous running with fuel, whole period</v>
      </c>
      <c r="C132" s="16" t="str">
        <f aca="false">'Build-Up'!C81</f>
        <v>month</v>
      </c>
      <c r="D132" s="18" t="n">
        <f aca="false">'Build-Up'!E81</f>
        <v>6000</v>
      </c>
      <c r="E132" s="18" t="n">
        <v>3</v>
      </c>
      <c r="F132" s="18" t="n">
        <f aca="false">ROUND(E47/$C$15,1)</f>
        <v>4.1</v>
      </c>
      <c r="G132" s="20" t="n">
        <f aca="false">ROUND(H47/$C$15,1)</f>
        <v>4.1</v>
      </c>
      <c r="H132" s="18" t="n">
        <f aca="false">ROUND(F132*D132,2)</f>
        <v>24600</v>
      </c>
      <c r="I132" s="18" t="n">
        <f aca="false">ROUND(G132*D132,2)</f>
        <v>24600</v>
      </c>
      <c r="J132" s="19" t="s">
        <v>953</v>
      </c>
    </row>
    <row r="133" customFormat="false" ht="30" hidden="false" customHeight="true" outlineLevel="0" collapsed="false">
      <c r="A133" s="16" t="s">
        <v>258</v>
      </c>
      <c r="B133" s="17" t="str">
        <f aca="false">'Build-Up'!B82</f>
        <v>Site transport, pick-up / flatbed</v>
      </c>
      <c r="C133" s="16" t="str">
        <f aca="false">'Build-Up'!C82</f>
        <v>month</v>
      </c>
      <c r="D133" s="18" t="n">
        <f aca="false">'Build-Up'!E82</f>
        <v>3000</v>
      </c>
      <c r="E133" s="18" t="n">
        <v>3</v>
      </c>
      <c r="F133" s="18" t="n">
        <f aca="false">ROUND(E47/$C$15,1)</f>
        <v>4.1</v>
      </c>
      <c r="G133" s="20" t="n">
        <f aca="false">ROUND(H47/$C$15,1)</f>
        <v>4.1</v>
      </c>
      <c r="H133" s="18" t="n">
        <f aca="false">ROUND(F133*D133,2)</f>
        <v>12300</v>
      </c>
      <c r="I133" s="18" t="n">
        <f aca="false">ROUND(G133*D133,2)</f>
        <v>12300</v>
      </c>
      <c r="J133" s="19" t="s">
        <v>954</v>
      </c>
    </row>
    <row r="134" customFormat="false" ht="54.75" hidden="false" customHeight="true" outlineLevel="0" collapsed="false">
      <c r="A134" s="16" t="s">
        <v>261</v>
      </c>
      <c r="B134" s="17" t="str">
        <f aca="false">'Build-Up'!B83</f>
        <v>Contractor's helpers - attendance to the tank supplier, offloading and panel handling, man-months from the resource matrix</v>
      </c>
      <c r="C134" s="16" t="str">
        <f aca="false">'Build-Up'!C83</f>
        <v>man-month</v>
      </c>
      <c r="D134" s="18" t="n">
        <f aca="false">'Build-Up'!E83</f>
        <v>3000</v>
      </c>
      <c r="E134" s="18" t="n">
        <v>15</v>
      </c>
      <c r="F134" s="18" t="n">
        <f aca="false">ROUND(85*6/26,1)</f>
        <v>19.6</v>
      </c>
      <c r="G134" s="20" t="n">
        <f aca="false">F80</f>
        <v>18.5</v>
      </c>
      <c r="H134" s="18" t="n">
        <f aca="false">ROUND(F134*D134,2)</f>
        <v>58800</v>
      </c>
      <c r="I134" s="18" t="n">
        <f aca="false">ROUND(G134*D134,2)</f>
        <v>55500</v>
      </c>
      <c r="J134" s="19" t="s">
        <v>955</v>
      </c>
    </row>
    <row r="135" customFormat="false" ht="30" hidden="false" customHeight="true" outlineLevel="0" collapsed="false">
      <c r="A135" s="16" t="s">
        <v>265</v>
      </c>
      <c r="B135" s="17" t="str">
        <f aca="false">'Build-Up'!B84</f>
        <v>Power-tool hire</v>
      </c>
      <c r="C135" s="16" t="str">
        <f aca="false">'Build-Up'!C84</f>
        <v>month</v>
      </c>
      <c r="D135" s="18" t="n">
        <f aca="false">'Build-Up'!E84</f>
        <v>2500</v>
      </c>
      <c r="E135" s="18" t="n">
        <v>3</v>
      </c>
      <c r="F135" s="18" t="n">
        <f aca="false">ROUND(E49/$C$15,1)</f>
        <v>2.7</v>
      </c>
      <c r="G135" s="20" t="n">
        <f aca="false">ROUND(H49/$C$15,1)</f>
        <v>2.7</v>
      </c>
      <c r="H135" s="18" t="n">
        <f aca="false">ROUND(F135*D135,2)</f>
        <v>6750</v>
      </c>
      <c r="I135" s="18" t="n">
        <f aca="false">ROUND(G135*D135,2)</f>
        <v>6750</v>
      </c>
      <c r="J135" s="19" t="s">
        <v>956</v>
      </c>
    </row>
    <row r="136" customFormat="false" ht="30" hidden="false" customHeight="true" outlineLevel="0" collapsed="false">
      <c r="A136" s="16" t="s">
        <v>274</v>
      </c>
      <c r="B136" s="17" t="str">
        <f aca="false">'Build-Up'!B87</f>
        <v>Mobile lighting towers, 2 No. for the erection window</v>
      </c>
      <c r="C136" s="16" t="str">
        <f aca="false">'Build-Up'!C87</f>
        <v>unit-month</v>
      </c>
      <c r="D136" s="18" t="n">
        <f aca="false">'Build-Up'!E87</f>
        <v>1200</v>
      </c>
      <c r="E136" s="18" t="n">
        <v>6</v>
      </c>
      <c r="F136" s="18" t="n">
        <f aca="false">2*ROUND(E49/$C$15,1)</f>
        <v>5.4</v>
      </c>
      <c r="G136" s="20" t="n">
        <f aca="false">2*ROUND(H49/$C$15,1)</f>
        <v>5.4</v>
      </c>
      <c r="H136" s="18" t="n">
        <f aca="false">ROUND(F136*D136,2)</f>
        <v>6480</v>
      </c>
      <c r="I136" s="18" t="n">
        <f aca="false">ROUND(G136*D136,2)</f>
        <v>6480</v>
      </c>
      <c r="J136" s="19" t="s">
        <v>957</v>
      </c>
    </row>
    <row r="137" customFormat="false" ht="54.75" hidden="false" customHeight="true" outlineLevel="0" collapsed="false">
      <c r="A137" s="16" t="s">
        <v>288</v>
      </c>
      <c r="B137" s="17" t="str">
        <f aca="false">'Build-Up'!B100</f>
        <v>Test water - first tank fill to test level</v>
      </c>
      <c r="C137" s="16" t="str">
        <f aca="false">'Build-Up'!C100</f>
        <v>m3</v>
      </c>
      <c r="D137" s="18" t="n">
        <f aca="false">'Build-Up'!E100</f>
        <v>6</v>
      </c>
      <c r="E137" s="18" t="n">
        <v>3774</v>
      </c>
      <c r="F137" s="18" t="n">
        <f aca="false">2*3774</f>
        <v>7548</v>
      </c>
      <c r="G137" s="20" t="n">
        <f aca="false">3774</f>
        <v>3774</v>
      </c>
      <c r="H137" s="18" t="n">
        <f aca="false">ROUND(F137*D137,2)</f>
        <v>45288</v>
      </c>
      <c r="I137" s="18" t="n">
        <f aca="false">ROUND(G137*D137,2)</f>
        <v>22644</v>
      </c>
      <c r="J137" s="19" t="s">
        <v>958</v>
      </c>
    </row>
    <row r="138" customFormat="false" ht="30" hidden="false" customHeight="true" outlineLevel="0" collapsed="false">
      <c r="A138" s="16" t="s">
        <v>291</v>
      </c>
      <c r="B138" s="17" t="str">
        <f aca="false">'Build-Up'!B101</f>
        <v>Transfer pump hire - Tank 1 to Tank 2</v>
      </c>
      <c r="C138" s="16" t="str">
        <f aca="false">'Build-Up'!C101</f>
        <v>day</v>
      </c>
      <c r="D138" s="18" t="n">
        <f aca="false">'Build-Up'!E101</f>
        <v>500</v>
      </c>
      <c r="E138" s="18" t="n">
        <v>7</v>
      </c>
      <c r="F138" s="18" t="n">
        <f aca="false">0</f>
        <v>0</v>
      </c>
      <c r="G138" s="20" t="n">
        <f aca="false">H39+H40</f>
        <v>7</v>
      </c>
      <c r="H138" s="18" t="n">
        <f aca="false">ROUND(F138*D138,2)</f>
        <v>0</v>
      </c>
      <c r="I138" s="18" t="n">
        <f aca="false">ROUND(G138*D138,2)</f>
        <v>3500</v>
      </c>
      <c r="J138" s="19" t="s">
        <v>959</v>
      </c>
    </row>
    <row r="139" customFormat="false" ht="30" hidden="false" customHeight="true" outlineLevel="0" collapsed="false">
      <c r="A139" s="16" t="s">
        <v>294</v>
      </c>
      <c r="B139" s="17" t="str">
        <f aca="false">'Build-Up'!B102</f>
        <v>Transfer hoses and fittings hire</v>
      </c>
      <c r="C139" s="16" t="str">
        <f aca="false">'Build-Up'!C102</f>
        <v>week</v>
      </c>
      <c r="D139" s="18" t="n">
        <f aca="false">'Build-Up'!E102</f>
        <v>1000</v>
      </c>
      <c r="E139" s="18" t="n">
        <v>1</v>
      </c>
      <c r="F139" s="18" t="n">
        <f aca="false">0</f>
        <v>0</v>
      </c>
      <c r="G139" s="20" t="n">
        <f aca="false">1</f>
        <v>1</v>
      </c>
      <c r="H139" s="18" t="n">
        <f aca="false">ROUND(F139*D139,2)</f>
        <v>0</v>
      </c>
      <c r="I139" s="18" t="n">
        <f aca="false">ROUND(G139*D139,2)</f>
        <v>1000</v>
      </c>
      <c r="J139" s="19" t="s">
        <v>960</v>
      </c>
    </row>
    <row r="140" customFormat="false" ht="30" hidden="false" customHeight="true" outlineLevel="0" collapsed="false">
      <c r="A140" s="16" t="s">
        <v>297</v>
      </c>
      <c r="B140" s="17" t="str">
        <f aca="false">'Build-Up'!B103</f>
        <v>Transfer labour, 2 No. x 3 days</v>
      </c>
      <c r="C140" s="16" t="str">
        <f aca="false">'Build-Up'!C103</f>
        <v>man-day</v>
      </c>
      <c r="D140" s="18" t="n">
        <f aca="false">'Build-Up'!E103</f>
        <v>150</v>
      </c>
      <c r="E140" s="18" t="n">
        <v>6</v>
      </c>
      <c r="F140" s="18" t="n">
        <f aca="false">0</f>
        <v>0</v>
      </c>
      <c r="G140" s="20" t="n">
        <f aca="false">2*H39</f>
        <v>6</v>
      </c>
      <c r="H140" s="18" t="n">
        <f aca="false">ROUND(F140*D140,2)</f>
        <v>0</v>
      </c>
      <c r="I140" s="18" t="n">
        <f aca="false">ROUND(G140*D140,2)</f>
        <v>900</v>
      </c>
      <c r="J140" s="19" t="s">
        <v>961</v>
      </c>
    </row>
    <row r="141" customFormat="false" ht="42" hidden="false" customHeight="true" outlineLevel="0" collapsed="false">
      <c r="A141" s="16" t="s">
        <v>300</v>
      </c>
      <c r="B141" s="17" t="str">
        <f aca="false">'Build-Up'!B104</f>
        <v>Top-up water for losses and test level</v>
      </c>
      <c r="C141" s="16" t="str">
        <f aca="false">'Build-Up'!C104</f>
        <v>m3</v>
      </c>
      <c r="D141" s="18" t="n">
        <f aca="false">'Build-Up'!E104</f>
        <v>6</v>
      </c>
      <c r="E141" s="18" t="n">
        <v>377</v>
      </c>
      <c r="F141" s="18" t="n">
        <f aca="false">ROUND(2*3774*0.1,0)</f>
        <v>755</v>
      </c>
      <c r="G141" s="20" t="n">
        <f aca="false">ROUND(3774*0.1,0)</f>
        <v>377</v>
      </c>
      <c r="H141" s="18" t="n">
        <f aca="false">ROUND(F141*D141,2)</f>
        <v>4530</v>
      </c>
      <c r="I141" s="18" t="n">
        <f aca="false">ROUND(G141*D141,2)</f>
        <v>2262</v>
      </c>
      <c r="J141" s="19" t="s">
        <v>962</v>
      </c>
    </row>
    <row r="142" customFormat="false" ht="93" hidden="false" customHeight="true" outlineLevel="0" collapsed="false">
      <c r="A142" s="16" t="s">
        <v>322</v>
      </c>
      <c r="B142" s="17" t="str">
        <f aca="false">'Build-Up'!B112</f>
        <v>Commissioning engineer</v>
      </c>
      <c r="C142" s="16" t="str">
        <f aca="false">'Build-Up'!C112</f>
        <v>day</v>
      </c>
      <c r="D142" s="18" t="n">
        <f aca="false">'Build-Up'!E112</f>
        <v>2000</v>
      </c>
      <c r="E142" s="18" t="n">
        <v>15</v>
      </c>
      <c r="F142" s="18" t="n">
        <f aca="false">E37+1</f>
        <v>8</v>
      </c>
      <c r="G142" s="20" t="n">
        <f aca="false">H41+H42+2</f>
        <v>8</v>
      </c>
      <c r="H142" s="18" t="n">
        <f aca="false">ROUND(F142*D142,2)</f>
        <v>16000</v>
      </c>
      <c r="I142" s="18" t="n">
        <f aca="false">ROUND(G142*D142,2)</f>
        <v>16000</v>
      </c>
      <c r="J142" s="19" t="s">
        <v>963</v>
      </c>
    </row>
    <row r="143" customFormat="false" ht="42" hidden="false" customHeight="true" outlineLevel="0" collapsed="false">
      <c r="A143" s="16" t="s">
        <v>325</v>
      </c>
      <c r="B143" s="17" t="str">
        <f aca="false">'Build-Up'!B113</f>
        <v>MEP technicians - pump and network interfaces, 2 No. x 10 days (RFP Scope of Works, work package 9 - system integration)</v>
      </c>
      <c r="C143" s="16" t="str">
        <f aca="false">'Build-Up'!C113</f>
        <v>man-day</v>
      </c>
      <c r="D143" s="18" t="n">
        <f aca="false">'Build-Up'!E113</f>
        <v>400</v>
      </c>
      <c r="E143" s="18" t="n">
        <v>20</v>
      </c>
      <c r="F143" s="18" t="n">
        <f aca="false">2*E37</f>
        <v>14</v>
      </c>
      <c r="G143" s="20" t="n">
        <f aca="false">2*(H41+H42)</f>
        <v>12</v>
      </c>
      <c r="H143" s="18" t="n">
        <f aca="false">ROUND(F143*D143,2)</f>
        <v>5600</v>
      </c>
      <c r="I143" s="18" t="n">
        <f aca="false">ROUND(G143*D143,2)</f>
        <v>4800</v>
      </c>
      <c r="J143" s="19" t="s">
        <v>964</v>
      </c>
    </row>
    <row r="144" customFormat="false" ht="30" hidden="false" customHeight="true" outlineLevel="0" collapsed="false">
      <c r="A144" s="16" t="s">
        <v>330</v>
      </c>
      <c r="B144" s="17" t="str">
        <f aca="false">'Build-Up'!B115</f>
        <v>Integration coordination engineer - tie-ins with the Employer and Engineer</v>
      </c>
      <c r="C144" s="16" t="str">
        <f aca="false">'Build-Up'!C115</f>
        <v>day</v>
      </c>
      <c r="D144" s="18" t="n">
        <f aca="false">'Build-Up'!E115</f>
        <v>1000</v>
      </c>
      <c r="E144" s="18" t="n">
        <v>5</v>
      </c>
      <c r="F144" s="18" t="n">
        <f aca="false">E36+1</f>
        <v>5</v>
      </c>
      <c r="G144" s="20" t="n">
        <f aca="false">H36+1</f>
        <v>5</v>
      </c>
      <c r="H144" s="18" t="n">
        <f aca="false">ROUND(F144*D144,2)</f>
        <v>5000</v>
      </c>
      <c r="I144" s="18" t="n">
        <f aca="false">ROUND(G144*D144,2)</f>
        <v>5000</v>
      </c>
      <c r="J144" s="19" t="s">
        <v>965</v>
      </c>
    </row>
    <row r="145" customFormat="false" ht="67.5" hidden="false" customHeight="true" outlineLevel="0" collapsed="false">
      <c r="A145" s="16" t="s">
        <v>344</v>
      </c>
      <c r="B145" s="17" t="str">
        <f aca="false">'Build-Up'!B121</f>
        <v>Tanker and pump standby during filling and test holds</v>
      </c>
      <c r="C145" s="16" t="str">
        <f aca="false">'Build-Up'!C121</f>
        <v>day</v>
      </c>
      <c r="D145" s="18" t="n">
        <f aca="false">'Build-Up'!E121</f>
        <v>500</v>
      </c>
      <c r="E145" s="18" t="n">
        <v>8</v>
      </c>
      <c r="F145" s="18" t="n">
        <f aca="false">4</f>
        <v>4</v>
      </c>
      <c r="G145" s="20" t="n">
        <f aca="false">4</f>
        <v>4</v>
      </c>
      <c r="H145" s="18" t="n">
        <f aca="false">ROUND(F145*D145,2)</f>
        <v>2000</v>
      </c>
      <c r="I145" s="18" t="n">
        <f aca="false">ROUND(G145*D145,2)</f>
        <v>2000</v>
      </c>
      <c r="J145" s="19" t="s">
        <v>966</v>
      </c>
    </row>
    <row r="146" customFormat="false" ht="29.25" hidden="false" customHeight="true" outlineLevel="0" collapsed="false">
      <c r="A146" s="23"/>
      <c r="B146" s="23" t="s">
        <v>967</v>
      </c>
      <c r="C146" s="23"/>
      <c r="D146" s="23"/>
      <c r="E146" s="23"/>
      <c r="F146" s="23"/>
      <c r="G146" s="23"/>
      <c r="H146" s="35" t="n">
        <f aca="false">H113+H114+H115+H116+H117+H118+H119+H120+H121+H122+H123+H124+H125</f>
        <v>259375</v>
      </c>
      <c r="I146" s="35" t="n">
        <f aca="false">I113+I114+I115+I116+I117+I118+I119+I120+I121+I122+I123+I124+I125</f>
        <v>252175</v>
      </c>
      <c r="J146" s="19" t="s">
        <v>968</v>
      </c>
    </row>
    <row r="147" customFormat="false" ht="29.25" hidden="false" customHeight="true" outlineLevel="0" collapsed="false">
      <c r="A147" s="23"/>
      <c r="B147" s="23" t="s">
        <v>969</v>
      </c>
      <c r="C147" s="23"/>
      <c r="D147" s="23"/>
      <c r="E147" s="23"/>
      <c r="F147" s="23"/>
      <c r="G147" s="23"/>
      <c r="H147" s="35" t="n">
        <f aca="false">H126+H128+H129+H130+H131+H132+H133+H134+H135+H136</f>
        <v>267930</v>
      </c>
      <c r="I147" s="35" t="n">
        <f aca="false">I126+I128+I129+I130+I131+I132+I133+I134+I135+I136</f>
        <v>264630</v>
      </c>
      <c r="J147" s="19" t="s">
        <v>970</v>
      </c>
    </row>
    <row r="148" customFormat="false" ht="29.25" hidden="false" customHeight="true" outlineLevel="0" collapsed="false">
      <c r="A148" s="23"/>
      <c r="B148" s="23" t="s">
        <v>971</v>
      </c>
      <c r="C148" s="23"/>
      <c r="D148" s="23"/>
      <c r="E148" s="23"/>
      <c r="F148" s="23"/>
      <c r="G148" s="23"/>
      <c r="H148" s="35" t="n">
        <f aca="false">H137+H138+H139+H140+H141+H142+H143+H144+H145</f>
        <v>78418</v>
      </c>
      <c r="I148" s="35" t="n">
        <f aca="false">I137+I138+I139+I140+I141+I142+I143+I144+I145</f>
        <v>58106</v>
      </c>
      <c r="J148" s="19" t="s">
        <v>972</v>
      </c>
    </row>
    <row r="149" customFormat="false" ht="19.5" hidden="false" customHeight="true" outlineLevel="0" collapsed="false">
      <c r="A149" s="23"/>
      <c r="B149" s="23" t="s">
        <v>973</v>
      </c>
      <c r="C149" s="23"/>
      <c r="D149" s="23"/>
      <c r="E149" s="23"/>
      <c r="F149" s="23"/>
      <c r="G149" s="23"/>
      <c r="H149" s="35" t="n">
        <f aca="false">SUM(H113:H145)</f>
        <v>605723</v>
      </c>
      <c r="I149" s="35" t="n">
        <f aca="false">SUM(I113:I145)</f>
        <v>574911</v>
      </c>
      <c r="J149" s="19" t="s">
        <v>974</v>
      </c>
    </row>
    <row r="150" customFormat="false" ht="54.75" hidden="false" customHeight="true" outlineLevel="0" collapsed="false">
      <c r="A150" s="23"/>
      <c r="B150" s="23" t="s">
        <v>975</v>
      </c>
      <c r="C150" s="23"/>
      <c r="D150" s="23"/>
      <c r="E150" s="23"/>
      <c r="F150" s="23"/>
      <c r="G150" s="23"/>
      <c r="H150" s="35" t="n">
        <f aca="false">ROUND((Assessment!$K$19-I149+H149)*1.05,2)</f>
        <v>7016780.99</v>
      </c>
      <c r="I150" s="35" t="n">
        <f aca="false">Assessment!$K$21</f>
        <v>6984428.39</v>
      </c>
      <c r="J150" s="19" t="s">
        <v>976</v>
      </c>
    </row>
    <row r="151" customFormat="false" ht="19.5" hidden="false" customHeight="true" outlineLevel="0" collapsed="false">
      <c r="A151" s="23"/>
      <c r="B151" s="23" t="s">
        <v>977</v>
      </c>
      <c r="C151" s="23"/>
      <c r="D151" s="23"/>
      <c r="E151" s="23"/>
      <c r="F151" s="23"/>
      <c r="G151" s="23"/>
      <c r="H151" s="23"/>
      <c r="I151" s="23"/>
      <c r="J151" s="23"/>
    </row>
    <row r="152" customFormat="false" ht="42" hidden="false" customHeight="true" outlineLevel="0" collapsed="false">
      <c r="A152" s="16" t="s">
        <v>978</v>
      </c>
      <c r="B152" s="17" t="s">
        <v>979</v>
      </c>
      <c r="C152" s="16" t="s">
        <v>263</v>
      </c>
      <c r="D152" s="18" t="n">
        <f aca="false">'Build-Up'!E83</f>
        <v>3000</v>
      </c>
      <c r="E152" s="18" t="s">
        <v>742</v>
      </c>
      <c r="F152" s="18" t="s">
        <v>742</v>
      </c>
      <c r="G152" s="66" t="n">
        <f aca="false">-ROUND(G79/26,1)</f>
        <v>-3.5</v>
      </c>
      <c r="H152" s="18" t="s">
        <v>742</v>
      </c>
      <c r="I152" s="66" t="n">
        <f aca="false">ROUND(G152*D152,2)</f>
        <v>-10500</v>
      </c>
      <c r="J152" s="19" t="s">
        <v>980</v>
      </c>
    </row>
    <row r="153" customFormat="false" ht="42" hidden="false" customHeight="true" outlineLevel="0" collapsed="false">
      <c r="A153" s="16" t="s">
        <v>981</v>
      </c>
      <c r="B153" s="17" t="s">
        <v>982</v>
      </c>
      <c r="C153" s="16" t="s">
        <v>163</v>
      </c>
      <c r="D153" s="18" t="n">
        <f aca="false">'Build-Up'!E75</f>
        <v>900</v>
      </c>
      <c r="E153" s="18" t="s">
        <v>742</v>
      </c>
      <c r="F153" s="18" t="s">
        <v>742</v>
      </c>
      <c r="G153" s="18" t="n">
        <v>11</v>
      </c>
      <c r="H153" s="18" t="s">
        <v>742</v>
      </c>
      <c r="I153" s="18" t="n">
        <f aca="false">ROUND(G153*D153,2)</f>
        <v>9900</v>
      </c>
      <c r="J153" s="19" t="s">
        <v>983</v>
      </c>
    </row>
    <row r="155" customFormat="false" ht="21" hidden="false" customHeight="true" outlineLevel="0" collapsed="false">
      <c r="A155" s="15" t="s">
        <v>984</v>
      </c>
      <c r="B155" s="15"/>
      <c r="C155" s="15"/>
      <c r="D155" s="15"/>
      <c r="E155" s="15"/>
      <c r="F155" s="15"/>
      <c r="G155" s="15"/>
      <c r="H155" s="15"/>
      <c r="I155" s="15"/>
      <c r="J155" s="15"/>
    </row>
    <row r="156" customFormat="false" ht="60" hidden="false" customHeight="true" outlineLevel="0" collapsed="false">
      <c r="A156" s="11" t="s">
        <v>985</v>
      </c>
      <c r="B156" s="11"/>
      <c r="C156" s="11"/>
      <c r="D156" s="11"/>
      <c r="E156" s="11"/>
      <c r="F156" s="11"/>
      <c r="G156" s="11"/>
      <c r="H156" s="11"/>
      <c r="I156" s="11"/>
      <c r="J156" s="11"/>
    </row>
    <row r="157" customFormat="false" ht="31.5" hidden="false" customHeight="true" outlineLevel="0" collapsed="false">
      <c r="A157" s="13" t="s">
        <v>92</v>
      </c>
      <c r="B157" s="13" t="s">
        <v>986</v>
      </c>
      <c r="C157" s="13" t="s">
        <v>987</v>
      </c>
      <c r="D157" s="13"/>
      <c r="E157" s="13" t="s">
        <v>988</v>
      </c>
      <c r="F157" s="13"/>
      <c r="G157" s="13" t="s">
        <v>989</v>
      </c>
      <c r="H157" s="13"/>
      <c r="I157" s="13" t="s">
        <v>990</v>
      </c>
      <c r="J157" s="13" t="s">
        <v>439</v>
      </c>
    </row>
    <row r="158" customFormat="false" ht="54.75" hidden="false" customHeight="true" outlineLevel="0" collapsed="false">
      <c r="A158" s="16" t="s">
        <v>94</v>
      </c>
      <c r="B158" s="17" t="str">
        <f aca="false">'Build-Up'!B9</f>
        <v>Site engineer - dedicated to the tank site</v>
      </c>
      <c r="C158" s="19" t="s">
        <v>991</v>
      </c>
      <c r="D158" s="19"/>
      <c r="E158" s="19" t="s">
        <v>992</v>
      </c>
      <c r="F158" s="19"/>
      <c r="G158" s="19" t="s">
        <v>993</v>
      </c>
      <c r="H158" s="19"/>
      <c r="I158" s="19" t="s">
        <v>994</v>
      </c>
      <c r="J158" s="18" t="n">
        <f aca="false">'Build-Up'!F9</f>
        <v>49200</v>
      </c>
    </row>
    <row r="159" customFormat="false" ht="42" hidden="false" customHeight="true" outlineLevel="0" collapsed="false">
      <c r="A159" s="16" t="s">
        <v>98</v>
      </c>
      <c r="B159" s="17" t="str">
        <f aca="false">'Build-Up'!B10</f>
        <v>HSE officer - dedicated</v>
      </c>
      <c r="C159" s="19" t="s">
        <v>995</v>
      </c>
      <c r="D159" s="19"/>
      <c r="E159" s="19" t="s">
        <v>996</v>
      </c>
      <c r="F159" s="19"/>
      <c r="G159" s="19" t="s">
        <v>993</v>
      </c>
      <c r="H159" s="19"/>
      <c r="I159" s="19" t="s">
        <v>72</v>
      </c>
      <c r="J159" s="18" t="n">
        <f aca="false">'Build-Up'!F10</f>
        <v>41000</v>
      </c>
    </row>
    <row r="160" customFormat="false" ht="42" hidden="false" customHeight="true" outlineLevel="0" collapsed="false">
      <c r="A160" s="16" t="s">
        <v>101</v>
      </c>
      <c r="B160" s="17" t="str">
        <f aca="false">'Build-Up'!B11</f>
        <v>QA/QC inspector - dedicated (daily inspections, ITPs and WIRs during erection)</v>
      </c>
      <c r="C160" s="19" t="s">
        <v>997</v>
      </c>
      <c r="D160" s="19"/>
      <c r="E160" s="19" t="s">
        <v>998</v>
      </c>
      <c r="F160" s="19"/>
      <c r="G160" s="19" t="s">
        <v>999</v>
      </c>
      <c r="H160" s="19"/>
      <c r="I160" s="19" t="s">
        <v>72</v>
      </c>
      <c r="J160" s="18" t="n">
        <f aca="false">'Build-Up'!F11</f>
        <v>37000</v>
      </c>
    </row>
    <row r="161" customFormat="false" ht="42" hidden="false" customHeight="true" outlineLevel="0" collapsed="false">
      <c r="A161" s="16" t="s">
        <v>104</v>
      </c>
      <c r="B161" s="17" t="str">
        <f aca="false">'Build-Up'!B12</f>
        <v>Works foreman - dedicated</v>
      </c>
      <c r="C161" s="19" t="s">
        <v>1000</v>
      </c>
      <c r="D161" s="19"/>
      <c r="E161" s="19" t="s">
        <v>1001</v>
      </c>
      <c r="F161" s="19"/>
      <c r="G161" s="19" t="s">
        <v>993</v>
      </c>
      <c r="H161" s="19"/>
      <c r="I161" s="19" t="s">
        <v>1002</v>
      </c>
      <c r="J161" s="18" t="n">
        <f aca="false">'Build-Up'!F12</f>
        <v>32800</v>
      </c>
    </row>
    <row r="162" customFormat="false" ht="30" hidden="false" customHeight="true" outlineLevel="0" collapsed="false">
      <c r="A162" s="16" t="s">
        <v>107</v>
      </c>
      <c r="B162" s="17" t="str">
        <f aca="false">'Build-Up'!B13</f>
        <v>Storekeeper / timekeeper</v>
      </c>
      <c r="C162" s="19" t="s">
        <v>1003</v>
      </c>
      <c r="D162" s="19"/>
      <c r="E162" s="19" t="s">
        <v>1004</v>
      </c>
      <c r="F162" s="19"/>
      <c r="G162" s="19" t="s">
        <v>1005</v>
      </c>
      <c r="H162" s="19"/>
      <c r="I162" s="19" t="s">
        <v>72</v>
      </c>
      <c r="J162" s="18" t="n">
        <f aca="false">'Build-Up'!F13</f>
        <v>13200</v>
      </c>
    </row>
    <row r="163" customFormat="false" ht="42" hidden="false" customHeight="true" outlineLevel="0" collapsed="false">
      <c r="A163" s="16" t="s">
        <v>110</v>
      </c>
      <c r="B163" s="17" t="str">
        <f aca="false">'Build-Up'!B14</f>
        <v>Site office porta cabin, air-conditioned, rental with electricity connection and maintenance</v>
      </c>
      <c r="C163" s="19" t="s">
        <v>1006</v>
      </c>
      <c r="D163" s="19"/>
      <c r="E163" s="19" t="s">
        <v>1007</v>
      </c>
      <c r="F163" s="19"/>
      <c r="G163" s="19" t="s">
        <v>1008</v>
      </c>
      <c r="H163" s="19"/>
      <c r="I163" s="19" t="s">
        <v>72</v>
      </c>
      <c r="J163" s="18" t="n">
        <f aca="false">'Build-Up'!F14</f>
        <v>9020</v>
      </c>
    </row>
    <row r="164" customFormat="false" ht="42" hidden="false" customHeight="true" outlineLevel="0" collapsed="false">
      <c r="A164" s="16" t="s">
        <v>113</v>
      </c>
      <c r="B164" s="17" t="str">
        <f aca="false">'Build-Up'!B15</f>
        <v>Rest and welfare porta cabin, air-conditioned, rental with electricity connection and maintenance</v>
      </c>
      <c r="C164" s="19" t="s">
        <v>1006</v>
      </c>
      <c r="D164" s="19"/>
      <c r="E164" s="19" t="s">
        <v>1009</v>
      </c>
      <c r="F164" s="19"/>
      <c r="G164" s="19" t="s">
        <v>1008</v>
      </c>
      <c r="H164" s="19"/>
      <c r="I164" s="19" t="s">
        <v>72</v>
      </c>
      <c r="J164" s="18" t="n">
        <f aca="false">'Build-Up'!F15</f>
        <v>9020</v>
      </c>
    </row>
    <row r="165" customFormat="false" ht="42" hidden="false" customHeight="true" outlineLevel="0" collapsed="false">
      <c r="A165" s="16" t="s">
        <v>115</v>
      </c>
      <c r="B165" s="17" t="str">
        <f aca="false">'Build-Up'!B16</f>
        <v>WC unit, rental with servicing</v>
      </c>
      <c r="C165" s="19" t="s">
        <v>1006</v>
      </c>
      <c r="D165" s="19"/>
      <c r="E165" s="19" t="s">
        <v>1010</v>
      </c>
      <c r="F165" s="19"/>
      <c r="G165" s="19" t="s">
        <v>1011</v>
      </c>
      <c r="H165" s="19"/>
      <c r="I165" s="19" t="s">
        <v>72</v>
      </c>
      <c r="J165" s="18" t="n">
        <f aca="false">'Build-Up'!F16</f>
        <v>5330</v>
      </c>
    </row>
    <row r="166" customFormat="false" ht="42" hidden="false" customHeight="true" outlineLevel="0" collapsed="false">
      <c r="A166" s="16" t="s">
        <v>117</v>
      </c>
      <c r="B166" s="17" t="str">
        <f aca="false">'Build-Up'!B17</f>
        <v>Site water supply - tankered deliveries for welfare and general site use, whole period</v>
      </c>
      <c r="C166" s="19" t="s">
        <v>1006</v>
      </c>
      <c r="D166" s="19"/>
      <c r="E166" s="19" t="s">
        <v>1012</v>
      </c>
      <c r="F166" s="19"/>
      <c r="G166" s="19" t="s">
        <v>1013</v>
      </c>
      <c r="H166" s="19"/>
      <c r="I166" s="19" t="s">
        <v>1014</v>
      </c>
      <c r="J166" s="18" t="n">
        <f aca="false">'Build-Up'!F17</f>
        <v>12600</v>
      </c>
    </row>
    <row r="167" customFormat="false" ht="42" hidden="false" customHeight="true" outlineLevel="0" collapsed="false">
      <c r="A167" s="16" t="s">
        <v>121</v>
      </c>
      <c r="B167" s="17" t="str">
        <f aca="false">'Build-Up'!B18</f>
        <v>Site water storage tank, hire</v>
      </c>
      <c r="C167" s="19" t="s">
        <v>1006</v>
      </c>
      <c r="D167" s="19"/>
      <c r="E167" s="19" t="s">
        <v>1015</v>
      </c>
      <c r="F167" s="19"/>
      <c r="G167" s="19" t="s">
        <v>1008</v>
      </c>
      <c r="H167" s="19"/>
      <c r="I167" s="19" t="s">
        <v>72</v>
      </c>
      <c r="J167" s="18" t="n">
        <f aca="false">'Build-Up'!F18</f>
        <v>1435</v>
      </c>
    </row>
    <row r="168" customFormat="false" ht="67.5" hidden="false" customHeight="true" outlineLevel="0" collapsed="false">
      <c r="A168" s="16" t="s">
        <v>123</v>
      </c>
      <c r="B168" s="17" t="str">
        <f aca="false">'Build-Up'!B19</f>
        <v>Storage containers, 2 No. for the panel storage window (RFP Scope of Works, work package 1 - pre-construction and setup: safe storage of panels)</v>
      </c>
      <c r="C168" s="19" t="s">
        <v>1016</v>
      </c>
      <c r="D168" s="19"/>
      <c r="E168" s="19" t="s">
        <v>1017</v>
      </c>
      <c r="F168" s="19"/>
      <c r="G168" s="19" t="s">
        <v>1018</v>
      </c>
      <c r="H168" s="19"/>
      <c r="I168" s="19" t="s">
        <v>1019</v>
      </c>
      <c r="J168" s="18" t="n">
        <f aca="false">'Build-Up'!F19</f>
        <v>6720</v>
      </c>
    </row>
    <row r="169" customFormat="false" ht="42" hidden="false" customHeight="true" outlineLevel="0" collapsed="false">
      <c r="A169" s="16" t="s">
        <v>127</v>
      </c>
      <c r="B169" s="17" t="str">
        <f aca="false">'Build-Up'!B20</f>
        <v>Workforce transport to the tank site, daily bus</v>
      </c>
      <c r="C169" s="19" t="s">
        <v>1006</v>
      </c>
      <c r="D169" s="19"/>
      <c r="E169" s="19" t="s">
        <v>1020</v>
      </c>
      <c r="F169" s="19"/>
      <c r="G169" s="19" t="s">
        <v>1021</v>
      </c>
      <c r="H169" s="19"/>
      <c r="I169" s="19" t="s">
        <v>72</v>
      </c>
      <c r="J169" s="18" t="n">
        <f aca="false">'Build-Up'!F20</f>
        <v>16400</v>
      </c>
    </row>
    <row r="170" customFormat="false" ht="42" hidden="false" customHeight="true" outlineLevel="0" collapsed="false">
      <c r="A170" s="16" t="s">
        <v>130</v>
      </c>
      <c r="B170" s="17" t="str">
        <f aca="false">'Build-Up'!B21</f>
        <v>Watchman for the tank site</v>
      </c>
      <c r="C170" s="19" t="s">
        <v>1006</v>
      </c>
      <c r="D170" s="19"/>
      <c r="E170" s="19" t="s">
        <v>1022</v>
      </c>
      <c r="F170" s="19"/>
      <c r="G170" s="19" t="s">
        <v>1023</v>
      </c>
      <c r="H170" s="19"/>
      <c r="I170" s="19" t="s">
        <v>72</v>
      </c>
      <c r="J170" s="18" t="n">
        <f aca="false">'Build-Up'!F21</f>
        <v>18450</v>
      </c>
    </row>
    <row r="171" customFormat="false" ht="93" hidden="false" customHeight="true" outlineLevel="0" collapsed="false">
      <c r="A171" s="16" t="s">
        <v>133</v>
      </c>
      <c r="B171" s="17" t="str">
        <f aca="false">'Build-Up'!B22</f>
        <v>Mobilisation - flatbed trips delivering cabins, containers and small plant</v>
      </c>
      <c r="C171" s="19" t="s">
        <v>1024</v>
      </c>
      <c r="D171" s="19"/>
      <c r="E171" s="19" t="s">
        <v>1025</v>
      </c>
      <c r="F171" s="19"/>
      <c r="G171" s="19" t="s">
        <v>1026</v>
      </c>
      <c r="H171" s="19"/>
      <c r="I171" s="19" t="s">
        <v>1027</v>
      </c>
      <c r="J171" s="18" t="n">
        <f aca="false">'Build-Up'!F22</f>
        <v>6250</v>
      </c>
    </row>
    <row r="172" customFormat="false" ht="30" hidden="false" customHeight="true" outlineLevel="0" collapsed="false">
      <c r="A172" s="16" t="s">
        <v>137</v>
      </c>
      <c r="B172" s="17" t="str">
        <f aca="false">'Build-Up'!B23</f>
        <v>Demobilisation - flatbed trips removing cabins, containers and small plant</v>
      </c>
      <c r="C172" s="19" t="s">
        <v>1028</v>
      </c>
      <c r="D172" s="19"/>
      <c r="E172" s="19" t="s">
        <v>1029</v>
      </c>
      <c r="F172" s="19"/>
      <c r="G172" s="19" t="s">
        <v>1026</v>
      </c>
      <c r="H172" s="19"/>
      <c r="I172" s="19" t="s">
        <v>72</v>
      </c>
      <c r="J172" s="18" t="n">
        <f aca="false">'Build-Up'!F23</f>
        <v>6250</v>
      </c>
    </row>
    <row r="173" customFormat="false" ht="54.75" hidden="false" customHeight="true" outlineLevel="0" collapsed="false">
      <c r="A173" s="16" t="s">
        <v>140</v>
      </c>
      <c r="B173" s="17" t="str">
        <f aca="false">'Build-Up'!B24</f>
        <v>Site clean-up on demobilisation, 4 No. x 3 days</v>
      </c>
      <c r="C173" s="19" t="s">
        <v>1030</v>
      </c>
      <c r="D173" s="19"/>
      <c r="E173" s="19" t="s">
        <v>1031</v>
      </c>
      <c r="F173" s="19"/>
      <c r="G173" s="19" t="s">
        <v>1032</v>
      </c>
      <c r="H173" s="19"/>
      <c r="I173" s="19" t="s">
        <v>1033</v>
      </c>
      <c r="J173" s="18" t="n">
        <f aca="false">'Build-Up'!F24</f>
        <v>1800</v>
      </c>
    </row>
    <row r="174" customFormat="false" ht="31.5" hidden="false" customHeight="true" outlineLevel="0" collapsed="false">
      <c r="A174" s="13" t="s">
        <v>92</v>
      </c>
      <c r="B174" s="13" t="s">
        <v>986</v>
      </c>
      <c r="C174" s="13" t="s">
        <v>987</v>
      </c>
      <c r="D174" s="13"/>
      <c r="E174" s="13" t="s">
        <v>988</v>
      </c>
      <c r="F174" s="13"/>
      <c r="G174" s="13" t="s">
        <v>989</v>
      </c>
      <c r="H174" s="13"/>
      <c r="I174" s="13" t="s">
        <v>990</v>
      </c>
      <c r="J174" s="13" t="s">
        <v>439</v>
      </c>
    </row>
    <row r="175" customFormat="false" ht="54.75" hidden="false" customHeight="true" outlineLevel="0" collapsed="false">
      <c r="A175" s="16" t="s">
        <v>144</v>
      </c>
      <c r="B175" s="17" t="str">
        <f aca="false">'Build-Up'!B25</f>
        <v>Insurance endorsement - extension of the Contractor's All Risks and third-party liability cover to the tank site</v>
      </c>
      <c r="C175" s="19" t="s">
        <v>1034</v>
      </c>
      <c r="D175" s="19"/>
      <c r="E175" s="19" t="s">
        <v>1035</v>
      </c>
      <c r="F175" s="19"/>
      <c r="G175" s="19" t="s">
        <v>1036</v>
      </c>
      <c r="H175" s="19"/>
      <c r="I175" s="19" t="s">
        <v>72</v>
      </c>
      <c r="J175" s="18" t="n">
        <f aca="false">'Build-Up'!F25</f>
        <v>13000</v>
      </c>
    </row>
    <row r="176" customFormat="false" ht="42" hidden="false" customHeight="true" outlineLevel="0" collapsed="false">
      <c r="A176" s="16" t="s">
        <v>148</v>
      </c>
      <c r="B176" s="17" t="str">
        <f aca="false">'Build-Up'!B26</f>
        <v>Personal protective equipment, full sets</v>
      </c>
      <c r="C176" s="19" t="s">
        <v>1037</v>
      </c>
      <c r="D176" s="19"/>
      <c r="E176" s="19" t="s">
        <v>1038</v>
      </c>
      <c r="F176" s="19"/>
      <c r="G176" s="19" t="s">
        <v>1039</v>
      </c>
      <c r="H176" s="19"/>
      <c r="I176" s="19" t="s">
        <v>1040</v>
      </c>
      <c r="J176" s="18" t="n">
        <f aca="false">'Build-Up'!F26</f>
        <v>7000</v>
      </c>
    </row>
    <row r="177" customFormat="false" ht="42" hidden="false" customHeight="true" outlineLevel="0" collapsed="false">
      <c r="A177" s="16" t="s">
        <v>151</v>
      </c>
      <c r="B177" s="17" t="str">
        <f aca="false">'Build-Up'!B27</f>
        <v>Site safety signage and notice boards</v>
      </c>
      <c r="C177" s="19" t="s">
        <v>1041</v>
      </c>
      <c r="D177" s="19"/>
      <c r="E177" s="19" t="s">
        <v>1042</v>
      </c>
      <c r="F177" s="19"/>
      <c r="G177" s="19" t="s">
        <v>1043</v>
      </c>
      <c r="H177" s="19"/>
      <c r="I177" s="19" t="s">
        <v>72</v>
      </c>
      <c r="J177" s="18" t="n">
        <f aca="false">'Build-Up'!F27</f>
        <v>1800</v>
      </c>
    </row>
    <row r="178" customFormat="false" ht="30" hidden="false" customHeight="true" outlineLevel="0" collapsed="false">
      <c r="A178" s="16" t="s">
        <v>154</v>
      </c>
      <c r="B178" s="17" t="str">
        <f aca="false">'Build-Up'!B28</f>
        <v>Work-zone traffic signs up to 0.5 m2, supplied, installed, maintained and removed</v>
      </c>
      <c r="C178" s="19" t="s">
        <v>1044</v>
      </c>
      <c r="D178" s="19"/>
      <c r="E178" s="19" t="s">
        <v>1045</v>
      </c>
      <c r="F178" s="19"/>
      <c r="G178" s="19" t="s">
        <v>1046</v>
      </c>
      <c r="H178" s="19"/>
      <c r="I178" s="19" t="s">
        <v>72</v>
      </c>
      <c r="J178" s="18" t="n">
        <f aca="false">'Build-Up'!F28</f>
        <v>17755.56</v>
      </c>
    </row>
    <row r="179" customFormat="false" ht="30" hidden="false" customHeight="true" outlineLevel="0" collapsed="false">
      <c r="A179" s="16" t="s">
        <v>157</v>
      </c>
      <c r="B179" s="17" t="str">
        <f aca="false">'Build-Up'!B29</f>
        <v>Concrete Jersey barriers - temporary hire for the works period, delivered, placed and removed</v>
      </c>
      <c r="C179" s="19" t="s">
        <v>1047</v>
      </c>
      <c r="D179" s="19"/>
      <c r="E179" s="19" t="s">
        <v>1048</v>
      </c>
      <c r="F179" s="19"/>
      <c r="G179" s="19" t="s">
        <v>1049</v>
      </c>
      <c r="H179" s="19"/>
      <c r="I179" s="19" t="s">
        <v>72</v>
      </c>
      <c r="J179" s="18" t="n">
        <f aca="false">'Build-Up'!F29</f>
        <v>10000</v>
      </c>
    </row>
    <row r="180" customFormat="false" ht="67.5" hidden="false" customHeight="true" outlineLevel="0" collapsed="false">
      <c r="A180" s="16" t="s">
        <v>161</v>
      </c>
      <c r="B180" s="17" t="str">
        <f aca="false">'Build-Up'!B30</f>
        <v>Close-out at the tank site after demobilisation - completion inspection, correction list and warranties collation - site engineer</v>
      </c>
      <c r="C180" s="19" t="s">
        <v>1050</v>
      </c>
      <c r="D180" s="19"/>
      <c r="E180" s="19" t="s">
        <v>1051</v>
      </c>
      <c r="F180" s="19"/>
      <c r="G180" s="19" t="s">
        <v>1052</v>
      </c>
      <c r="H180" s="19"/>
      <c r="I180" s="19" t="s">
        <v>1053</v>
      </c>
      <c r="J180" s="18" t="n">
        <f aca="false">'Build-Up'!F30</f>
        <v>1650</v>
      </c>
    </row>
    <row r="181" customFormat="false" ht="54.75" hidden="false" customHeight="true" outlineLevel="0" collapsed="false">
      <c r="A181" s="16" t="s">
        <v>165</v>
      </c>
      <c r="B181" s="17" t="str">
        <f aca="false">'Build-Up'!B31</f>
        <v>Close-out at the tank site - document controller</v>
      </c>
      <c r="C181" s="19" t="s">
        <v>1054</v>
      </c>
      <c r="D181" s="19"/>
      <c r="E181" s="19" t="s">
        <v>1055</v>
      </c>
      <c r="F181" s="19"/>
      <c r="G181" s="19" t="s">
        <v>1056</v>
      </c>
      <c r="H181" s="19"/>
      <c r="I181" s="19" t="s">
        <v>1057</v>
      </c>
      <c r="J181" s="18" t="n">
        <f aca="false">'Build-Up'!F31</f>
        <v>2000</v>
      </c>
    </row>
    <row r="182" customFormat="false" ht="54.75" hidden="false" customHeight="true" outlineLevel="0" collapsed="false">
      <c r="A182" s="16" t="s">
        <v>170</v>
      </c>
      <c r="B182" s="17" t="str">
        <f aca="false">'Build-Up'!B37</f>
        <v>Design engineer - coordination, review of supplier calculations, method statements, ITPs</v>
      </c>
      <c r="C182" s="19" t="s">
        <v>1058</v>
      </c>
      <c r="D182" s="19"/>
      <c r="E182" s="19" t="s">
        <v>1059</v>
      </c>
      <c r="F182" s="19"/>
      <c r="G182" s="19" t="s">
        <v>1060</v>
      </c>
      <c r="H182" s="19"/>
      <c r="I182" s="19" t="s">
        <v>1061</v>
      </c>
      <c r="J182" s="18" t="n">
        <f aca="false">'Build-Up'!F37</f>
        <v>30000</v>
      </c>
    </row>
    <row r="183" customFormat="false" ht="54.75" hidden="false" customHeight="true" outlineLevel="0" collapsed="false">
      <c r="A183" s="16" t="s">
        <v>173</v>
      </c>
      <c r="B183" s="17" t="str">
        <f aca="false">'Build-Up'!B38</f>
        <v>CAD draughtsman - shop drawings and design-stage submittals</v>
      </c>
      <c r="C183" s="19" t="s">
        <v>1062</v>
      </c>
      <c r="D183" s="19"/>
      <c r="E183" s="19" t="s">
        <v>1063</v>
      </c>
      <c r="F183" s="19"/>
      <c r="G183" s="19" t="s">
        <v>1064</v>
      </c>
      <c r="H183" s="19"/>
      <c r="I183" s="19" t="s">
        <v>1065</v>
      </c>
      <c r="J183" s="18" t="n">
        <f aca="false">'Build-Up'!F38</f>
        <v>12000</v>
      </c>
    </row>
    <row r="184" customFormat="false" ht="67.5" hidden="false" customHeight="true" outlineLevel="0" collapsed="false">
      <c r="A184" s="16" t="s">
        <v>176</v>
      </c>
      <c r="B184" s="17" t="str">
        <f aca="false">'Build-Up'!B39</f>
        <v>Dimensional and verticality survey of the erected tanks and as-built pick-up - 2-man crew with instrument</v>
      </c>
      <c r="C184" s="19" t="s">
        <v>1066</v>
      </c>
      <c r="D184" s="19"/>
      <c r="E184" s="19" t="s">
        <v>1067</v>
      </c>
      <c r="F184" s="19"/>
      <c r="G184" s="19" t="s">
        <v>1068</v>
      </c>
      <c r="H184" s="19"/>
      <c r="I184" s="19" t="s">
        <v>72</v>
      </c>
      <c r="J184" s="18" t="n">
        <f aca="false">'Build-Up'!F39</f>
        <v>9000</v>
      </c>
    </row>
    <row r="185" customFormat="false" ht="54.75" hidden="false" customHeight="true" outlineLevel="0" collapsed="false">
      <c r="A185" s="16" t="s">
        <v>180</v>
      </c>
      <c r="B185" s="17" t="str">
        <f aca="false">'Build-Up'!B40</f>
        <v>Submittal administration - document controller</v>
      </c>
      <c r="C185" s="19" t="s">
        <v>1069</v>
      </c>
      <c r="D185" s="19"/>
      <c r="E185" s="19" t="s">
        <v>1070</v>
      </c>
      <c r="F185" s="19"/>
      <c r="G185" s="19" t="s">
        <v>1071</v>
      </c>
      <c r="H185" s="19"/>
      <c r="I185" s="19" t="s">
        <v>72</v>
      </c>
      <c r="J185" s="18" t="n">
        <f aca="false">'Build-Up'!F40</f>
        <v>4000</v>
      </c>
    </row>
    <row r="186" customFormat="false" ht="144.75" hidden="false" customHeight="true" outlineLevel="0" collapsed="false">
      <c r="A186" s="16" t="s">
        <v>186</v>
      </c>
      <c r="B186" s="17" t="str">
        <f aca="false">'Build-Up'!B46</f>
        <v>Adopted: Al Mousa Trading Co. quotation S04647 dated 10-Aug-2026 - existing tank dismantling, 1 No.</v>
      </c>
      <c r="C186" s="19" t="s">
        <v>1072</v>
      </c>
      <c r="D186" s="19"/>
      <c r="E186" s="19" t="s">
        <v>1073</v>
      </c>
      <c r="F186" s="19"/>
      <c r="G186" s="19" t="s">
        <v>1074</v>
      </c>
      <c r="H186" s="19"/>
      <c r="I186" s="19" t="s">
        <v>1075</v>
      </c>
      <c r="J186" s="18" t="n">
        <f aca="false">'Build-Up'!F46</f>
        <v>71000</v>
      </c>
    </row>
    <row r="187" customFormat="false" ht="30" hidden="false" customHeight="true" outlineLevel="0" collapsed="false">
      <c r="A187" s="16" t="s">
        <v>1076</v>
      </c>
      <c r="B187" s="17" t="s">
        <v>192</v>
      </c>
      <c r="C187" s="19" t="s">
        <v>1077</v>
      </c>
      <c r="D187" s="19"/>
      <c r="E187" s="19" t="s">
        <v>1078</v>
      </c>
      <c r="F187" s="19"/>
      <c r="G187" s="19" t="s">
        <v>1078</v>
      </c>
      <c r="H187" s="19"/>
      <c r="I187" s="19" t="s">
        <v>1078</v>
      </c>
      <c r="J187" s="18" t="s">
        <v>742</v>
      </c>
    </row>
    <row r="188" customFormat="false" ht="54.75" hidden="false" customHeight="true" outlineLevel="0" collapsed="false">
      <c r="A188" s="16" t="s">
        <v>225</v>
      </c>
      <c r="B188" s="17" t="str">
        <f aca="false">'Build-Up'!B68</f>
        <v>Haulage of dismantled materials to the Employer's local handover location</v>
      </c>
      <c r="C188" s="19" t="s">
        <v>1079</v>
      </c>
      <c r="D188" s="19"/>
      <c r="E188" s="19" t="s">
        <v>1080</v>
      </c>
      <c r="F188" s="19"/>
      <c r="G188" s="19" t="s">
        <v>1081</v>
      </c>
      <c r="H188" s="19"/>
      <c r="I188" s="19" t="s">
        <v>1082</v>
      </c>
      <c r="J188" s="18" t="n">
        <f aca="false">'Build-Up'!F68</f>
        <v>6300</v>
      </c>
    </row>
    <row r="189" customFormat="false" ht="67.5" hidden="false" customHeight="true" outlineLevel="0" collapsed="false">
      <c r="A189" s="16" t="s">
        <v>232</v>
      </c>
      <c r="B189" s="17" t="str">
        <f aca="false">'Build-Up'!B74</f>
        <v>Boom truck (hiab) - offloading and erection support</v>
      </c>
      <c r="C189" s="19" t="s">
        <v>1083</v>
      </c>
      <c r="D189" s="19"/>
      <c r="E189" s="19" t="s">
        <v>1084</v>
      </c>
      <c r="F189" s="19"/>
      <c r="G189" s="19" t="s">
        <v>1085</v>
      </c>
      <c r="H189" s="19"/>
      <c r="I189" s="19" t="s">
        <v>1086</v>
      </c>
      <c r="J189" s="18" t="n">
        <f aca="false">'Build-Up'!F74</f>
        <v>52800</v>
      </c>
    </row>
    <row r="190" customFormat="false" ht="67.5" hidden="false" customHeight="true" outlineLevel="0" collapsed="false">
      <c r="A190" s="16" t="s">
        <v>235</v>
      </c>
      <c r="B190" s="17" t="str">
        <f aca="false">'Build-Up'!B75</f>
        <v>Telehandler / forklift</v>
      </c>
      <c r="C190" s="19" t="s">
        <v>1087</v>
      </c>
      <c r="D190" s="19"/>
      <c r="E190" s="19" t="s">
        <v>1088</v>
      </c>
      <c r="F190" s="19"/>
      <c r="G190" s="19" t="s">
        <v>1089</v>
      </c>
      <c r="H190" s="19"/>
      <c r="I190" s="19" t="s">
        <v>72</v>
      </c>
      <c r="J190" s="18" t="n">
        <f aca="false">'Build-Up'!F75</f>
        <v>55800</v>
      </c>
    </row>
    <row r="191" customFormat="false" ht="31.5" hidden="false" customHeight="true" outlineLevel="0" collapsed="false">
      <c r="A191" s="13" t="s">
        <v>92</v>
      </c>
      <c r="B191" s="13" t="s">
        <v>986</v>
      </c>
      <c r="C191" s="13" t="s">
        <v>987</v>
      </c>
      <c r="D191" s="13"/>
      <c r="E191" s="13" t="s">
        <v>988</v>
      </c>
      <c r="F191" s="13"/>
      <c r="G191" s="13" t="s">
        <v>989</v>
      </c>
      <c r="H191" s="13"/>
      <c r="I191" s="13" t="s">
        <v>990</v>
      </c>
      <c r="J191" s="13" t="s">
        <v>439</v>
      </c>
    </row>
    <row r="192" customFormat="false" ht="54.75" hidden="false" customHeight="true" outlineLevel="0" collapsed="false">
      <c r="A192" s="16" t="s">
        <v>238</v>
      </c>
      <c r="B192" s="17" t="str">
        <f aca="false">'Build-Up'!B76</f>
        <v>Perimeter scaffolding and edge protection - supply, erect, 3-month hire, dismantle</v>
      </c>
      <c r="C192" s="19" t="s">
        <v>1090</v>
      </c>
      <c r="D192" s="19"/>
      <c r="E192" s="19" t="s">
        <v>1091</v>
      </c>
      <c r="F192" s="19"/>
      <c r="G192" s="19" t="s">
        <v>1092</v>
      </c>
      <c r="H192" s="19"/>
      <c r="I192" s="19" t="s">
        <v>72</v>
      </c>
      <c r="J192" s="18" t="n">
        <f aca="false">'Build-Up'!F76</f>
        <v>56320</v>
      </c>
    </row>
    <row r="193" customFormat="false" ht="30" hidden="false" customHeight="true" outlineLevel="0" collapsed="false">
      <c r="A193" s="16" t="s">
        <v>242</v>
      </c>
      <c r="B193" s="17" t="str">
        <f aca="false">'Build-Up'!B77</f>
        <v>Mobile aluminium access towers, 2 No. for the access window, whole hire months</v>
      </c>
      <c r="C193" s="19" t="s">
        <v>1093</v>
      </c>
      <c r="D193" s="19"/>
      <c r="E193" s="19" t="s">
        <v>1094</v>
      </c>
      <c r="F193" s="19"/>
      <c r="G193" s="19" t="s">
        <v>1095</v>
      </c>
      <c r="H193" s="19"/>
      <c r="I193" s="19" t="s">
        <v>72</v>
      </c>
      <c r="J193" s="18" t="n">
        <f aca="false">'Build-Up'!F77</f>
        <v>7200</v>
      </c>
    </row>
    <row r="194" customFormat="false" ht="42" hidden="false" customHeight="true" outlineLevel="0" collapsed="false">
      <c r="A194" s="16" t="s">
        <v>246</v>
      </c>
      <c r="B194" s="17" t="str">
        <f aca="false">'Build-Up'!B78</f>
        <v>Access-tower relocations and re-inspections</v>
      </c>
      <c r="C194" s="19" t="s">
        <v>1093</v>
      </c>
      <c r="D194" s="19"/>
      <c r="E194" s="19" t="s">
        <v>1096</v>
      </c>
      <c r="F194" s="19"/>
      <c r="G194" s="19" t="s">
        <v>1097</v>
      </c>
      <c r="H194" s="19"/>
      <c r="I194" s="19" t="s">
        <v>72</v>
      </c>
      <c r="J194" s="18" t="n">
        <f aca="false">'Build-Up'!F78</f>
        <v>1600</v>
      </c>
    </row>
    <row r="195" customFormat="false" ht="30" hidden="false" customHeight="true" outlineLevel="0" collapsed="false">
      <c r="A195" s="16" t="s">
        <v>248</v>
      </c>
      <c r="B195" s="17" t="str">
        <f aca="false">'Build-Up'!B79</f>
        <v>Podium steps, 2 No. for the access window, whole hire months</v>
      </c>
      <c r="C195" s="19" t="s">
        <v>1093</v>
      </c>
      <c r="D195" s="19"/>
      <c r="E195" s="19" t="s">
        <v>1098</v>
      </c>
      <c r="F195" s="19"/>
      <c r="G195" s="19" t="s">
        <v>1095</v>
      </c>
      <c r="H195" s="19"/>
      <c r="I195" s="19" t="s">
        <v>72</v>
      </c>
      <c r="J195" s="18" t="n">
        <f aca="false">'Build-Up'!F79</f>
        <v>1400</v>
      </c>
    </row>
    <row r="196" customFormat="false" ht="54.75" hidden="false" customHeight="true" outlineLevel="0" collapsed="false">
      <c r="A196" s="16" t="s">
        <v>252</v>
      </c>
      <c r="B196" s="17" t="str">
        <f aca="false">'Build-Up'!B80</f>
        <v>Generator 100 kVA for the works, daytime running with fuel</v>
      </c>
      <c r="C196" s="19" t="s">
        <v>1099</v>
      </c>
      <c r="D196" s="19"/>
      <c r="E196" s="19" t="s">
        <v>1100</v>
      </c>
      <c r="F196" s="19"/>
      <c r="G196" s="19" t="s">
        <v>1101</v>
      </c>
      <c r="H196" s="19"/>
      <c r="I196" s="19" t="s">
        <v>1102</v>
      </c>
      <c r="J196" s="18" t="n">
        <f aca="false">'Build-Up'!F80</f>
        <v>41800</v>
      </c>
    </row>
    <row r="197" customFormat="false" ht="42" hidden="false" customHeight="true" outlineLevel="0" collapsed="false">
      <c r="A197" s="16" t="s">
        <v>255</v>
      </c>
      <c r="B197" s="17" t="str">
        <f aca="false">'Build-Up'!B81</f>
        <v>Generator 30 kVA for the site office and welfare cabins, continuous running with fuel, whole period</v>
      </c>
      <c r="C197" s="19" t="s">
        <v>1006</v>
      </c>
      <c r="D197" s="19"/>
      <c r="E197" s="19" t="s">
        <v>1103</v>
      </c>
      <c r="F197" s="19"/>
      <c r="G197" s="19" t="s">
        <v>1104</v>
      </c>
      <c r="H197" s="19"/>
      <c r="I197" s="19" t="s">
        <v>72</v>
      </c>
      <c r="J197" s="18" t="n">
        <f aca="false">'Build-Up'!F81</f>
        <v>24600</v>
      </c>
    </row>
    <row r="198" customFormat="false" ht="42" hidden="false" customHeight="true" outlineLevel="0" collapsed="false">
      <c r="A198" s="16" t="s">
        <v>258</v>
      </c>
      <c r="B198" s="17" t="str">
        <f aca="false">'Build-Up'!B82</f>
        <v>Site transport, pick-up / flatbed</v>
      </c>
      <c r="C198" s="19" t="s">
        <v>1006</v>
      </c>
      <c r="D198" s="19"/>
      <c r="E198" s="19" t="s">
        <v>1105</v>
      </c>
      <c r="F198" s="19"/>
      <c r="G198" s="19" t="s">
        <v>1106</v>
      </c>
      <c r="H198" s="19"/>
      <c r="I198" s="19" t="s">
        <v>1107</v>
      </c>
      <c r="J198" s="18" t="n">
        <f aca="false">'Build-Up'!F82</f>
        <v>12300</v>
      </c>
    </row>
    <row r="199" customFormat="false" ht="80.25" hidden="false" customHeight="true" outlineLevel="0" collapsed="false">
      <c r="A199" s="16" t="s">
        <v>261</v>
      </c>
      <c r="B199" s="17" t="str">
        <f aca="false">'Build-Up'!B83</f>
        <v>Contractor's helpers - attendance to the tank supplier, offloading and panel handling, man-months from the resource matrix</v>
      </c>
      <c r="C199" s="19" t="s">
        <v>1108</v>
      </c>
      <c r="D199" s="19"/>
      <c r="E199" s="19" t="s">
        <v>1109</v>
      </c>
      <c r="F199" s="19"/>
      <c r="G199" s="19" t="s">
        <v>1110</v>
      </c>
      <c r="H199" s="19"/>
      <c r="I199" s="19" t="s">
        <v>1111</v>
      </c>
      <c r="J199" s="18" t="n">
        <f aca="false">'Build-Up'!F83</f>
        <v>55500</v>
      </c>
    </row>
    <row r="200" customFormat="false" ht="54.75" hidden="false" customHeight="true" outlineLevel="0" collapsed="false">
      <c r="A200" s="16" t="s">
        <v>265</v>
      </c>
      <c r="B200" s="17" t="str">
        <f aca="false">'Build-Up'!B84</f>
        <v>Power-tool hire</v>
      </c>
      <c r="C200" s="19" t="s">
        <v>1112</v>
      </c>
      <c r="D200" s="19"/>
      <c r="E200" s="19" t="s">
        <v>1113</v>
      </c>
      <c r="F200" s="19"/>
      <c r="G200" s="19" t="s">
        <v>1114</v>
      </c>
      <c r="H200" s="19"/>
      <c r="I200" s="19" t="s">
        <v>1115</v>
      </c>
      <c r="J200" s="18" t="n">
        <f aca="false">'Build-Up'!F84</f>
        <v>6750</v>
      </c>
    </row>
    <row r="201" customFormat="false" ht="42" hidden="false" customHeight="true" outlineLevel="0" collapsed="false">
      <c r="A201" s="16" t="s">
        <v>268</v>
      </c>
      <c r="B201" s="17" t="str">
        <f aca="false">'Build-Up'!B85</f>
        <v>Sealant-application tools and jointing consumables</v>
      </c>
      <c r="C201" s="19" t="s">
        <v>1116</v>
      </c>
      <c r="D201" s="19"/>
      <c r="E201" s="19" t="s">
        <v>1117</v>
      </c>
      <c r="F201" s="19"/>
      <c r="G201" s="19" t="s">
        <v>1118</v>
      </c>
      <c r="H201" s="19"/>
      <c r="I201" s="19" t="s">
        <v>1119</v>
      </c>
      <c r="J201" s="18" t="n">
        <f aca="false">'Build-Up'!F85</f>
        <v>0</v>
      </c>
    </row>
    <row r="202" customFormat="false" ht="30" hidden="false" customHeight="true" outlineLevel="0" collapsed="false">
      <c r="A202" s="16" t="s">
        <v>271</v>
      </c>
      <c r="B202" s="17" t="str">
        <f aca="false">'Build-Up'!B86</f>
        <v>Fixings, touch-up and miscellaneous consumables</v>
      </c>
      <c r="C202" s="19" t="s">
        <v>1120</v>
      </c>
      <c r="D202" s="19"/>
      <c r="E202" s="19" t="s">
        <v>1121</v>
      </c>
      <c r="F202" s="19"/>
      <c r="G202" s="19" t="s">
        <v>1118</v>
      </c>
      <c r="H202" s="19"/>
      <c r="I202" s="19" t="s">
        <v>1119</v>
      </c>
      <c r="J202" s="18" t="n">
        <f aca="false">'Build-Up'!F86</f>
        <v>0</v>
      </c>
    </row>
    <row r="203" customFormat="false" ht="42" hidden="false" customHeight="true" outlineLevel="0" collapsed="false">
      <c r="A203" s="16" t="s">
        <v>274</v>
      </c>
      <c r="B203" s="17" t="str">
        <f aca="false">'Build-Up'!B87</f>
        <v>Mobile lighting towers, 2 No. for the erection window</v>
      </c>
      <c r="C203" s="19" t="s">
        <v>1122</v>
      </c>
      <c r="D203" s="19"/>
      <c r="E203" s="19" t="s">
        <v>1123</v>
      </c>
      <c r="F203" s="19"/>
      <c r="G203" s="19" t="s">
        <v>1124</v>
      </c>
      <c r="H203" s="19"/>
      <c r="I203" s="19" t="s">
        <v>72</v>
      </c>
      <c r="J203" s="18" t="n">
        <f aca="false">'Build-Up'!F87</f>
        <v>6480</v>
      </c>
    </row>
    <row r="204" customFormat="false" ht="30" hidden="false" customHeight="true" outlineLevel="0" collapsed="false">
      <c r="A204" s="16" t="s">
        <v>277</v>
      </c>
      <c r="B204" s="17" t="str">
        <f aca="false">'Build-Up'!B88</f>
        <v>Temporary distribution boards and cabling</v>
      </c>
      <c r="C204" s="19" t="s">
        <v>1125</v>
      </c>
      <c r="D204" s="19"/>
      <c r="E204" s="19" t="s">
        <v>1126</v>
      </c>
      <c r="F204" s="19"/>
      <c r="G204" s="19" t="s">
        <v>1127</v>
      </c>
      <c r="H204" s="19"/>
      <c r="I204" s="19" t="s">
        <v>72</v>
      </c>
      <c r="J204" s="18" t="n">
        <f aca="false">'Build-Up'!F88</f>
        <v>2800</v>
      </c>
    </row>
    <row r="205" customFormat="false" ht="80.25" hidden="false" customHeight="true" outlineLevel="0" collapsed="false">
      <c r="A205" s="16" t="s">
        <v>282</v>
      </c>
      <c r="B205" s="17" t="str">
        <f aca="false">'Build-Up'!B94</f>
        <v>Adopted: Al Mousa Trading Co. quotation S04488 dated 09-Jul-2026 with Stalwart technical offer SS-07-26-1516 dated 03-Aug-2026 - sectional GRP tank 34 m x 30 m x 4.0 m, supplied and installed, rate per tank</v>
      </c>
      <c r="C205" s="19" t="s">
        <v>1128</v>
      </c>
      <c r="D205" s="19"/>
      <c r="E205" s="19" t="s">
        <v>1129</v>
      </c>
      <c r="F205" s="19"/>
      <c r="G205" s="19" t="s">
        <v>1130</v>
      </c>
      <c r="H205" s="19"/>
      <c r="I205" s="19" t="s">
        <v>1131</v>
      </c>
      <c r="J205" s="18" t="n">
        <f aca="false">'Build-Up'!F94</f>
        <v>2763500</v>
      </c>
    </row>
    <row r="206" customFormat="false" ht="30" hidden="false" customHeight="true" outlineLevel="0" collapsed="false">
      <c r="A206" s="16" t="s">
        <v>288</v>
      </c>
      <c r="B206" s="17" t="str">
        <f aca="false">'Build-Up'!B100</f>
        <v>Test water - first tank fill to test level</v>
      </c>
      <c r="C206" s="19" t="s">
        <v>1132</v>
      </c>
      <c r="D206" s="19"/>
      <c r="E206" s="19" t="s">
        <v>1133</v>
      </c>
      <c r="F206" s="19"/>
      <c r="G206" s="19" t="s">
        <v>1134</v>
      </c>
      <c r="H206" s="19"/>
      <c r="I206" s="19" t="s">
        <v>72</v>
      </c>
      <c r="J206" s="18" t="n">
        <f aca="false">'Build-Up'!F100</f>
        <v>22644</v>
      </c>
    </row>
    <row r="207" customFormat="false" ht="30" hidden="false" customHeight="true" outlineLevel="0" collapsed="false">
      <c r="A207" s="16" t="s">
        <v>291</v>
      </c>
      <c r="B207" s="17" t="str">
        <f aca="false">'Build-Up'!B101</f>
        <v>Transfer pump hire - Tank 1 to Tank 2</v>
      </c>
      <c r="C207" s="19" t="s">
        <v>1135</v>
      </c>
      <c r="D207" s="19"/>
      <c r="E207" s="19" t="s">
        <v>1136</v>
      </c>
      <c r="F207" s="19"/>
      <c r="G207" s="19" t="s">
        <v>1137</v>
      </c>
      <c r="H207" s="19"/>
      <c r="I207" s="19" t="s">
        <v>72</v>
      </c>
      <c r="J207" s="18" t="n">
        <f aca="false">'Build-Up'!F101</f>
        <v>3500</v>
      </c>
    </row>
    <row r="208" customFormat="false" ht="30" hidden="false" customHeight="true" outlineLevel="0" collapsed="false">
      <c r="A208" s="16" t="s">
        <v>294</v>
      </c>
      <c r="B208" s="17" t="str">
        <f aca="false">'Build-Up'!B102</f>
        <v>Transfer hoses and fittings hire</v>
      </c>
      <c r="C208" s="19" t="s">
        <v>753</v>
      </c>
      <c r="D208" s="19"/>
      <c r="E208" s="19" t="s">
        <v>1138</v>
      </c>
      <c r="F208" s="19"/>
      <c r="G208" s="19" t="s">
        <v>1139</v>
      </c>
      <c r="H208" s="19"/>
      <c r="I208" s="19" t="s">
        <v>72</v>
      </c>
      <c r="J208" s="18" t="n">
        <f aca="false">'Build-Up'!F102</f>
        <v>1000</v>
      </c>
    </row>
    <row r="209" customFormat="false" ht="42" hidden="false" customHeight="true" outlineLevel="0" collapsed="false">
      <c r="A209" s="16" t="s">
        <v>297</v>
      </c>
      <c r="B209" s="17" t="str">
        <f aca="false">'Build-Up'!B103</f>
        <v>Transfer labour, 2 No. x 3 days</v>
      </c>
      <c r="C209" s="19" t="s">
        <v>753</v>
      </c>
      <c r="D209" s="19"/>
      <c r="E209" s="19" t="s">
        <v>1140</v>
      </c>
      <c r="F209" s="19"/>
      <c r="G209" s="19" t="s">
        <v>1141</v>
      </c>
      <c r="H209" s="19"/>
      <c r="I209" s="19" t="s">
        <v>1142</v>
      </c>
      <c r="J209" s="18" t="n">
        <f aca="false">'Build-Up'!F103</f>
        <v>900</v>
      </c>
    </row>
    <row r="210" customFormat="false" ht="30" hidden="false" customHeight="true" outlineLevel="0" collapsed="false">
      <c r="A210" s="16" t="s">
        <v>300</v>
      </c>
      <c r="B210" s="17" t="str">
        <f aca="false">'Build-Up'!B104</f>
        <v>Top-up water for losses and test level</v>
      </c>
      <c r="C210" s="19" t="s">
        <v>1143</v>
      </c>
      <c r="D210" s="19"/>
      <c r="E210" s="19" t="s">
        <v>1144</v>
      </c>
      <c r="F210" s="19"/>
      <c r="G210" s="19" t="s">
        <v>1145</v>
      </c>
      <c r="H210" s="19"/>
      <c r="I210" s="19" t="s">
        <v>72</v>
      </c>
      <c r="J210" s="18" t="n">
        <f aca="false">'Build-Up'!F104</f>
        <v>2262</v>
      </c>
    </row>
    <row r="211" customFormat="false" ht="30" hidden="false" customHeight="true" outlineLevel="0" collapsed="false">
      <c r="A211" s="16" t="s">
        <v>303</v>
      </c>
      <c r="B211" s="17" t="str">
        <f aca="false">'Build-Up'!B105</f>
        <v>Disinfection chemicals, hypochlorite (AWWA C652)</v>
      </c>
      <c r="C211" s="19" t="s">
        <v>1146</v>
      </c>
      <c r="D211" s="19"/>
      <c r="E211" s="19" t="s">
        <v>1147</v>
      </c>
      <c r="F211" s="19"/>
      <c r="G211" s="19" t="s">
        <v>1148</v>
      </c>
      <c r="H211" s="19"/>
      <c r="I211" s="19" t="s">
        <v>72</v>
      </c>
      <c r="J211" s="18" t="n">
        <f aca="false">'Build-Up'!F105</f>
        <v>4800</v>
      </c>
    </row>
    <row r="212" customFormat="false" ht="30" hidden="false" customHeight="true" outlineLevel="0" collapsed="false">
      <c r="A212" s="16" t="s">
        <v>306</v>
      </c>
      <c r="B212" s="17" t="str">
        <f aca="false">'Build-Up'!B106</f>
        <v>Chlorine dosing equipment hire</v>
      </c>
      <c r="C212" s="19" t="s">
        <v>1149</v>
      </c>
      <c r="D212" s="19"/>
      <c r="E212" s="19" t="s">
        <v>1150</v>
      </c>
      <c r="F212" s="19"/>
      <c r="G212" s="19" t="s">
        <v>1151</v>
      </c>
      <c r="H212" s="19"/>
      <c r="I212" s="19" t="s">
        <v>72</v>
      </c>
      <c r="J212" s="18" t="n">
        <f aca="false">'Build-Up'!F106</f>
        <v>1500</v>
      </c>
    </row>
    <row r="213" customFormat="false" ht="31.5" hidden="false" customHeight="true" outlineLevel="0" collapsed="false">
      <c r="A213" s="13" t="s">
        <v>92</v>
      </c>
      <c r="B213" s="13" t="s">
        <v>986</v>
      </c>
      <c r="C213" s="13" t="s">
        <v>987</v>
      </c>
      <c r="D213" s="13"/>
      <c r="E213" s="13" t="s">
        <v>988</v>
      </c>
      <c r="F213" s="13"/>
      <c r="G213" s="13" t="s">
        <v>989</v>
      </c>
      <c r="H213" s="13"/>
      <c r="I213" s="13" t="s">
        <v>990</v>
      </c>
      <c r="J213" s="13" t="s">
        <v>439</v>
      </c>
    </row>
    <row r="214" customFormat="false" ht="30" hidden="false" customHeight="true" outlineLevel="0" collapsed="false">
      <c r="A214" s="16" t="s">
        <v>308</v>
      </c>
      <c r="B214" s="17" t="str">
        <f aca="false">'Build-Up'!B107</f>
        <v>Disinfection and flushing labour, 2 No. x 10 days</v>
      </c>
      <c r="C214" s="19" t="s">
        <v>1149</v>
      </c>
      <c r="D214" s="19"/>
      <c r="E214" s="19" t="s">
        <v>1152</v>
      </c>
      <c r="F214" s="19"/>
      <c r="G214" s="19" t="s">
        <v>1153</v>
      </c>
      <c r="H214" s="19"/>
      <c r="I214" s="19" t="s">
        <v>1154</v>
      </c>
      <c r="J214" s="18" t="n">
        <f aca="false">'Build-Up'!F107</f>
        <v>3000</v>
      </c>
    </row>
    <row r="215" customFormat="false" ht="30" hidden="false" customHeight="true" outlineLevel="0" collapsed="false">
      <c r="A215" s="16" t="s">
        <v>310</v>
      </c>
      <c r="B215" s="17" t="str">
        <f aca="false">'Build-Up'!B108</f>
        <v>Dechlorination chemicals for discharge</v>
      </c>
      <c r="C215" s="19" t="s">
        <v>1155</v>
      </c>
      <c r="D215" s="19"/>
      <c r="E215" s="19" t="s">
        <v>1156</v>
      </c>
      <c r="F215" s="19"/>
      <c r="G215" s="19" t="s">
        <v>1157</v>
      </c>
      <c r="H215" s="19"/>
      <c r="I215" s="19" t="s">
        <v>72</v>
      </c>
      <c r="J215" s="18" t="n">
        <f aca="false">'Build-Up'!F108</f>
        <v>2000</v>
      </c>
    </row>
    <row r="216" customFormat="false" ht="30" hidden="false" customHeight="true" outlineLevel="0" collapsed="false">
      <c r="A216" s="16" t="s">
        <v>312</v>
      </c>
      <c r="B216" s="17" t="str">
        <f aca="false">'Build-Up'!B109</f>
        <v>Sampling, transport and handling</v>
      </c>
      <c r="C216" s="19" t="s">
        <v>1149</v>
      </c>
      <c r="D216" s="19"/>
      <c r="E216" s="19" t="s">
        <v>1158</v>
      </c>
      <c r="F216" s="19"/>
      <c r="G216" s="19" t="s">
        <v>1159</v>
      </c>
      <c r="H216" s="19"/>
      <c r="I216" s="19" t="s">
        <v>72</v>
      </c>
      <c r="J216" s="18" t="n">
        <f aca="false">'Build-Up'!F109</f>
        <v>3700</v>
      </c>
    </row>
    <row r="217" customFormat="false" ht="42" hidden="false" customHeight="true" outlineLevel="0" collapsed="false">
      <c r="A217" s="16" t="s">
        <v>314</v>
      </c>
      <c r="B217" s="17" t="str">
        <f aca="false">'Build-Up'!B110</f>
        <v>Third-party laboratory water-quality tests</v>
      </c>
      <c r="C217" s="19" t="s">
        <v>1149</v>
      </c>
      <c r="D217" s="19"/>
      <c r="E217" s="19" t="s">
        <v>1160</v>
      </c>
      <c r="F217" s="19"/>
      <c r="G217" s="19" t="s">
        <v>1161</v>
      </c>
      <c r="H217" s="19"/>
      <c r="I217" s="19" t="s">
        <v>1162</v>
      </c>
      <c r="J217" s="18" t="n">
        <f aca="false">'Build-Up'!F110</f>
        <v>7200</v>
      </c>
    </row>
    <row r="218" customFormat="false" ht="42" hidden="false" customHeight="true" outlineLevel="0" collapsed="false">
      <c r="A218" s="16" t="s">
        <v>318</v>
      </c>
      <c r="B218" s="17" t="str">
        <f aca="false">'Build-Up'!B111</f>
        <v>Third-party inspection visits</v>
      </c>
      <c r="C218" s="19" t="s">
        <v>1163</v>
      </c>
      <c r="D218" s="19"/>
      <c r="E218" s="19" t="s">
        <v>1164</v>
      </c>
      <c r="F218" s="19"/>
      <c r="G218" s="19" t="s">
        <v>1164</v>
      </c>
      <c r="H218" s="19"/>
      <c r="I218" s="19" t="s">
        <v>1165</v>
      </c>
      <c r="J218" s="18" t="n">
        <f aca="false">'Build-Up'!F111</f>
        <v>0</v>
      </c>
    </row>
    <row r="219" customFormat="false" ht="67.5" hidden="false" customHeight="true" outlineLevel="0" collapsed="false">
      <c r="A219" s="16" t="s">
        <v>322</v>
      </c>
      <c r="B219" s="17" t="str">
        <f aca="false">'Build-Up'!B112</f>
        <v>Commissioning engineer</v>
      </c>
      <c r="C219" s="19" t="s">
        <v>1166</v>
      </c>
      <c r="D219" s="19"/>
      <c r="E219" s="19" t="s">
        <v>1167</v>
      </c>
      <c r="F219" s="19"/>
      <c r="G219" s="19" t="s">
        <v>1071</v>
      </c>
      <c r="H219" s="19"/>
      <c r="I219" s="19" t="s">
        <v>1168</v>
      </c>
      <c r="J219" s="18" t="n">
        <f aca="false">'Build-Up'!F112</f>
        <v>16000</v>
      </c>
    </row>
    <row r="220" customFormat="false" ht="42" hidden="false" customHeight="true" outlineLevel="0" collapsed="false">
      <c r="A220" s="16" t="s">
        <v>325</v>
      </c>
      <c r="B220" s="17" t="str">
        <f aca="false">'Build-Up'!B113</f>
        <v>MEP technicians - pump and network interfaces, 2 No. x 10 days (RFP Scope of Works, work package 9 - system integration)</v>
      </c>
      <c r="C220" s="19" t="s">
        <v>1169</v>
      </c>
      <c r="D220" s="19"/>
      <c r="E220" s="19" t="s">
        <v>1170</v>
      </c>
      <c r="F220" s="19"/>
      <c r="G220" s="19" t="s">
        <v>1171</v>
      </c>
      <c r="H220" s="19"/>
      <c r="I220" s="19" t="s">
        <v>72</v>
      </c>
      <c r="J220" s="18" t="n">
        <f aca="false">'Build-Up'!F113</f>
        <v>4800</v>
      </c>
    </row>
    <row r="221" customFormat="false" ht="54.75" hidden="false" customHeight="true" outlineLevel="0" collapsed="false">
      <c r="A221" s="16" t="s">
        <v>328</v>
      </c>
      <c r="B221" s="17" t="str">
        <f aca="false">'Build-Up'!B114</f>
        <v>Electrician - instrument and readout connections</v>
      </c>
      <c r="C221" s="19" t="s">
        <v>1172</v>
      </c>
      <c r="D221" s="19"/>
      <c r="E221" s="19" t="s">
        <v>1173</v>
      </c>
      <c r="F221" s="19"/>
      <c r="G221" s="19" t="s">
        <v>1174</v>
      </c>
      <c r="H221" s="19"/>
      <c r="I221" s="19" t="s">
        <v>1175</v>
      </c>
      <c r="J221" s="18" t="n">
        <f aca="false">'Build-Up'!F114</f>
        <v>2000</v>
      </c>
    </row>
    <row r="222" customFormat="false" ht="54.75" hidden="false" customHeight="true" outlineLevel="0" collapsed="false">
      <c r="A222" s="16" t="s">
        <v>330</v>
      </c>
      <c r="B222" s="17" t="str">
        <f aca="false">'Build-Up'!B115</f>
        <v>Integration coordination engineer - tie-ins with the Employer and Engineer</v>
      </c>
      <c r="C222" s="19" t="s">
        <v>1176</v>
      </c>
      <c r="D222" s="19"/>
      <c r="E222" s="19" t="s">
        <v>1177</v>
      </c>
      <c r="F222" s="19"/>
      <c r="G222" s="19" t="s">
        <v>1178</v>
      </c>
      <c r="H222" s="19"/>
      <c r="I222" s="19" t="s">
        <v>72</v>
      </c>
      <c r="J222" s="18" t="n">
        <f aca="false">'Build-Up'!F115</f>
        <v>5000</v>
      </c>
    </row>
    <row r="223" customFormat="false" ht="30" hidden="false" customHeight="true" outlineLevel="0" collapsed="false">
      <c r="A223" s="16" t="s">
        <v>333</v>
      </c>
      <c r="B223" s="17" t="str">
        <f aca="false">'Build-Up'!B116</f>
        <v>Calibration technician</v>
      </c>
      <c r="C223" s="19" t="s">
        <v>759</v>
      </c>
      <c r="D223" s="19"/>
      <c r="E223" s="19" t="s">
        <v>1179</v>
      </c>
      <c r="F223" s="19"/>
      <c r="G223" s="19" t="s">
        <v>1056</v>
      </c>
      <c r="H223" s="19"/>
      <c r="I223" s="19" t="s">
        <v>72</v>
      </c>
      <c r="J223" s="18" t="n">
        <f aca="false">'Build-Up'!F116</f>
        <v>4000</v>
      </c>
    </row>
    <row r="224" customFormat="false" ht="30" hidden="false" customHeight="true" outlineLevel="0" collapsed="false">
      <c r="A224" s="16" t="s">
        <v>335</v>
      </c>
      <c r="B224" s="17" t="str">
        <f aca="false">'Build-Up'!B117</f>
        <v>Certified instrument calibrations</v>
      </c>
      <c r="C224" s="19" t="s">
        <v>759</v>
      </c>
      <c r="D224" s="19"/>
      <c r="E224" s="19" t="s">
        <v>1180</v>
      </c>
      <c r="F224" s="19"/>
      <c r="G224" s="19" t="s">
        <v>1181</v>
      </c>
      <c r="H224" s="19"/>
      <c r="I224" s="19" t="s">
        <v>72</v>
      </c>
      <c r="J224" s="18" t="n">
        <f aca="false">'Build-Up'!F117</f>
        <v>4500</v>
      </c>
    </row>
    <row r="225" customFormat="false" ht="30" hidden="false" customHeight="true" outlineLevel="0" collapsed="false">
      <c r="A225" s="16" t="s">
        <v>337</v>
      </c>
      <c r="B225" s="17" t="str">
        <f aca="false">'Build-Up'!B118</f>
        <v>Test-equipment hire - calibrated gauges, data logger</v>
      </c>
      <c r="C225" s="19" t="s">
        <v>1182</v>
      </c>
      <c r="D225" s="19"/>
      <c r="E225" s="19" t="s">
        <v>1183</v>
      </c>
      <c r="F225" s="19"/>
      <c r="G225" s="19" t="s">
        <v>1151</v>
      </c>
      <c r="H225" s="19"/>
      <c r="I225" s="19" t="s">
        <v>72</v>
      </c>
      <c r="J225" s="18" t="n">
        <f aca="false">'Build-Up'!F118</f>
        <v>1500</v>
      </c>
    </row>
    <row r="226" customFormat="false" ht="54.75" hidden="false" customHeight="true" outlineLevel="0" collapsed="false">
      <c r="A226" s="16" t="s">
        <v>339</v>
      </c>
      <c r="B226" s="17" t="str">
        <f aca="false">'Build-Up'!B119</f>
        <v>Technical clerk - test records, ITP/WIR close-out</v>
      </c>
      <c r="C226" s="19" t="s">
        <v>1184</v>
      </c>
      <c r="D226" s="19"/>
      <c r="E226" s="19" t="s">
        <v>1185</v>
      </c>
      <c r="F226" s="19"/>
      <c r="G226" s="19" t="s">
        <v>1186</v>
      </c>
      <c r="H226" s="19"/>
      <c r="I226" s="19" t="s">
        <v>1187</v>
      </c>
      <c r="J226" s="18" t="n">
        <f aca="false">'Build-Up'!F119</f>
        <v>6000</v>
      </c>
    </row>
    <row r="227" customFormat="false" ht="30" hidden="false" customHeight="true" outlineLevel="0" collapsed="false">
      <c r="A227" s="16" t="s">
        <v>342</v>
      </c>
      <c r="B227" s="17" t="str">
        <f aca="false">'Build-Up'!B120</f>
        <v>As-built mark-ups at close-out - draughtsman, issued via Aconex</v>
      </c>
      <c r="C227" s="19" t="s">
        <v>1188</v>
      </c>
      <c r="D227" s="19"/>
      <c r="E227" s="19" t="s">
        <v>1189</v>
      </c>
      <c r="F227" s="19"/>
      <c r="G227" s="19" t="s">
        <v>1190</v>
      </c>
      <c r="H227" s="19"/>
      <c r="I227" s="19" t="s">
        <v>1191</v>
      </c>
      <c r="J227" s="18" t="n">
        <f aca="false">'Build-Up'!F120</f>
        <v>4000</v>
      </c>
    </row>
    <row r="228" customFormat="false" ht="42" hidden="false" customHeight="true" outlineLevel="0" collapsed="false">
      <c r="A228" s="16" t="s">
        <v>344</v>
      </c>
      <c r="B228" s="17" t="str">
        <f aca="false">'Build-Up'!B121</f>
        <v>Tanker and pump standby during filling and test holds</v>
      </c>
      <c r="C228" s="19" t="s">
        <v>1192</v>
      </c>
      <c r="D228" s="19"/>
      <c r="E228" s="19" t="s">
        <v>1193</v>
      </c>
      <c r="F228" s="19"/>
      <c r="G228" s="19" t="s">
        <v>1194</v>
      </c>
      <c r="H228" s="19"/>
      <c r="I228" s="19" t="s">
        <v>1195</v>
      </c>
      <c r="J228" s="18" t="n">
        <f aca="false">'Build-Up'!F121</f>
        <v>2000</v>
      </c>
    </row>
    <row r="229" customFormat="false" ht="42" hidden="false" customHeight="true" outlineLevel="0" collapsed="false">
      <c r="A229" s="16" t="s">
        <v>347</v>
      </c>
      <c r="B229" s="17" t="str">
        <f aca="false">'Build-Up'!B122</f>
        <v>Third-party factory acceptance test of the GRP panels - inspector days and travel to the factory</v>
      </c>
      <c r="C229" s="19" t="s">
        <v>1196</v>
      </c>
      <c r="D229" s="19"/>
      <c r="E229" s="19" t="s">
        <v>1197</v>
      </c>
      <c r="F229" s="19"/>
      <c r="G229" s="19" t="s">
        <v>1198</v>
      </c>
      <c r="H229" s="19"/>
      <c r="I229" s="19" t="s">
        <v>1199</v>
      </c>
      <c r="J229" s="18" t="n">
        <f aca="false">'Build-Up'!F122</f>
        <v>0</v>
      </c>
    </row>
    <row r="230" customFormat="false" ht="54.75" hidden="false" customHeight="true" outlineLevel="0" collapsed="false">
      <c r="A230" s="16" t="s">
        <v>354</v>
      </c>
      <c r="B230" s="17" t="str">
        <f aca="false">'Build-Up'!B129</f>
        <v>Main pipework above DN150 - GRP or ductile iron with internal lining, with fittings, supplied and installed (RFP General Piping Requirements)</v>
      </c>
      <c r="C230" s="19" t="s">
        <v>1200</v>
      </c>
      <c r="D230" s="19"/>
      <c r="E230" s="19" t="s">
        <v>1201</v>
      </c>
      <c r="F230" s="19"/>
      <c r="G230" s="19" t="s">
        <v>1202</v>
      </c>
      <c r="H230" s="19"/>
      <c r="I230" s="19" t="s">
        <v>72</v>
      </c>
      <c r="J230" s="18" t="n">
        <f aca="false">'Build-Up'!F129</f>
        <v>80000</v>
      </c>
    </row>
    <row r="231" customFormat="false" ht="30" hidden="false" customHeight="true" outlineLevel="0" collapsed="false">
      <c r="A231" s="16" t="s">
        <v>358</v>
      </c>
      <c r="B231" s="17" t="str">
        <f aca="false">'Build-Up'!B130</f>
        <v>Small-bore pipework below DN150 - uPVC Schedule 40, supplied and installed</v>
      </c>
      <c r="C231" s="19" t="s">
        <v>1203</v>
      </c>
      <c r="D231" s="19"/>
      <c r="E231" s="19" t="s">
        <v>1204</v>
      </c>
      <c r="F231" s="19"/>
      <c r="G231" s="19" t="s">
        <v>1205</v>
      </c>
      <c r="H231" s="19"/>
      <c r="I231" s="19" t="s">
        <v>72</v>
      </c>
      <c r="J231" s="18" t="n">
        <f aca="false">'Build-Up'!F130</f>
        <v>7200</v>
      </c>
    </row>
    <row r="232" customFormat="false" ht="30" hidden="false" customHeight="true" outlineLevel="0" collapsed="false">
      <c r="A232" s="16" t="s">
        <v>361</v>
      </c>
      <c r="B232" s="17" t="str">
        <f aca="false">'Build-Up'!B131</f>
        <v>Resilient-seated butterfly isolation valves DN150-DN300, lever-operated up to DN200 and gearbox-operated above, installed</v>
      </c>
      <c r="C232" s="19" t="s">
        <v>1203</v>
      </c>
      <c r="D232" s="19"/>
      <c r="E232" s="19" t="s">
        <v>1206</v>
      </c>
      <c r="F232" s="19"/>
      <c r="G232" s="19" t="s">
        <v>1207</v>
      </c>
      <c r="H232" s="19"/>
      <c r="I232" s="19" t="s">
        <v>72</v>
      </c>
      <c r="J232" s="18" t="n">
        <f aca="false">'Build-Up'!F131</f>
        <v>55000</v>
      </c>
    </row>
    <row r="233" customFormat="false" ht="30" hidden="false" customHeight="true" outlineLevel="0" collapsed="false">
      <c r="A233" s="16" t="s">
        <v>364</v>
      </c>
      <c r="B233" s="17" t="str">
        <f aca="false">'Build-Up'!B132</f>
        <v>Dismantling joints DN250</v>
      </c>
      <c r="C233" s="19" t="s">
        <v>1203</v>
      </c>
      <c r="D233" s="19"/>
      <c r="E233" s="19" t="s">
        <v>1208</v>
      </c>
      <c r="F233" s="19"/>
      <c r="G233" s="19" t="s">
        <v>1097</v>
      </c>
      <c r="H233" s="19"/>
      <c r="I233" s="19" t="s">
        <v>72</v>
      </c>
      <c r="J233" s="18" t="n">
        <f aca="false">'Build-Up'!F132</f>
        <v>10000</v>
      </c>
    </row>
    <row r="234" customFormat="false" ht="42" hidden="false" customHeight="true" outlineLevel="0" collapsed="false">
      <c r="A234" s="16" t="s">
        <v>366</v>
      </c>
      <c r="B234" s="17" t="str">
        <f aca="false">'Build-Up'!B133</f>
        <v>Blind flanges on spare nozzles</v>
      </c>
      <c r="C234" s="19" t="s">
        <v>1209</v>
      </c>
      <c r="D234" s="19"/>
      <c r="E234" s="19" t="s">
        <v>1210</v>
      </c>
      <c r="F234" s="19"/>
      <c r="G234" s="19" t="s">
        <v>1211</v>
      </c>
      <c r="H234" s="19"/>
      <c r="I234" s="19" t="s">
        <v>1212</v>
      </c>
      <c r="J234" s="18" t="n">
        <f aca="false">'Build-Up'!F133</f>
        <v>3000</v>
      </c>
    </row>
    <row r="235" customFormat="false" ht="30" hidden="false" customHeight="true" outlineLevel="0" collapsed="false">
      <c r="A235" s="16" t="s">
        <v>368</v>
      </c>
      <c r="B235" s="17" t="str">
        <f aca="false">'Build-Up'!B134</f>
        <v>Flange sets, gaskets and bolting</v>
      </c>
      <c r="C235" s="19" t="s">
        <v>1203</v>
      </c>
      <c r="D235" s="19"/>
      <c r="E235" s="19" t="s">
        <v>1213</v>
      </c>
      <c r="F235" s="19"/>
      <c r="G235" s="19" t="s">
        <v>1214</v>
      </c>
      <c r="H235" s="19"/>
      <c r="I235" s="19" t="s">
        <v>72</v>
      </c>
      <c r="J235" s="18" t="n">
        <f aca="false">'Build-Up'!F134</f>
        <v>7000</v>
      </c>
    </row>
    <row r="236" customFormat="false" ht="31.5" hidden="false" customHeight="true" outlineLevel="0" collapsed="false">
      <c r="A236" s="13" t="s">
        <v>92</v>
      </c>
      <c r="B236" s="13" t="s">
        <v>986</v>
      </c>
      <c r="C236" s="13" t="s">
        <v>987</v>
      </c>
      <c r="D236" s="13"/>
      <c r="E236" s="13" t="s">
        <v>988</v>
      </c>
      <c r="F236" s="13"/>
      <c r="G236" s="13" t="s">
        <v>989</v>
      </c>
      <c r="H236" s="13"/>
      <c r="I236" s="13" t="s">
        <v>990</v>
      </c>
      <c r="J236" s="13" t="s">
        <v>439</v>
      </c>
    </row>
    <row r="237" customFormat="false" ht="30" hidden="false" customHeight="true" outlineLevel="0" collapsed="false">
      <c r="A237" s="16" t="s">
        <v>371</v>
      </c>
      <c r="B237" s="17" t="str">
        <f aca="false">'Build-Up'!B135</f>
        <v>Fabricated pipe supports, galvanised / 316 SS</v>
      </c>
      <c r="C237" s="19" t="s">
        <v>1203</v>
      </c>
      <c r="D237" s="19"/>
      <c r="E237" s="19" t="s">
        <v>1215</v>
      </c>
      <c r="F237" s="19"/>
      <c r="G237" s="19" t="s">
        <v>1216</v>
      </c>
      <c r="H237" s="19"/>
      <c r="I237" s="19" t="s">
        <v>72</v>
      </c>
      <c r="J237" s="18" t="n">
        <f aca="false">'Build-Up'!F135</f>
        <v>10000</v>
      </c>
    </row>
    <row r="238" customFormat="false" ht="30" hidden="false" customHeight="true" outlineLevel="0" collapsed="false">
      <c r="A238" s="16" t="s">
        <v>373</v>
      </c>
      <c r="B238" s="17" t="str">
        <f aca="false">'Build-Up'!B136</f>
        <v>Anchor and thrust blocks at bends and valves</v>
      </c>
      <c r="C238" s="19" t="s">
        <v>1203</v>
      </c>
      <c r="D238" s="19"/>
      <c r="E238" s="19" t="s">
        <v>1217</v>
      </c>
      <c r="F238" s="19"/>
      <c r="G238" s="19" t="s">
        <v>1211</v>
      </c>
      <c r="H238" s="19"/>
      <c r="I238" s="19" t="s">
        <v>72</v>
      </c>
      <c r="J238" s="18" t="n">
        <f aca="false">'Build-Up'!F136</f>
        <v>5000</v>
      </c>
    </row>
    <row r="239" customFormat="false" ht="42" hidden="false" customHeight="true" outlineLevel="0" collapsed="false">
      <c r="A239" s="16" t="s">
        <v>375</v>
      </c>
      <c r="B239" s="17" t="str">
        <f aca="false">'Build-Up'!B137</f>
        <v>Float-and-tape level indicators with local readout (RFP Scope of Works, work package 7 - level instrumentation)</v>
      </c>
      <c r="C239" s="19" t="s">
        <v>1218</v>
      </c>
      <c r="D239" s="19"/>
      <c r="E239" s="19" t="s">
        <v>1219</v>
      </c>
      <c r="F239" s="19"/>
      <c r="G239" s="19" t="s">
        <v>1220</v>
      </c>
      <c r="H239" s="19"/>
      <c r="I239" s="19" t="s">
        <v>1221</v>
      </c>
      <c r="J239" s="18" t="n">
        <f aca="false">'Build-Up'!F137</f>
        <v>7000</v>
      </c>
    </row>
    <row r="240" customFormat="false" ht="30" hidden="false" customHeight="true" outlineLevel="0" collapsed="false">
      <c r="A240" s="16" t="s">
        <v>377</v>
      </c>
      <c r="B240" s="17" t="str">
        <f aca="false">'Build-Up'!B138</f>
        <v>Level transmitters with remote indication</v>
      </c>
      <c r="C240" s="19" t="s">
        <v>1222</v>
      </c>
      <c r="D240" s="19"/>
      <c r="E240" s="19" t="s">
        <v>1223</v>
      </c>
      <c r="F240" s="19"/>
      <c r="G240" s="19" t="s">
        <v>1220</v>
      </c>
      <c r="H240" s="19"/>
      <c r="I240" s="19" t="s">
        <v>72</v>
      </c>
      <c r="J240" s="18" t="n">
        <f aca="false">'Build-Up'!F138</f>
        <v>9000</v>
      </c>
    </row>
    <row r="241" customFormat="false" ht="30" hidden="false" customHeight="true" outlineLevel="0" collapsed="false">
      <c r="A241" s="16" t="s">
        <v>380</v>
      </c>
      <c r="B241" s="17" t="str">
        <f aca="false">'Build-Up'!B139</f>
        <v>Instrument cabling and conduit to readout points</v>
      </c>
      <c r="C241" s="19" t="s">
        <v>1222</v>
      </c>
      <c r="D241" s="19"/>
      <c r="E241" s="19" t="s">
        <v>1224</v>
      </c>
      <c r="F241" s="19"/>
      <c r="G241" s="19" t="s">
        <v>1225</v>
      </c>
      <c r="H241" s="19"/>
      <c r="I241" s="19" t="s">
        <v>1226</v>
      </c>
      <c r="J241" s="18" t="n">
        <f aca="false">'Build-Up'!F139</f>
        <v>4000</v>
      </c>
    </row>
    <row r="242" customFormat="false" ht="30" hidden="false" customHeight="true" outlineLevel="0" collapsed="false">
      <c r="A242" s="16" t="s">
        <v>383</v>
      </c>
      <c r="B242" s="17" t="str">
        <f aca="false">'Build-Up'!B140</f>
        <v>Pressure gauge assemblies on the outlet header (RFP Scope of Works 3.1)</v>
      </c>
      <c r="C242" s="19" t="s">
        <v>1227</v>
      </c>
      <c r="D242" s="19"/>
      <c r="E242" s="19" t="s">
        <v>1228</v>
      </c>
      <c r="F242" s="19"/>
      <c r="G242" s="19" t="s">
        <v>1127</v>
      </c>
      <c r="H242" s="19"/>
      <c r="I242" s="19" t="s">
        <v>72</v>
      </c>
      <c r="J242" s="18" t="n">
        <f aca="false">'Build-Up'!F140</f>
        <v>5000</v>
      </c>
    </row>
    <row r="243" customFormat="false" ht="30" hidden="false" customHeight="true" outlineLevel="0" collapsed="false">
      <c r="A243" s="16" t="s">
        <v>385</v>
      </c>
      <c r="B243" s="17" t="str">
        <f aca="false">'Build-Up'!B141</f>
        <v>Stainless steel sample taps on the outlet lines (RFP Scope of Works 3.1)</v>
      </c>
      <c r="C243" s="19" t="s">
        <v>1227</v>
      </c>
      <c r="D243" s="19"/>
      <c r="E243" s="19" t="s">
        <v>1229</v>
      </c>
      <c r="F243" s="19"/>
      <c r="G243" s="19" t="s">
        <v>1220</v>
      </c>
      <c r="H243" s="19"/>
      <c r="I243" s="19" t="s">
        <v>72</v>
      </c>
      <c r="J243" s="18" t="n">
        <f aca="false">'Build-Up'!F141</f>
        <v>3000</v>
      </c>
    </row>
    <row r="244" customFormat="false" ht="42" hidden="false" customHeight="true" outlineLevel="0" collapsed="false">
      <c r="A244" s="16" t="s">
        <v>387</v>
      </c>
      <c r="B244" s="17" t="str">
        <f aca="false">'Build-Up'!B142</f>
        <v>Tie-ins to the irrigation and firefighting networks</v>
      </c>
      <c r="C244" s="19" t="s">
        <v>1230</v>
      </c>
      <c r="D244" s="19"/>
      <c r="E244" s="19" t="s">
        <v>1231</v>
      </c>
      <c r="F244" s="19"/>
      <c r="G244" s="19" t="s">
        <v>1220</v>
      </c>
      <c r="H244" s="19"/>
      <c r="I244" s="19" t="s">
        <v>72</v>
      </c>
      <c r="J244" s="18" t="n">
        <f aca="false">'Build-Up'!F142</f>
        <v>12000</v>
      </c>
    </row>
    <row r="245" customFormat="false" ht="80.25" hidden="false" customHeight="true" outlineLevel="0" collapsed="false">
      <c r="A245" s="16" t="s">
        <v>390</v>
      </c>
      <c r="B245" s="17" t="str">
        <f aca="false">'Build-Up'!B143</f>
        <v>Tie-in coordination and out-of-hours working</v>
      </c>
      <c r="C245" s="19" t="s">
        <v>1227</v>
      </c>
      <c r="D245" s="19"/>
      <c r="E245" s="19" t="s">
        <v>1232</v>
      </c>
      <c r="F245" s="19"/>
      <c r="G245" s="19" t="s">
        <v>1220</v>
      </c>
      <c r="H245" s="19"/>
      <c r="I245" s="19" t="s">
        <v>1233</v>
      </c>
      <c r="J245" s="18" t="n">
        <f aca="false">'Build-Up'!F143</f>
        <v>8000</v>
      </c>
    </row>
    <row r="246" customFormat="false" ht="30" hidden="false" customHeight="true" outlineLevel="0" collapsed="false">
      <c r="A246" s="16" t="s">
        <v>392</v>
      </c>
      <c r="B246" s="17" t="str">
        <f aca="false">'Build-Up'!B144</f>
        <v>Test pump and manifold hire</v>
      </c>
      <c r="C246" s="19" t="s">
        <v>1234</v>
      </c>
      <c r="D246" s="19"/>
      <c r="E246" s="19" t="s">
        <v>1235</v>
      </c>
      <c r="F246" s="19"/>
      <c r="G246" s="19" t="s">
        <v>1151</v>
      </c>
      <c r="H246" s="19"/>
      <c r="I246" s="19" t="s">
        <v>1236</v>
      </c>
      <c r="J246" s="18" t="n">
        <f aca="false">'Build-Up'!F144</f>
        <v>3000</v>
      </c>
    </row>
    <row r="247" customFormat="false" ht="30" hidden="false" customHeight="true" outlineLevel="0" collapsed="false">
      <c r="A247" s="16" t="s">
        <v>394</v>
      </c>
      <c r="B247" s="17" t="str">
        <f aca="false">'Build-Up'!B145</f>
        <v>Test and flushing water for pipework, tankered</v>
      </c>
      <c r="C247" s="19" t="s">
        <v>1237</v>
      </c>
      <c r="D247" s="19"/>
      <c r="E247" s="19" t="s">
        <v>1238</v>
      </c>
      <c r="F247" s="19"/>
      <c r="G247" s="19" t="s">
        <v>1239</v>
      </c>
      <c r="H247" s="19"/>
      <c r="I247" s="19" t="s">
        <v>72</v>
      </c>
      <c r="J247" s="18" t="n">
        <f aca="false">'Build-Up'!F145</f>
        <v>1800</v>
      </c>
    </row>
    <row r="248" customFormat="false" ht="30" hidden="false" customHeight="true" outlineLevel="0" collapsed="false">
      <c r="A248" s="16" t="s">
        <v>396</v>
      </c>
      <c r="B248" s="17" t="str">
        <f aca="false">'Build-Up'!B146</f>
        <v>Pipework testing crew, 2 No. x 12 days</v>
      </c>
      <c r="C248" s="19" t="s">
        <v>1237</v>
      </c>
      <c r="D248" s="19"/>
      <c r="E248" s="19" t="s">
        <v>1240</v>
      </c>
      <c r="F248" s="19"/>
      <c r="G248" s="19" t="s">
        <v>1241</v>
      </c>
      <c r="H248" s="19"/>
      <c r="I248" s="19" t="s">
        <v>1142</v>
      </c>
      <c r="J248" s="18" t="n">
        <f aca="false">'Build-Up'!F146</f>
        <v>3600</v>
      </c>
    </row>
    <row r="249" customFormat="false" ht="30" hidden="false" customHeight="true" outlineLevel="0" collapsed="false">
      <c r="A249" s="16" t="s">
        <v>398</v>
      </c>
      <c r="B249" s="17" t="str">
        <f aca="false">'Build-Up'!B147</f>
        <v>Test records, calibrated gauges and certificates</v>
      </c>
      <c r="C249" s="19" t="s">
        <v>1237</v>
      </c>
      <c r="D249" s="19"/>
      <c r="E249" s="19" t="s">
        <v>1242</v>
      </c>
      <c r="F249" s="19"/>
      <c r="G249" s="19" t="s">
        <v>1243</v>
      </c>
      <c r="H249" s="19"/>
      <c r="I249" s="19" t="s">
        <v>72</v>
      </c>
      <c r="J249" s="18" t="n">
        <f aca="false">'Build-Up'!F147</f>
        <v>3600</v>
      </c>
    </row>
    <row r="250" customFormat="false" ht="30" hidden="false" customHeight="true" outlineLevel="0" collapsed="false">
      <c r="A250" s="16" t="s">
        <v>401</v>
      </c>
      <c r="B250" s="17" t="str">
        <f aca="false">'Build-Up'!B148</f>
        <v>Purple/lilac colour-band painting on external piping</v>
      </c>
      <c r="C250" s="19" t="s">
        <v>1203</v>
      </c>
      <c r="D250" s="19"/>
      <c r="E250" s="19" t="s">
        <v>1244</v>
      </c>
      <c r="F250" s="19"/>
      <c r="G250" s="19" t="s">
        <v>1245</v>
      </c>
      <c r="H250" s="19"/>
      <c r="I250" s="19" t="s">
        <v>72</v>
      </c>
      <c r="J250" s="18" t="n">
        <f aca="false">'Build-Up'!F148</f>
        <v>5200</v>
      </c>
    </row>
    <row r="251" customFormat="false" ht="30" hidden="false" customHeight="true" outlineLevel="0" collapsed="false">
      <c r="A251" s="16" t="s">
        <v>403</v>
      </c>
      <c r="B251" s="17" t="str">
        <f aca="false">'Build-Up'!B149</f>
        <v>Identification tags, flow arrows and labels</v>
      </c>
      <c r="C251" s="19" t="s">
        <v>1203</v>
      </c>
      <c r="D251" s="19"/>
      <c r="E251" s="19" t="s">
        <v>1246</v>
      </c>
      <c r="F251" s="19"/>
      <c r="G251" s="19" t="s">
        <v>1247</v>
      </c>
      <c r="H251" s="19"/>
      <c r="I251" s="19" t="s">
        <v>72</v>
      </c>
      <c r="J251" s="18" t="n">
        <f aca="false">'Build-Up'!F149</f>
        <v>2800</v>
      </c>
    </row>
    <row r="252" customFormat="false" ht="30" hidden="false" customHeight="true" outlineLevel="0" collapsed="false">
      <c r="A252" s="16" t="s">
        <v>1248</v>
      </c>
      <c r="B252" s="17" t="s">
        <v>56</v>
      </c>
      <c r="C252" s="19" t="s">
        <v>1249</v>
      </c>
      <c r="D252" s="19"/>
      <c r="E252" s="19" t="s">
        <v>1078</v>
      </c>
      <c r="F252" s="19"/>
      <c r="G252" s="19" t="s">
        <v>1078</v>
      </c>
      <c r="H252" s="19"/>
      <c r="I252" s="19" t="s">
        <v>1078</v>
      </c>
      <c r="J252" s="18" t="s">
        <v>742</v>
      </c>
    </row>
    <row r="253" customFormat="false" ht="80.25" hidden="false" customHeight="true" outlineLevel="0" collapsed="false">
      <c r="A253" s="23"/>
      <c r="B253" s="23" t="s">
        <v>1250</v>
      </c>
      <c r="C253" s="23"/>
      <c r="D253" s="23"/>
      <c r="E253" s="23"/>
      <c r="F253" s="23"/>
      <c r="G253" s="23"/>
      <c r="H253" s="23"/>
      <c r="I253" s="19" t="s">
        <v>1251</v>
      </c>
      <c r="J253" s="35" t="n">
        <f aca="false">SUM(J158:J252)+'Build-Up'!F94</f>
        <v>6651836.56</v>
      </c>
    </row>
    <row r="254" customFormat="false" ht="19.5" hidden="false" customHeight="true" outlineLevel="0" collapsed="false">
      <c r="A254" s="23"/>
      <c r="B254" s="23" t="s">
        <v>1252</v>
      </c>
      <c r="C254" s="23"/>
      <c r="D254" s="23"/>
      <c r="E254" s="23"/>
      <c r="F254" s="23"/>
      <c r="G254" s="23"/>
      <c r="H254" s="23"/>
      <c r="I254" s="23"/>
      <c r="J254" s="35" t="n">
        <f aca="false">ROUND(J253-Assessment!$K$19,2)</f>
        <v>0</v>
      </c>
    </row>
    <row r="330" customFormat="false" ht="21" hidden="false" customHeight="true" outlineLevel="0" collapsed="false">
      <c r="A330" s="15" t="s">
        <v>1253</v>
      </c>
      <c r="B330" s="15"/>
      <c r="C330" s="15"/>
      <c r="D330" s="15"/>
      <c r="E330" s="15"/>
      <c r="F330" s="15"/>
      <c r="G330" s="15"/>
      <c r="H330" s="15"/>
      <c r="I330" s="15"/>
      <c r="J330" s="15"/>
    </row>
    <row r="331" customFormat="false" ht="43.5" hidden="false" customHeight="true" outlineLevel="0" collapsed="false">
      <c r="A331" s="11" t="s">
        <v>1254</v>
      </c>
      <c r="B331" s="11"/>
      <c r="C331" s="11"/>
      <c r="D331" s="11"/>
      <c r="E331" s="11"/>
      <c r="F331" s="11"/>
      <c r="G331" s="11"/>
      <c r="H331" s="11"/>
      <c r="I331" s="11"/>
      <c r="J331" s="11"/>
    </row>
    <row r="332" customFormat="false" ht="31.5" hidden="false" customHeight="true" outlineLevel="0" collapsed="false">
      <c r="A332" s="13" t="s">
        <v>566</v>
      </c>
      <c r="B332" s="13" t="s">
        <v>1255</v>
      </c>
      <c r="C332" s="13" t="s">
        <v>1256</v>
      </c>
      <c r="D332" s="13" t="s">
        <v>1257</v>
      </c>
      <c r="E332" s="13" t="s">
        <v>1258</v>
      </c>
      <c r="F332" s="13" t="s">
        <v>1259</v>
      </c>
      <c r="G332" s="13" t="s">
        <v>1260</v>
      </c>
      <c r="H332" s="13" t="s">
        <v>1261</v>
      </c>
      <c r="I332" s="13" t="s">
        <v>1262</v>
      </c>
      <c r="J332" s="13" t="s">
        <v>599</v>
      </c>
    </row>
    <row r="333" customFormat="false" ht="18" hidden="false" customHeight="true" outlineLevel="0" collapsed="false">
      <c r="A333" s="16" t="n">
        <v>1</v>
      </c>
      <c r="B333" s="17" t="s">
        <v>1263</v>
      </c>
      <c r="C333" s="58" t="n">
        <v>46204</v>
      </c>
      <c r="D333" s="58" t="n">
        <v>46223</v>
      </c>
      <c r="E333" s="54" t="n">
        <v>17</v>
      </c>
      <c r="F333" s="18" t="n">
        <v>0</v>
      </c>
      <c r="G333" s="67" t="s">
        <v>1264</v>
      </c>
      <c r="H333" s="16" t="s">
        <v>1265</v>
      </c>
      <c r="I333" s="54" t="n">
        <v>0</v>
      </c>
      <c r="J333" s="19" t="s">
        <v>1266</v>
      </c>
    </row>
    <row r="334" customFormat="false" ht="18" hidden="false" customHeight="true" outlineLevel="0" collapsed="false">
      <c r="A334" s="16" t="n">
        <v>2</v>
      </c>
      <c r="B334" s="17" t="s">
        <v>1267</v>
      </c>
      <c r="C334" s="58" t="n">
        <v>46204</v>
      </c>
      <c r="D334" s="58" t="n">
        <v>46204</v>
      </c>
      <c r="E334" s="54" t="n">
        <v>0</v>
      </c>
      <c r="F334" s="18" t="n">
        <v>0</v>
      </c>
      <c r="G334" s="67" t="s">
        <v>1268</v>
      </c>
      <c r="H334" s="16" t="s">
        <v>1269</v>
      </c>
      <c r="I334" s="54" t="n">
        <v>0</v>
      </c>
      <c r="J334" s="19" t="s">
        <v>1270</v>
      </c>
    </row>
    <row r="335" customFormat="false" ht="18" hidden="false" customHeight="true" outlineLevel="0" collapsed="false">
      <c r="A335" s="16" t="n">
        <v>3</v>
      </c>
      <c r="B335" s="17" t="s">
        <v>1271</v>
      </c>
      <c r="C335" s="58" t="n">
        <v>46204</v>
      </c>
      <c r="D335" s="58" t="n">
        <v>46204</v>
      </c>
      <c r="E335" s="54" t="n">
        <v>0</v>
      </c>
      <c r="F335" s="18" t="n">
        <v>0</v>
      </c>
      <c r="G335" s="67" t="s">
        <v>1272</v>
      </c>
      <c r="H335" s="16" t="s">
        <v>1265</v>
      </c>
      <c r="I335" s="54" t="n">
        <v>0</v>
      </c>
      <c r="J335" s="19" t="s">
        <v>1273</v>
      </c>
    </row>
    <row r="336" customFormat="false" ht="18" hidden="false" customHeight="true" outlineLevel="0" collapsed="false">
      <c r="A336" s="16" t="n">
        <v>4</v>
      </c>
      <c r="B336" s="17" t="s">
        <v>1274</v>
      </c>
      <c r="C336" s="58" t="n">
        <v>46224</v>
      </c>
      <c r="D336" s="58" t="n">
        <v>46233</v>
      </c>
      <c r="E336" s="54" t="n">
        <v>9</v>
      </c>
      <c r="F336" s="18" t="n">
        <v>0</v>
      </c>
      <c r="G336" s="67" t="s">
        <v>1275</v>
      </c>
      <c r="H336" s="16" t="s">
        <v>1265</v>
      </c>
      <c r="I336" s="54" t="n">
        <v>0</v>
      </c>
      <c r="J336" s="19" t="s">
        <v>1266</v>
      </c>
    </row>
    <row r="337" customFormat="false" ht="29.25" hidden="false" customHeight="true" outlineLevel="0" collapsed="false">
      <c r="A337" s="16" t="n">
        <v>5</v>
      </c>
      <c r="B337" s="17" t="s">
        <v>1276</v>
      </c>
      <c r="C337" s="58" t="n">
        <v>46224</v>
      </c>
      <c r="D337" s="58" t="n">
        <v>46232</v>
      </c>
      <c r="E337" s="54" t="n">
        <v>8</v>
      </c>
      <c r="F337" s="18" t="n">
        <v>4694.84</v>
      </c>
      <c r="G337" s="67" t="s">
        <v>1277</v>
      </c>
      <c r="H337" s="16" t="s">
        <v>1265</v>
      </c>
      <c r="I337" s="54" t="n">
        <v>24</v>
      </c>
      <c r="J337" s="19" t="s">
        <v>1278</v>
      </c>
    </row>
    <row r="338" customFormat="false" ht="29.25" hidden="false" customHeight="true" outlineLevel="0" collapsed="false">
      <c r="A338" s="16" t="n">
        <v>6</v>
      </c>
      <c r="B338" s="17" t="s">
        <v>1279</v>
      </c>
      <c r="C338" s="58" t="n">
        <v>46224</v>
      </c>
      <c r="D338" s="58" t="n">
        <v>46232</v>
      </c>
      <c r="E338" s="54" t="n">
        <v>8</v>
      </c>
      <c r="F338" s="18" t="n">
        <v>6572.78</v>
      </c>
      <c r="G338" s="67" t="s">
        <v>1280</v>
      </c>
      <c r="H338" s="16" t="s">
        <v>1265</v>
      </c>
      <c r="I338" s="54" t="n">
        <v>24</v>
      </c>
      <c r="J338" s="19" t="s">
        <v>1278</v>
      </c>
    </row>
    <row r="339" customFormat="false" ht="29.25" hidden="false" customHeight="true" outlineLevel="0" collapsed="false">
      <c r="A339" s="16" t="n">
        <v>7</v>
      </c>
      <c r="B339" s="17" t="s">
        <v>1281</v>
      </c>
      <c r="C339" s="58" t="n">
        <v>46233</v>
      </c>
      <c r="D339" s="58" t="n">
        <v>46247</v>
      </c>
      <c r="E339" s="54" t="n">
        <v>11</v>
      </c>
      <c r="F339" s="18" t="n">
        <v>3756.88</v>
      </c>
      <c r="G339" s="67" t="s">
        <v>1282</v>
      </c>
      <c r="H339" s="16" t="s">
        <v>1283</v>
      </c>
      <c r="I339" s="54" t="n">
        <v>20</v>
      </c>
      <c r="J339" s="19" t="s">
        <v>1284</v>
      </c>
    </row>
    <row r="340" customFormat="false" ht="29.25" hidden="false" customHeight="true" outlineLevel="0" collapsed="false">
      <c r="A340" s="16" t="n">
        <v>8</v>
      </c>
      <c r="B340" s="17" t="s">
        <v>1285</v>
      </c>
      <c r="C340" s="58" t="n">
        <v>46233</v>
      </c>
      <c r="D340" s="58" t="n">
        <v>46247</v>
      </c>
      <c r="E340" s="54" t="n">
        <v>11</v>
      </c>
      <c r="F340" s="18" t="n">
        <v>4694.84</v>
      </c>
      <c r="G340" s="67" t="s">
        <v>1286</v>
      </c>
      <c r="H340" s="16" t="s">
        <v>1283</v>
      </c>
      <c r="I340" s="54" t="n">
        <v>20</v>
      </c>
      <c r="J340" s="19" t="s">
        <v>1284</v>
      </c>
    </row>
    <row r="341" customFormat="false" ht="29.25" hidden="false" customHeight="true" outlineLevel="0" collapsed="false">
      <c r="A341" s="16" t="n">
        <v>9</v>
      </c>
      <c r="B341" s="17" t="s">
        <v>1287</v>
      </c>
      <c r="C341" s="58" t="n">
        <v>46235</v>
      </c>
      <c r="D341" s="58" t="n">
        <v>46246</v>
      </c>
      <c r="E341" s="54" t="n">
        <v>11</v>
      </c>
      <c r="F341" s="18" t="n">
        <v>4694.84</v>
      </c>
      <c r="G341" s="67" t="s">
        <v>1288</v>
      </c>
      <c r="H341" s="16" t="s">
        <v>1265</v>
      </c>
      <c r="I341" s="54" t="n">
        <v>18</v>
      </c>
      <c r="J341" s="19" t="s">
        <v>1289</v>
      </c>
    </row>
    <row r="342" customFormat="false" ht="29.25" hidden="false" customHeight="true" outlineLevel="0" collapsed="false">
      <c r="A342" s="16" t="n">
        <v>10</v>
      </c>
      <c r="B342" s="17" t="s">
        <v>1290</v>
      </c>
      <c r="C342" s="58" t="n">
        <v>46235</v>
      </c>
      <c r="D342" s="58" t="n">
        <v>46247</v>
      </c>
      <c r="E342" s="54" t="n">
        <v>12</v>
      </c>
      <c r="F342" s="18" t="n">
        <v>4694.84</v>
      </c>
      <c r="G342" s="67" t="s">
        <v>1291</v>
      </c>
      <c r="H342" s="16" t="s">
        <v>1265</v>
      </c>
      <c r="I342" s="54" t="n">
        <v>32</v>
      </c>
      <c r="J342" s="19" t="s">
        <v>1289</v>
      </c>
    </row>
    <row r="343" customFormat="false" ht="29.25" hidden="false" customHeight="true" outlineLevel="0" collapsed="false">
      <c r="A343" s="16" t="n">
        <v>11</v>
      </c>
      <c r="B343" s="17" t="s">
        <v>1292</v>
      </c>
      <c r="C343" s="58" t="n">
        <v>46235</v>
      </c>
      <c r="D343" s="58" t="n">
        <v>46246</v>
      </c>
      <c r="E343" s="54" t="n">
        <v>11</v>
      </c>
      <c r="F343" s="18" t="n">
        <v>7512.76</v>
      </c>
      <c r="G343" s="67" t="s">
        <v>1293</v>
      </c>
      <c r="H343" s="16" t="s">
        <v>1265</v>
      </c>
      <c r="I343" s="54" t="n">
        <v>18</v>
      </c>
      <c r="J343" s="19" t="s">
        <v>1289</v>
      </c>
    </row>
    <row r="344" customFormat="false" ht="29.25" hidden="false" customHeight="true" outlineLevel="0" collapsed="false">
      <c r="A344" s="16" t="n">
        <v>12</v>
      </c>
      <c r="B344" s="17" t="s">
        <v>1294</v>
      </c>
      <c r="C344" s="58" t="n">
        <v>46235</v>
      </c>
      <c r="D344" s="58" t="n">
        <v>46246</v>
      </c>
      <c r="E344" s="54" t="n">
        <v>11</v>
      </c>
      <c r="F344" s="18" t="n">
        <v>3755.87</v>
      </c>
      <c r="G344" s="67" t="s">
        <v>1295</v>
      </c>
      <c r="H344" s="16" t="s">
        <v>1265</v>
      </c>
      <c r="I344" s="54" t="n">
        <v>18</v>
      </c>
      <c r="J344" s="19" t="s">
        <v>1289</v>
      </c>
    </row>
    <row r="345" customFormat="false" ht="29.25" hidden="false" customHeight="true" outlineLevel="0" collapsed="false">
      <c r="A345" s="16" t="n">
        <v>13</v>
      </c>
      <c r="B345" s="17" t="s">
        <v>1296</v>
      </c>
      <c r="C345" s="58" t="n">
        <v>46235</v>
      </c>
      <c r="D345" s="58" t="n">
        <v>46243</v>
      </c>
      <c r="E345" s="54" t="n">
        <v>8</v>
      </c>
      <c r="F345" s="18" t="n">
        <v>7512.76</v>
      </c>
      <c r="G345" s="67" t="s">
        <v>1297</v>
      </c>
      <c r="H345" s="16" t="s">
        <v>1265</v>
      </c>
      <c r="I345" s="54" t="n">
        <v>21</v>
      </c>
      <c r="J345" s="19" t="s">
        <v>1289</v>
      </c>
    </row>
    <row r="346" customFormat="false" ht="29.25" hidden="false" customHeight="true" outlineLevel="0" collapsed="false">
      <c r="A346" s="16" t="n">
        <v>14</v>
      </c>
      <c r="B346" s="17" t="s">
        <v>1298</v>
      </c>
      <c r="C346" s="58" t="n">
        <v>46235</v>
      </c>
      <c r="D346" s="58" t="n">
        <v>46246</v>
      </c>
      <c r="E346" s="54" t="n">
        <v>11</v>
      </c>
      <c r="F346" s="18" t="n">
        <v>4694.84</v>
      </c>
      <c r="G346" s="67" t="s">
        <v>1299</v>
      </c>
      <c r="H346" s="16" t="s">
        <v>1265</v>
      </c>
      <c r="I346" s="54" t="n">
        <v>25</v>
      </c>
      <c r="J346" s="19" t="s">
        <v>1278</v>
      </c>
    </row>
    <row r="347" customFormat="false" ht="29.25" hidden="false" customHeight="true" outlineLevel="0" collapsed="false">
      <c r="A347" s="16" t="n">
        <v>15</v>
      </c>
      <c r="B347" s="17" t="s">
        <v>1300</v>
      </c>
      <c r="C347" s="58" t="n">
        <v>46235</v>
      </c>
      <c r="D347" s="58" t="n">
        <v>46246</v>
      </c>
      <c r="E347" s="54" t="n">
        <v>11</v>
      </c>
      <c r="F347" s="18" t="n">
        <v>4694.84</v>
      </c>
      <c r="G347" s="67" t="s">
        <v>1301</v>
      </c>
      <c r="H347" s="16" t="s">
        <v>1265</v>
      </c>
      <c r="I347" s="54" t="n">
        <v>25</v>
      </c>
      <c r="J347" s="19" t="s">
        <v>1278</v>
      </c>
    </row>
    <row r="348" customFormat="false" ht="29.25" hidden="false" customHeight="true" outlineLevel="0" collapsed="false">
      <c r="A348" s="16" t="n">
        <v>16</v>
      </c>
      <c r="B348" s="17" t="s">
        <v>1302</v>
      </c>
      <c r="C348" s="58" t="n">
        <v>46235</v>
      </c>
      <c r="D348" s="58" t="n">
        <v>46249</v>
      </c>
      <c r="E348" s="54" t="n">
        <v>13</v>
      </c>
      <c r="F348" s="18" t="n">
        <v>4694.84</v>
      </c>
      <c r="G348" s="67" t="s">
        <v>1303</v>
      </c>
      <c r="H348" s="16" t="s">
        <v>1265</v>
      </c>
      <c r="I348" s="54" t="n">
        <v>27</v>
      </c>
      <c r="J348" s="19" t="s">
        <v>1278</v>
      </c>
    </row>
    <row r="349" customFormat="false" ht="29.25" hidden="false" customHeight="true" outlineLevel="0" collapsed="false">
      <c r="A349" s="16" t="n">
        <v>17</v>
      </c>
      <c r="B349" s="17" t="s">
        <v>1304</v>
      </c>
      <c r="C349" s="58" t="n">
        <v>46235</v>
      </c>
      <c r="D349" s="58" t="n">
        <v>46235</v>
      </c>
      <c r="E349" s="54" t="n">
        <v>1</v>
      </c>
      <c r="F349" s="18" t="n">
        <v>0</v>
      </c>
      <c r="G349" s="67" t="s">
        <v>1305</v>
      </c>
      <c r="H349" s="16" t="s">
        <v>1265</v>
      </c>
      <c r="I349" s="54" t="n">
        <v>0</v>
      </c>
      <c r="J349" s="19" t="s">
        <v>1306</v>
      </c>
    </row>
    <row r="350" customFormat="false" ht="29.25" hidden="false" customHeight="true" outlineLevel="0" collapsed="false">
      <c r="A350" s="16" t="n">
        <v>18</v>
      </c>
      <c r="B350" s="17" t="s">
        <v>1307</v>
      </c>
      <c r="C350" s="58" t="n">
        <v>46235</v>
      </c>
      <c r="D350" s="58" t="n">
        <v>46235</v>
      </c>
      <c r="E350" s="54" t="n">
        <v>1</v>
      </c>
      <c r="F350" s="18" t="n">
        <v>0</v>
      </c>
      <c r="G350" s="67" t="s">
        <v>1308</v>
      </c>
      <c r="H350" s="16" t="s">
        <v>1265</v>
      </c>
      <c r="I350" s="54" t="n">
        <v>0</v>
      </c>
      <c r="J350" s="19" t="s">
        <v>1309</v>
      </c>
    </row>
    <row r="351" customFormat="false" ht="29.25" hidden="false" customHeight="true" outlineLevel="0" collapsed="false">
      <c r="A351" s="16" t="n">
        <v>19</v>
      </c>
      <c r="B351" s="17" t="s">
        <v>1310</v>
      </c>
      <c r="C351" s="58" t="n">
        <v>46235</v>
      </c>
      <c r="D351" s="58" t="n">
        <v>46239</v>
      </c>
      <c r="E351" s="54" t="n">
        <v>5</v>
      </c>
      <c r="F351" s="18" t="n">
        <v>0</v>
      </c>
      <c r="G351" s="67" t="s">
        <v>1311</v>
      </c>
      <c r="H351" s="16" t="s">
        <v>1265</v>
      </c>
      <c r="I351" s="54" t="n">
        <v>23</v>
      </c>
      <c r="J351" s="19" t="s">
        <v>1312</v>
      </c>
    </row>
    <row r="352" customFormat="false" ht="29.25" hidden="false" customHeight="true" outlineLevel="0" collapsed="false">
      <c r="A352" s="16" t="n">
        <v>20</v>
      </c>
      <c r="B352" s="17" t="s">
        <v>1313</v>
      </c>
      <c r="C352" s="58" t="n">
        <v>46236</v>
      </c>
      <c r="D352" s="58" t="n">
        <v>46237</v>
      </c>
      <c r="E352" s="54" t="n">
        <v>2</v>
      </c>
      <c r="F352" s="18" t="n">
        <v>0</v>
      </c>
      <c r="G352" s="67" t="s">
        <v>1314</v>
      </c>
      <c r="H352" s="16" t="s">
        <v>1265</v>
      </c>
      <c r="I352" s="54" t="n">
        <v>0</v>
      </c>
      <c r="J352" s="19" t="s">
        <v>1306</v>
      </c>
    </row>
    <row r="353" customFormat="false" ht="29.25" hidden="false" customHeight="true" outlineLevel="0" collapsed="false">
      <c r="A353" s="16" t="n">
        <v>21</v>
      </c>
      <c r="B353" s="17" t="s">
        <v>1315</v>
      </c>
      <c r="C353" s="58" t="n">
        <v>46236</v>
      </c>
      <c r="D353" s="58" t="n">
        <v>46237</v>
      </c>
      <c r="E353" s="54" t="n">
        <v>2</v>
      </c>
      <c r="F353" s="18" t="n">
        <v>0</v>
      </c>
      <c r="G353" s="67" t="s">
        <v>1316</v>
      </c>
      <c r="H353" s="16" t="s">
        <v>1283</v>
      </c>
      <c r="I353" s="54" t="n">
        <v>0</v>
      </c>
      <c r="J353" s="19" t="s">
        <v>1309</v>
      </c>
    </row>
    <row r="354" customFormat="false" ht="18" hidden="false" customHeight="true" outlineLevel="0" collapsed="false">
      <c r="A354" s="16" t="n">
        <v>22</v>
      </c>
      <c r="B354" s="17" t="s">
        <v>1317</v>
      </c>
      <c r="C354" s="58" t="n">
        <v>46238</v>
      </c>
      <c r="D354" s="58" t="n">
        <v>46240</v>
      </c>
      <c r="E354" s="54" t="n">
        <v>3</v>
      </c>
      <c r="F354" s="18" t="n">
        <v>348110.34</v>
      </c>
      <c r="G354" s="67" t="s">
        <v>1318</v>
      </c>
      <c r="H354" s="16" t="s">
        <v>1265</v>
      </c>
      <c r="I354" s="54" t="n">
        <v>0</v>
      </c>
      <c r="J354" s="19" t="s">
        <v>1319</v>
      </c>
    </row>
    <row r="355" customFormat="false" ht="29.25" hidden="false" customHeight="true" outlineLevel="0" collapsed="false">
      <c r="A355" s="16" t="n">
        <v>23</v>
      </c>
      <c r="B355" s="17" t="s">
        <v>1320</v>
      </c>
      <c r="C355" s="58" t="n">
        <v>46240</v>
      </c>
      <c r="D355" s="58" t="n">
        <v>46257</v>
      </c>
      <c r="E355" s="54" t="n">
        <v>12</v>
      </c>
      <c r="F355" s="18" t="n">
        <v>0</v>
      </c>
      <c r="G355" s="67" t="s">
        <v>1321</v>
      </c>
      <c r="H355" s="16" t="s">
        <v>1283</v>
      </c>
      <c r="I355" s="54" t="n">
        <v>19</v>
      </c>
      <c r="J355" s="19" t="s">
        <v>1312</v>
      </c>
    </row>
    <row r="356" customFormat="false" ht="18" hidden="false" customHeight="true" outlineLevel="0" collapsed="false">
      <c r="A356" s="16" t="n">
        <v>24</v>
      </c>
      <c r="B356" s="17" t="s">
        <v>1322</v>
      </c>
      <c r="C356" s="58" t="n">
        <v>46241</v>
      </c>
      <c r="D356" s="58" t="n">
        <v>46245</v>
      </c>
      <c r="E356" s="54" t="n">
        <v>5</v>
      </c>
      <c r="F356" s="18" t="n">
        <v>62475</v>
      </c>
      <c r="G356" s="67" t="s">
        <v>1323</v>
      </c>
      <c r="H356" s="16" t="s">
        <v>1269</v>
      </c>
      <c r="I356" s="54" t="n">
        <v>35</v>
      </c>
      <c r="J356" s="19" t="s">
        <v>1324</v>
      </c>
    </row>
    <row r="357" customFormat="false" ht="29.25" hidden="false" customHeight="true" outlineLevel="0" collapsed="false">
      <c r="A357" s="16" t="n">
        <v>25</v>
      </c>
      <c r="B357" s="17" t="s">
        <v>1325</v>
      </c>
      <c r="C357" s="58" t="n">
        <v>46242</v>
      </c>
      <c r="D357" s="58" t="n">
        <v>46322</v>
      </c>
      <c r="E357" s="54" t="n">
        <v>69</v>
      </c>
      <c r="F357" s="18" t="n">
        <v>542616.31</v>
      </c>
      <c r="G357" s="67" t="s">
        <v>1326</v>
      </c>
      <c r="H357" s="16" t="s">
        <v>1265</v>
      </c>
      <c r="I357" s="54" t="n">
        <v>0</v>
      </c>
      <c r="J357" s="19" t="s">
        <v>1327</v>
      </c>
    </row>
    <row r="358" customFormat="false" ht="29.25" hidden="false" customHeight="true" outlineLevel="0" collapsed="false">
      <c r="A358" s="16" t="n">
        <v>26</v>
      </c>
      <c r="B358" s="17" t="s">
        <v>1325</v>
      </c>
      <c r="C358" s="58" t="n">
        <v>46242</v>
      </c>
      <c r="D358" s="58" t="n">
        <v>46307</v>
      </c>
      <c r="E358" s="54" t="n">
        <v>56</v>
      </c>
      <c r="F358" s="18" t="n">
        <v>542659.99</v>
      </c>
      <c r="G358" s="67" t="s">
        <v>1328</v>
      </c>
      <c r="H358" s="16" t="s">
        <v>1265</v>
      </c>
      <c r="I358" s="54" t="n">
        <v>14</v>
      </c>
      <c r="J358" s="19" t="s">
        <v>1329</v>
      </c>
    </row>
    <row r="359" customFormat="false" ht="29.25" hidden="false" customHeight="true" outlineLevel="0" collapsed="false">
      <c r="A359" s="16" t="n">
        <v>27</v>
      </c>
      <c r="B359" s="17" t="s">
        <v>1330</v>
      </c>
      <c r="C359" s="58" t="n">
        <v>46244</v>
      </c>
      <c r="D359" s="58" t="n">
        <v>46251</v>
      </c>
      <c r="E359" s="54" t="n">
        <v>6</v>
      </c>
      <c r="F359" s="18" t="n">
        <v>2816.9</v>
      </c>
      <c r="G359" s="67" t="s">
        <v>1331</v>
      </c>
      <c r="H359" s="16" t="s">
        <v>1283</v>
      </c>
      <c r="I359" s="54" t="n">
        <v>18</v>
      </c>
      <c r="J359" s="19" t="s">
        <v>1332</v>
      </c>
    </row>
    <row r="360" customFormat="false" ht="18" hidden="false" customHeight="true" outlineLevel="0" collapsed="false">
      <c r="A360" s="16" t="n">
        <v>28</v>
      </c>
      <c r="B360" s="17" t="s">
        <v>1333</v>
      </c>
      <c r="C360" s="58" t="n">
        <v>46246</v>
      </c>
      <c r="D360" s="58" t="n">
        <v>46259</v>
      </c>
      <c r="E360" s="54" t="n">
        <v>14</v>
      </c>
      <c r="F360" s="18" t="n">
        <v>26775</v>
      </c>
      <c r="G360" s="67" t="s">
        <v>1334</v>
      </c>
      <c r="H360" s="16" t="s">
        <v>1269</v>
      </c>
      <c r="I360" s="54" t="n">
        <v>35</v>
      </c>
      <c r="J360" s="19" t="s">
        <v>1324</v>
      </c>
    </row>
    <row r="361" customFormat="false" ht="29.25" hidden="false" customHeight="true" outlineLevel="0" collapsed="false">
      <c r="A361" s="16" t="n">
        <v>29</v>
      </c>
      <c r="B361" s="17" t="s">
        <v>1335</v>
      </c>
      <c r="C361" s="58" t="n">
        <v>46247</v>
      </c>
      <c r="D361" s="58" t="n">
        <v>46254</v>
      </c>
      <c r="E361" s="54" t="n">
        <v>6</v>
      </c>
      <c r="F361" s="18" t="n">
        <v>2816.9</v>
      </c>
      <c r="G361" s="67" t="s">
        <v>1336</v>
      </c>
      <c r="H361" s="16" t="s">
        <v>1283</v>
      </c>
      <c r="I361" s="54" t="n">
        <v>15</v>
      </c>
      <c r="J361" s="19" t="s">
        <v>1332</v>
      </c>
    </row>
    <row r="362" customFormat="false" ht="29.25" hidden="false" customHeight="true" outlineLevel="0" collapsed="false">
      <c r="A362" s="16" t="n">
        <v>30</v>
      </c>
      <c r="B362" s="17" t="s">
        <v>1337</v>
      </c>
      <c r="C362" s="58" t="n">
        <v>46247</v>
      </c>
      <c r="D362" s="58" t="n">
        <v>46254</v>
      </c>
      <c r="E362" s="54" t="n">
        <v>6</v>
      </c>
      <c r="F362" s="18" t="n">
        <v>2816.9</v>
      </c>
      <c r="G362" s="67" t="s">
        <v>1338</v>
      </c>
      <c r="H362" s="16" t="s">
        <v>1283</v>
      </c>
      <c r="I362" s="54" t="n">
        <v>15</v>
      </c>
      <c r="J362" s="19" t="s">
        <v>1332</v>
      </c>
    </row>
    <row r="363" customFormat="false" ht="29.25" hidden="false" customHeight="true" outlineLevel="0" collapsed="false">
      <c r="A363" s="16" t="n">
        <v>31</v>
      </c>
      <c r="B363" s="17" t="s">
        <v>1339</v>
      </c>
      <c r="C363" s="58" t="n">
        <v>46247</v>
      </c>
      <c r="D363" s="58" t="n">
        <v>46254</v>
      </c>
      <c r="E363" s="54" t="n">
        <v>6</v>
      </c>
      <c r="F363" s="18" t="n">
        <v>1877.94</v>
      </c>
      <c r="G363" s="67" t="s">
        <v>1340</v>
      </c>
      <c r="H363" s="16" t="s">
        <v>1283</v>
      </c>
      <c r="I363" s="54" t="n">
        <v>15</v>
      </c>
      <c r="J363" s="19" t="s">
        <v>1332</v>
      </c>
    </row>
    <row r="364" customFormat="false" ht="29.25" hidden="false" customHeight="true" outlineLevel="0" collapsed="false">
      <c r="A364" s="16" t="n">
        <v>32</v>
      </c>
      <c r="B364" s="17" t="s">
        <v>1341</v>
      </c>
      <c r="C364" s="58" t="n">
        <v>46247</v>
      </c>
      <c r="D364" s="58" t="n">
        <v>46259</v>
      </c>
      <c r="E364" s="54" t="n">
        <v>9</v>
      </c>
      <c r="F364" s="18" t="n">
        <v>3756.88</v>
      </c>
      <c r="G364" s="67" t="s">
        <v>1342</v>
      </c>
      <c r="H364" s="16" t="s">
        <v>1283</v>
      </c>
      <c r="I364" s="54" t="n">
        <v>24</v>
      </c>
      <c r="J364" s="19" t="s">
        <v>1284</v>
      </c>
    </row>
    <row r="365" customFormat="false" ht="29.25" hidden="false" customHeight="true" outlineLevel="0" collapsed="false">
      <c r="A365" s="16" t="n">
        <v>33</v>
      </c>
      <c r="B365" s="17" t="s">
        <v>1343</v>
      </c>
      <c r="C365" s="58" t="n">
        <v>46247</v>
      </c>
      <c r="D365" s="58" t="n">
        <v>46259</v>
      </c>
      <c r="E365" s="54" t="n">
        <v>9</v>
      </c>
      <c r="F365" s="18" t="n">
        <v>3756.88</v>
      </c>
      <c r="G365" s="67" t="s">
        <v>1344</v>
      </c>
      <c r="H365" s="16" t="s">
        <v>1283</v>
      </c>
      <c r="I365" s="54" t="n">
        <v>24</v>
      </c>
      <c r="J365" s="19" t="s">
        <v>1284</v>
      </c>
    </row>
    <row r="366" customFormat="false" ht="29.25" hidden="false" customHeight="true" outlineLevel="0" collapsed="false">
      <c r="A366" s="16" t="n">
        <v>34</v>
      </c>
      <c r="B366" s="17" t="s">
        <v>1345</v>
      </c>
      <c r="C366" s="58" t="n">
        <v>46250</v>
      </c>
      <c r="D366" s="58" t="n">
        <v>46257</v>
      </c>
      <c r="E366" s="54" t="n">
        <v>6</v>
      </c>
      <c r="F366" s="18" t="n">
        <v>1877.94</v>
      </c>
      <c r="G366" s="67" t="s">
        <v>1346</v>
      </c>
      <c r="H366" s="16" t="s">
        <v>1283</v>
      </c>
      <c r="I366" s="54" t="n">
        <v>26</v>
      </c>
      <c r="J366" s="19" t="s">
        <v>1332</v>
      </c>
    </row>
    <row r="367" customFormat="false" ht="29.25" hidden="false" customHeight="true" outlineLevel="0" collapsed="false">
      <c r="A367" s="16" t="n">
        <v>35</v>
      </c>
      <c r="B367" s="17" t="s">
        <v>1347</v>
      </c>
      <c r="C367" s="58" t="n">
        <v>46250</v>
      </c>
      <c r="D367" s="58" t="n">
        <v>46260</v>
      </c>
      <c r="E367" s="54" t="n">
        <v>9</v>
      </c>
      <c r="F367" s="18" t="n">
        <v>3756.88</v>
      </c>
      <c r="G367" s="67" t="s">
        <v>1348</v>
      </c>
      <c r="H367" s="16" t="s">
        <v>1283</v>
      </c>
      <c r="I367" s="54" t="n">
        <v>23</v>
      </c>
      <c r="J367" s="19" t="s">
        <v>1284</v>
      </c>
    </row>
    <row r="368" customFormat="false" ht="18" hidden="false" customHeight="true" outlineLevel="0" collapsed="false">
      <c r="A368" s="16" t="n">
        <v>36</v>
      </c>
      <c r="B368" s="17" t="s">
        <v>1349</v>
      </c>
      <c r="C368" s="58" t="n">
        <v>46256</v>
      </c>
      <c r="D368" s="58" t="n">
        <v>46260</v>
      </c>
      <c r="E368" s="54" t="n">
        <v>5</v>
      </c>
      <c r="F368" s="18" t="n">
        <v>260346.53</v>
      </c>
      <c r="G368" s="67" t="s">
        <v>1350</v>
      </c>
      <c r="H368" s="16" t="s">
        <v>1265</v>
      </c>
      <c r="I368" s="54" t="n">
        <v>18</v>
      </c>
      <c r="J368" s="19" t="s">
        <v>1351</v>
      </c>
    </row>
    <row r="369" customFormat="false" ht="18" hidden="false" customHeight="true" outlineLevel="0" collapsed="false">
      <c r="A369" s="16" t="n">
        <v>37</v>
      </c>
      <c r="B369" s="17" t="s">
        <v>1352</v>
      </c>
      <c r="C369" s="58" t="n">
        <v>46256</v>
      </c>
      <c r="D369" s="58" t="n">
        <v>46260</v>
      </c>
      <c r="E369" s="54" t="n">
        <v>5</v>
      </c>
      <c r="F369" s="18" t="n">
        <v>318201.32</v>
      </c>
      <c r="G369" s="67" t="s">
        <v>1353</v>
      </c>
      <c r="H369" s="16" t="s">
        <v>1265</v>
      </c>
      <c r="I369" s="54" t="n">
        <v>18</v>
      </c>
      <c r="J369" s="19" t="s">
        <v>1354</v>
      </c>
    </row>
    <row r="370" customFormat="false" ht="29.25" hidden="false" customHeight="true" outlineLevel="0" collapsed="false">
      <c r="A370" s="16" t="n">
        <v>38</v>
      </c>
      <c r="B370" s="17" t="s">
        <v>1307</v>
      </c>
      <c r="C370" s="58" t="n">
        <v>46258</v>
      </c>
      <c r="D370" s="58" t="n">
        <v>46265</v>
      </c>
      <c r="E370" s="54" t="n">
        <v>7</v>
      </c>
      <c r="F370" s="18" t="n">
        <v>0</v>
      </c>
      <c r="G370" s="67" t="s">
        <v>1355</v>
      </c>
      <c r="H370" s="16" t="s">
        <v>1265</v>
      </c>
      <c r="I370" s="54" t="n">
        <v>23</v>
      </c>
      <c r="J370" s="19" t="s">
        <v>1356</v>
      </c>
    </row>
    <row r="371" customFormat="false" ht="18" hidden="false" customHeight="true" outlineLevel="0" collapsed="false">
      <c r="A371" s="16" t="n">
        <v>39</v>
      </c>
      <c r="B371" s="17" t="s">
        <v>1357</v>
      </c>
      <c r="C371" s="58" t="n">
        <v>46261</v>
      </c>
      <c r="D371" s="58" t="n">
        <v>46265</v>
      </c>
      <c r="E371" s="54" t="n">
        <v>4</v>
      </c>
      <c r="F371" s="18" t="n">
        <v>12086.23</v>
      </c>
      <c r="G371" s="67" t="s">
        <v>1358</v>
      </c>
      <c r="H371" s="16" t="s">
        <v>1265</v>
      </c>
      <c r="I371" s="54" t="n">
        <v>18</v>
      </c>
      <c r="J371" s="19" t="s">
        <v>1359</v>
      </c>
    </row>
    <row r="372" customFormat="false" ht="18" hidden="false" customHeight="true" outlineLevel="0" collapsed="false">
      <c r="A372" s="16" t="n">
        <v>40</v>
      </c>
      <c r="B372" s="17" t="s">
        <v>1360</v>
      </c>
      <c r="C372" s="58" t="n">
        <v>46266</v>
      </c>
      <c r="D372" s="58" t="n">
        <v>46273</v>
      </c>
      <c r="E372" s="54" t="n">
        <v>7</v>
      </c>
      <c r="F372" s="18" t="n">
        <v>12086.23</v>
      </c>
      <c r="G372" s="67" t="s">
        <v>1361</v>
      </c>
      <c r="H372" s="16" t="s">
        <v>1265</v>
      </c>
      <c r="I372" s="54" t="n">
        <v>18</v>
      </c>
      <c r="J372" s="19" t="s">
        <v>1359</v>
      </c>
    </row>
    <row r="373" customFormat="false" ht="29.25" hidden="false" customHeight="true" outlineLevel="0" collapsed="false">
      <c r="A373" s="16" t="n">
        <v>41</v>
      </c>
      <c r="B373" s="17" t="s">
        <v>1315</v>
      </c>
      <c r="C373" s="58" t="n">
        <v>46266</v>
      </c>
      <c r="D373" s="58" t="n">
        <v>46285</v>
      </c>
      <c r="E373" s="54" t="n">
        <v>14</v>
      </c>
      <c r="F373" s="18" t="n">
        <v>0</v>
      </c>
      <c r="G373" s="67" t="s">
        <v>1362</v>
      </c>
      <c r="H373" s="16" t="s">
        <v>1283</v>
      </c>
      <c r="I373" s="54" t="n">
        <v>19</v>
      </c>
      <c r="J373" s="19" t="s">
        <v>1356</v>
      </c>
    </row>
    <row r="374" customFormat="false" ht="18" hidden="false" customHeight="true" outlineLevel="0" collapsed="false">
      <c r="A374" s="16" t="n">
        <v>42</v>
      </c>
      <c r="B374" s="17" t="s">
        <v>1363</v>
      </c>
      <c r="C374" s="58" t="n">
        <v>46270</v>
      </c>
      <c r="D374" s="58" t="n">
        <v>46277</v>
      </c>
      <c r="E374" s="54" t="n">
        <v>7</v>
      </c>
      <c r="F374" s="18" t="n">
        <v>56402.53</v>
      </c>
      <c r="G374" s="67" t="s">
        <v>1364</v>
      </c>
      <c r="H374" s="16" t="s">
        <v>1265</v>
      </c>
      <c r="I374" s="54" t="n">
        <v>18</v>
      </c>
      <c r="J374" s="19" t="s">
        <v>1359</v>
      </c>
    </row>
    <row r="375" customFormat="false" ht="29.25" hidden="false" customHeight="true" outlineLevel="0" collapsed="false">
      <c r="A375" s="16" t="n">
        <v>43</v>
      </c>
      <c r="B375" s="17" t="s">
        <v>1365</v>
      </c>
      <c r="C375" s="58" t="n">
        <v>46272</v>
      </c>
      <c r="D375" s="58" t="n">
        <v>46278</v>
      </c>
      <c r="E375" s="54" t="n">
        <v>6</v>
      </c>
      <c r="F375" s="18" t="n">
        <v>5000</v>
      </c>
      <c r="G375" s="67" t="s">
        <v>1366</v>
      </c>
      <c r="H375" s="16" t="s">
        <v>1265</v>
      </c>
      <c r="I375" s="54" t="n">
        <v>18</v>
      </c>
      <c r="J375" s="19" t="s">
        <v>1367</v>
      </c>
    </row>
    <row r="376" customFormat="false" ht="31.5" hidden="false" customHeight="true" outlineLevel="0" collapsed="false">
      <c r="A376" s="13" t="s">
        <v>566</v>
      </c>
      <c r="B376" s="13" t="s">
        <v>1255</v>
      </c>
      <c r="C376" s="13" t="s">
        <v>1256</v>
      </c>
      <c r="D376" s="13" t="s">
        <v>1257</v>
      </c>
      <c r="E376" s="13" t="s">
        <v>1258</v>
      </c>
      <c r="F376" s="13" t="s">
        <v>1259</v>
      </c>
      <c r="G376" s="13" t="s">
        <v>1260</v>
      </c>
      <c r="H376" s="13" t="s">
        <v>1261</v>
      </c>
      <c r="I376" s="13" t="s">
        <v>1262</v>
      </c>
      <c r="J376" s="13" t="s">
        <v>599</v>
      </c>
    </row>
    <row r="377" customFormat="false" ht="29.25" hidden="false" customHeight="true" outlineLevel="0" collapsed="false">
      <c r="A377" s="16" t="n">
        <v>44</v>
      </c>
      <c r="B377" s="17" t="s">
        <v>1368</v>
      </c>
      <c r="C377" s="58" t="n">
        <v>46273</v>
      </c>
      <c r="D377" s="58" t="n">
        <v>46298</v>
      </c>
      <c r="E377" s="54" t="n">
        <v>21</v>
      </c>
      <c r="F377" s="18" t="n">
        <v>147998.19</v>
      </c>
      <c r="G377" s="67" t="s">
        <v>1369</v>
      </c>
      <c r="H377" s="16" t="s">
        <v>1265</v>
      </c>
      <c r="I377" s="54" t="n">
        <v>14</v>
      </c>
      <c r="J377" s="19" t="s">
        <v>1329</v>
      </c>
    </row>
    <row r="378" customFormat="false" ht="29.25" hidden="false" customHeight="true" outlineLevel="0" collapsed="false">
      <c r="A378" s="16" t="n">
        <v>45</v>
      </c>
      <c r="B378" s="17" t="s">
        <v>1370</v>
      </c>
      <c r="C378" s="58" t="n">
        <v>46273</v>
      </c>
      <c r="D378" s="58" t="n">
        <v>46298</v>
      </c>
      <c r="E378" s="54" t="n">
        <v>21</v>
      </c>
      <c r="F378" s="18" t="n">
        <v>0</v>
      </c>
      <c r="G378" s="67" t="s">
        <v>1371</v>
      </c>
      <c r="H378" s="16" t="s">
        <v>1265</v>
      </c>
      <c r="I378" s="54" t="n">
        <v>14</v>
      </c>
      <c r="J378" s="19" t="s">
        <v>1372</v>
      </c>
    </row>
    <row r="379" customFormat="false" ht="29.25" hidden="false" customHeight="true" outlineLevel="0" collapsed="false">
      <c r="A379" s="16" t="n">
        <v>46</v>
      </c>
      <c r="B379" s="17" t="s">
        <v>1373</v>
      </c>
      <c r="C379" s="58" t="n">
        <v>46274</v>
      </c>
      <c r="D379" s="58" t="n">
        <v>46299</v>
      </c>
      <c r="E379" s="54" t="n">
        <v>17</v>
      </c>
      <c r="F379" s="18" t="n">
        <v>0</v>
      </c>
      <c r="G379" s="67" t="s">
        <v>1374</v>
      </c>
      <c r="H379" s="16" t="s">
        <v>1283</v>
      </c>
      <c r="I379" s="54" t="n">
        <v>12</v>
      </c>
      <c r="J379" s="19" t="s">
        <v>1372</v>
      </c>
    </row>
    <row r="380" customFormat="false" ht="29.25" hidden="false" customHeight="true" outlineLevel="0" collapsed="false">
      <c r="A380" s="16" t="n">
        <v>47</v>
      </c>
      <c r="B380" s="17" t="s">
        <v>1375</v>
      </c>
      <c r="C380" s="58" t="n">
        <v>46277</v>
      </c>
      <c r="D380" s="58" t="n">
        <v>46300</v>
      </c>
      <c r="E380" s="54" t="n">
        <v>20</v>
      </c>
      <c r="F380" s="18" t="n">
        <v>441252.18</v>
      </c>
      <c r="G380" s="67" t="s">
        <v>1376</v>
      </c>
      <c r="H380" s="16" t="s">
        <v>1265</v>
      </c>
      <c r="I380" s="54" t="n">
        <v>15</v>
      </c>
      <c r="J380" s="19" t="s">
        <v>1377</v>
      </c>
    </row>
    <row r="381" customFormat="false" ht="29.25" hidden="false" customHeight="true" outlineLevel="0" collapsed="false">
      <c r="A381" s="16" t="n">
        <v>48</v>
      </c>
      <c r="B381" s="17" t="s">
        <v>1317</v>
      </c>
      <c r="C381" s="58" t="n">
        <v>46286</v>
      </c>
      <c r="D381" s="58" t="n">
        <v>46291</v>
      </c>
      <c r="E381" s="54" t="n">
        <v>4</v>
      </c>
      <c r="F381" s="18" t="n">
        <v>26471.87</v>
      </c>
      <c r="G381" s="67" t="s">
        <v>1378</v>
      </c>
      <c r="H381" s="16" t="s">
        <v>1265</v>
      </c>
      <c r="I381" s="54" t="n">
        <v>23</v>
      </c>
      <c r="J381" s="19" t="s">
        <v>1379</v>
      </c>
    </row>
    <row r="382" customFormat="false" ht="29.25" hidden="false" customHeight="true" outlineLevel="0" collapsed="false">
      <c r="A382" s="16" t="n">
        <v>49</v>
      </c>
      <c r="B382" s="17" t="s">
        <v>1380</v>
      </c>
      <c r="C382" s="58" t="n">
        <v>46292</v>
      </c>
      <c r="D382" s="58" t="n">
        <v>46326</v>
      </c>
      <c r="E382" s="54" t="n">
        <v>30</v>
      </c>
      <c r="F382" s="18" t="n">
        <v>149928.13</v>
      </c>
      <c r="G382" s="67" t="s">
        <v>1381</v>
      </c>
      <c r="H382" s="16" t="s">
        <v>1265</v>
      </c>
      <c r="I382" s="54" t="n">
        <v>23</v>
      </c>
      <c r="J382" s="19" t="s">
        <v>1382</v>
      </c>
    </row>
    <row r="383" customFormat="false" ht="29.25" hidden="false" customHeight="true" outlineLevel="0" collapsed="false">
      <c r="A383" s="16" t="n">
        <v>50</v>
      </c>
      <c r="B383" s="17" t="s">
        <v>1383</v>
      </c>
      <c r="C383" s="58" t="n">
        <v>46299</v>
      </c>
      <c r="D383" s="58" t="n">
        <v>46314</v>
      </c>
      <c r="E383" s="54" t="n">
        <v>14</v>
      </c>
      <c r="F383" s="18" t="n">
        <v>295996.37</v>
      </c>
      <c r="G383" s="67" t="s">
        <v>1384</v>
      </c>
      <c r="H383" s="16" t="s">
        <v>1265</v>
      </c>
      <c r="I383" s="54" t="n">
        <v>15</v>
      </c>
      <c r="J383" s="19" t="s">
        <v>1329</v>
      </c>
    </row>
    <row r="384" customFormat="false" ht="29.25" hidden="false" customHeight="true" outlineLevel="0" collapsed="false">
      <c r="A384" s="16" t="n">
        <v>51</v>
      </c>
      <c r="B384" s="17" t="s">
        <v>1385</v>
      </c>
      <c r="C384" s="58" t="n">
        <v>46299</v>
      </c>
      <c r="D384" s="58" t="n">
        <v>46314</v>
      </c>
      <c r="E384" s="54" t="n">
        <v>14</v>
      </c>
      <c r="F384" s="18" t="n">
        <v>0</v>
      </c>
      <c r="G384" s="67" t="s">
        <v>1386</v>
      </c>
      <c r="H384" s="16" t="s">
        <v>1265</v>
      </c>
      <c r="I384" s="54" t="n">
        <v>15</v>
      </c>
      <c r="J384" s="19" t="s">
        <v>1372</v>
      </c>
    </row>
    <row r="385" customFormat="false" ht="29.25" hidden="false" customHeight="true" outlineLevel="0" collapsed="false">
      <c r="A385" s="16" t="n">
        <v>52</v>
      </c>
      <c r="B385" s="17" t="s">
        <v>1387</v>
      </c>
      <c r="C385" s="58" t="n">
        <v>46300</v>
      </c>
      <c r="D385" s="58" t="n">
        <v>46315</v>
      </c>
      <c r="E385" s="54" t="n">
        <v>12</v>
      </c>
      <c r="F385" s="18" t="n">
        <v>0</v>
      </c>
      <c r="G385" s="67" t="s">
        <v>1388</v>
      </c>
      <c r="H385" s="16" t="s">
        <v>1283</v>
      </c>
      <c r="I385" s="54" t="n">
        <v>13</v>
      </c>
      <c r="J385" s="19" t="s">
        <v>1372</v>
      </c>
    </row>
    <row r="386" customFormat="false" ht="29.25" hidden="false" customHeight="true" outlineLevel="0" collapsed="false">
      <c r="A386" s="16" t="n">
        <v>53</v>
      </c>
      <c r="B386" s="17" t="s">
        <v>1389</v>
      </c>
      <c r="C386" s="58" t="n">
        <v>46301</v>
      </c>
      <c r="D386" s="58" t="n">
        <v>46319</v>
      </c>
      <c r="E386" s="54" t="n">
        <v>16</v>
      </c>
      <c r="F386" s="18" t="n">
        <v>701992.11</v>
      </c>
      <c r="G386" s="67" t="s">
        <v>1390</v>
      </c>
      <c r="H386" s="16" t="s">
        <v>1265</v>
      </c>
      <c r="I386" s="54" t="n">
        <v>15</v>
      </c>
      <c r="J386" s="19" t="s">
        <v>1377</v>
      </c>
    </row>
    <row r="387" customFormat="false" ht="18" hidden="false" customHeight="true" outlineLevel="0" collapsed="false">
      <c r="A387" s="16" t="n">
        <v>54</v>
      </c>
      <c r="B387" s="17" t="s">
        <v>1391</v>
      </c>
      <c r="C387" s="58" t="n">
        <v>46303</v>
      </c>
      <c r="D387" s="58" t="n">
        <v>46324</v>
      </c>
      <c r="E387" s="54" t="n">
        <v>19</v>
      </c>
      <c r="F387" s="18" t="n">
        <v>260739.93</v>
      </c>
      <c r="G387" s="67" t="s">
        <v>1392</v>
      </c>
      <c r="H387" s="16" t="s">
        <v>1265</v>
      </c>
      <c r="I387" s="54" t="n">
        <v>15</v>
      </c>
      <c r="J387" s="19" t="s">
        <v>1377</v>
      </c>
    </row>
    <row r="388" customFormat="false" ht="29.25" hidden="false" customHeight="true" outlineLevel="0" collapsed="false">
      <c r="A388" s="16" t="n">
        <v>55</v>
      </c>
      <c r="B388" s="17" t="s">
        <v>1393</v>
      </c>
      <c r="C388" s="58" t="n">
        <v>46315</v>
      </c>
      <c r="D388" s="58" t="n">
        <v>46330</v>
      </c>
      <c r="E388" s="54" t="n">
        <v>14</v>
      </c>
      <c r="F388" s="18" t="n">
        <v>443958.8</v>
      </c>
      <c r="G388" s="67" t="s">
        <v>1394</v>
      </c>
      <c r="H388" s="16" t="s">
        <v>1265</v>
      </c>
      <c r="I388" s="54" t="n">
        <v>0</v>
      </c>
      <c r="J388" s="19" t="s">
        <v>1327</v>
      </c>
    </row>
    <row r="389" customFormat="false" ht="29.25" hidden="false" customHeight="true" outlineLevel="0" collapsed="false">
      <c r="A389" s="16" t="n">
        <v>56</v>
      </c>
      <c r="B389" s="17" t="s">
        <v>1395</v>
      </c>
      <c r="C389" s="58" t="n">
        <v>46315</v>
      </c>
      <c r="D389" s="58" t="n">
        <v>46330</v>
      </c>
      <c r="E389" s="54" t="n">
        <v>14</v>
      </c>
      <c r="F389" s="18" t="n">
        <v>0</v>
      </c>
      <c r="G389" s="67" t="s">
        <v>1396</v>
      </c>
      <c r="H389" s="16" t="s">
        <v>1265</v>
      </c>
      <c r="I389" s="54" t="n">
        <v>0</v>
      </c>
      <c r="J389" s="19" t="s">
        <v>1397</v>
      </c>
    </row>
    <row r="390" customFormat="false" ht="29.25" hidden="false" customHeight="true" outlineLevel="0" collapsed="false">
      <c r="A390" s="16" t="n">
        <v>57</v>
      </c>
      <c r="B390" s="17" t="s">
        <v>1375</v>
      </c>
      <c r="C390" s="58" t="n">
        <v>46317</v>
      </c>
      <c r="D390" s="58" t="n">
        <v>46323</v>
      </c>
      <c r="E390" s="54" t="n">
        <v>6</v>
      </c>
      <c r="F390" s="18" t="n">
        <v>441252.18</v>
      </c>
      <c r="G390" s="67" t="s">
        <v>1398</v>
      </c>
      <c r="H390" s="16" t="s">
        <v>1265</v>
      </c>
      <c r="I390" s="54" t="n">
        <v>0</v>
      </c>
      <c r="J390" s="19" t="s">
        <v>1399</v>
      </c>
    </row>
    <row r="391" customFormat="false" ht="29.25" hidden="false" customHeight="true" outlineLevel="0" collapsed="false">
      <c r="A391" s="16" t="n">
        <v>58</v>
      </c>
      <c r="B391" s="17" t="s">
        <v>1400</v>
      </c>
      <c r="C391" s="58" t="n">
        <v>46317</v>
      </c>
      <c r="D391" s="58" t="n">
        <v>46331</v>
      </c>
      <c r="E391" s="54" t="n">
        <v>13</v>
      </c>
      <c r="F391" s="18" t="n">
        <v>0</v>
      </c>
      <c r="G391" s="67" t="s">
        <v>1401</v>
      </c>
      <c r="H391" s="16" t="s">
        <v>1265</v>
      </c>
      <c r="I391" s="54" t="n">
        <v>0</v>
      </c>
      <c r="J391" s="19" t="s">
        <v>1397</v>
      </c>
    </row>
    <row r="392" customFormat="false" ht="29.25" hidden="false" customHeight="true" outlineLevel="0" collapsed="false">
      <c r="A392" s="16" t="n">
        <v>59</v>
      </c>
      <c r="B392" s="17" t="s">
        <v>1389</v>
      </c>
      <c r="C392" s="58" t="n">
        <v>46324</v>
      </c>
      <c r="D392" s="58" t="n">
        <v>46337</v>
      </c>
      <c r="E392" s="54" t="n">
        <v>12</v>
      </c>
      <c r="F392" s="18" t="n">
        <v>701992.11</v>
      </c>
      <c r="G392" s="67" t="s">
        <v>1402</v>
      </c>
      <c r="H392" s="16" t="s">
        <v>1265</v>
      </c>
      <c r="I392" s="54" t="n">
        <v>0</v>
      </c>
      <c r="J392" s="19" t="s">
        <v>1399</v>
      </c>
    </row>
    <row r="393" customFormat="false" ht="18" hidden="false" customHeight="true" outlineLevel="0" collapsed="false">
      <c r="A393" s="16" t="n">
        <v>60</v>
      </c>
      <c r="B393" s="17" t="s">
        <v>1403</v>
      </c>
      <c r="C393" s="58" t="n">
        <v>46326</v>
      </c>
      <c r="D393" s="58" t="n">
        <v>46330</v>
      </c>
      <c r="E393" s="54" t="n">
        <v>5</v>
      </c>
      <c r="F393" s="18" t="n">
        <v>260739.93</v>
      </c>
      <c r="G393" s="67" t="s">
        <v>1404</v>
      </c>
      <c r="H393" s="16" t="s">
        <v>1265</v>
      </c>
      <c r="I393" s="54" t="n">
        <v>15</v>
      </c>
      <c r="J393" s="19" t="s">
        <v>1377</v>
      </c>
    </row>
    <row r="394" customFormat="false" ht="18" hidden="false" customHeight="true" outlineLevel="0" collapsed="false">
      <c r="A394" s="16" t="n">
        <v>61</v>
      </c>
      <c r="B394" s="17" t="s">
        <v>1391</v>
      </c>
      <c r="C394" s="58" t="n">
        <v>46327</v>
      </c>
      <c r="D394" s="58" t="n">
        <v>46343</v>
      </c>
      <c r="E394" s="54" t="n">
        <v>15</v>
      </c>
      <c r="F394" s="18" t="n">
        <v>260739.93</v>
      </c>
      <c r="G394" s="67" t="s">
        <v>1405</v>
      </c>
      <c r="H394" s="16" t="s">
        <v>1265</v>
      </c>
      <c r="I394" s="54" t="n">
        <v>0</v>
      </c>
      <c r="J394" s="19" t="s">
        <v>1399</v>
      </c>
    </row>
    <row r="395" customFormat="false" ht="29.25" hidden="false" customHeight="true" outlineLevel="0" collapsed="false">
      <c r="A395" s="16" t="n">
        <v>62</v>
      </c>
      <c r="B395" s="17" t="s">
        <v>1406</v>
      </c>
      <c r="C395" s="58" t="n">
        <v>46327</v>
      </c>
      <c r="D395" s="58" t="n">
        <v>46327</v>
      </c>
      <c r="E395" s="54" t="n">
        <v>1</v>
      </c>
      <c r="F395" s="18" t="n">
        <v>0</v>
      </c>
      <c r="G395" s="67" t="s">
        <v>1407</v>
      </c>
      <c r="H395" s="16" t="s">
        <v>1265</v>
      </c>
      <c r="I395" s="54" t="n">
        <v>23</v>
      </c>
      <c r="J395" s="19" t="s">
        <v>1408</v>
      </c>
    </row>
    <row r="396" customFormat="false" ht="29.25" hidden="false" customHeight="true" outlineLevel="0" collapsed="false">
      <c r="A396" s="16" t="n">
        <v>63</v>
      </c>
      <c r="B396" s="17" t="s">
        <v>1409</v>
      </c>
      <c r="C396" s="58" t="n">
        <v>46328</v>
      </c>
      <c r="D396" s="58" t="n">
        <v>46329</v>
      </c>
      <c r="E396" s="54" t="n">
        <v>2</v>
      </c>
      <c r="F396" s="18" t="n">
        <v>0</v>
      </c>
      <c r="G396" s="67" t="s">
        <v>1410</v>
      </c>
      <c r="H396" s="16" t="s">
        <v>1283</v>
      </c>
      <c r="I396" s="54" t="n">
        <v>19</v>
      </c>
      <c r="J396" s="19" t="s">
        <v>1408</v>
      </c>
    </row>
    <row r="397" customFormat="false" ht="29.25" hidden="false" customHeight="true" outlineLevel="0" collapsed="false">
      <c r="A397" s="16" t="n">
        <v>64</v>
      </c>
      <c r="B397" s="17" t="s">
        <v>1411</v>
      </c>
      <c r="C397" s="58" t="n">
        <v>46331</v>
      </c>
      <c r="D397" s="58" t="n">
        <v>46337</v>
      </c>
      <c r="E397" s="54" t="n">
        <v>6</v>
      </c>
      <c r="F397" s="18" t="n">
        <v>340967.6</v>
      </c>
      <c r="G397" s="67" t="s">
        <v>1412</v>
      </c>
      <c r="H397" s="16" t="s">
        <v>1265</v>
      </c>
      <c r="I397" s="54" t="n">
        <v>15</v>
      </c>
      <c r="J397" s="19" t="s">
        <v>1377</v>
      </c>
    </row>
    <row r="398" customFormat="false" ht="29.25" hidden="false" customHeight="true" outlineLevel="0" collapsed="false">
      <c r="A398" s="16" t="n">
        <v>65</v>
      </c>
      <c r="B398" s="17" t="s">
        <v>1413</v>
      </c>
      <c r="C398" s="58" t="n">
        <v>46335</v>
      </c>
      <c r="D398" s="58" t="n">
        <v>46340</v>
      </c>
      <c r="E398" s="54" t="n">
        <v>5</v>
      </c>
      <c r="F398" s="18" t="n">
        <v>44773.92</v>
      </c>
      <c r="G398" s="67" t="s">
        <v>1414</v>
      </c>
      <c r="H398" s="16" t="s">
        <v>1265</v>
      </c>
      <c r="I398" s="54" t="n">
        <v>17</v>
      </c>
      <c r="J398" s="19" t="s">
        <v>1415</v>
      </c>
    </row>
    <row r="399" customFormat="false" ht="29.25" hidden="false" customHeight="true" outlineLevel="0" collapsed="false">
      <c r="A399" s="16" t="n">
        <v>66</v>
      </c>
      <c r="B399" s="17" t="s">
        <v>1416</v>
      </c>
      <c r="C399" s="58" t="n">
        <v>46337</v>
      </c>
      <c r="D399" s="58" t="n">
        <v>46340</v>
      </c>
      <c r="E399" s="54" t="n">
        <v>3</v>
      </c>
      <c r="F399" s="18" t="n">
        <v>22386.96</v>
      </c>
      <c r="G399" s="67" t="s">
        <v>1417</v>
      </c>
      <c r="H399" s="16" t="s">
        <v>1265</v>
      </c>
      <c r="I399" s="54" t="n">
        <v>17</v>
      </c>
      <c r="J399" s="19" t="s">
        <v>1415</v>
      </c>
    </row>
    <row r="400" customFormat="false" ht="18" hidden="false" customHeight="true" outlineLevel="0" collapsed="false">
      <c r="A400" s="16" t="n">
        <v>67</v>
      </c>
      <c r="B400" s="17" t="s">
        <v>1418</v>
      </c>
      <c r="C400" s="58" t="n">
        <v>46338</v>
      </c>
      <c r="D400" s="58" t="n">
        <v>46342</v>
      </c>
      <c r="E400" s="54" t="n">
        <v>4</v>
      </c>
      <c r="F400" s="18" t="n">
        <v>156708.71</v>
      </c>
      <c r="G400" s="67" t="s">
        <v>1419</v>
      </c>
      <c r="H400" s="16" t="s">
        <v>1265</v>
      </c>
      <c r="I400" s="54" t="n">
        <v>15</v>
      </c>
      <c r="J400" s="19" t="s">
        <v>1415</v>
      </c>
    </row>
    <row r="401" customFormat="false" ht="18" hidden="false" customHeight="true" outlineLevel="0" collapsed="false">
      <c r="A401" s="16" t="n">
        <v>68</v>
      </c>
      <c r="B401" s="17" t="s">
        <v>1403</v>
      </c>
      <c r="C401" s="58" t="n">
        <v>46344</v>
      </c>
      <c r="D401" s="58" t="n">
        <v>46349</v>
      </c>
      <c r="E401" s="54" t="n">
        <v>5</v>
      </c>
      <c r="F401" s="18" t="n">
        <v>260739.93</v>
      </c>
      <c r="G401" s="67" t="s">
        <v>1420</v>
      </c>
      <c r="H401" s="16" t="s">
        <v>1265</v>
      </c>
      <c r="I401" s="54" t="n">
        <v>0</v>
      </c>
      <c r="J401" s="19" t="s">
        <v>1399</v>
      </c>
    </row>
    <row r="402" customFormat="false" ht="29.25" hidden="false" customHeight="true" outlineLevel="0" collapsed="false">
      <c r="A402" s="16" t="n">
        <v>69</v>
      </c>
      <c r="B402" s="17" t="s">
        <v>1411</v>
      </c>
      <c r="C402" s="58" t="n">
        <v>46350</v>
      </c>
      <c r="D402" s="58" t="n">
        <v>46356</v>
      </c>
      <c r="E402" s="54" t="n">
        <v>6</v>
      </c>
      <c r="F402" s="18" t="n">
        <v>340967.6</v>
      </c>
      <c r="G402" s="67" t="s">
        <v>1421</v>
      </c>
      <c r="H402" s="16" t="s">
        <v>1265</v>
      </c>
      <c r="I402" s="54" t="n">
        <v>0</v>
      </c>
      <c r="J402" s="19" t="s">
        <v>1399</v>
      </c>
    </row>
    <row r="403" customFormat="false" ht="29.25" hidden="false" customHeight="true" outlineLevel="0" collapsed="false">
      <c r="A403" s="16" t="n">
        <v>70</v>
      </c>
      <c r="B403" s="17" t="s">
        <v>1413</v>
      </c>
      <c r="C403" s="58" t="n">
        <v>46354</v>
      </c>
      <c r="D403" s="58" t="n">
        <v>46358</v>
      </c>
      <c r="E403" s="54" t="n">
        <v>5</v>
      </c>
      <c r="F403" s="18" t="n">
        <v>44773.92</v>
      </c>
      <c r="G403" s="67" t="s">
        <v>1422</v>
      </c>
      <c r="H403" s="16" t="s">
        <v>1265</v>
      </c>
      <c r="I403" s="54" t="n">
        <v>0</v>
      </c>
      <c r="J403" s="19" t="s">
        <v>1423</v>
      </c>
    </row>
    <row r="404" customFormat="false" ht="29.25" hidden="false" customHeight="true" outlineLevel="0" collapsed="false">
      <c r="A404" s="16" t="n">
        <v>71</v>
      </c>
      <c r="B404" s="17" t="s">
        <v>1416</v>
      </c>
      <c r="C404" s="58" t="n">
        <v>46356</v>
      </c>
      <c r="D404" s="58" t="n">
        <v>46358</v>
      </c>
      <c r="E404" s="54" t="n">
        <v>3</v>
      </c>
      <c r="F404" s="18" t="n">
        <v>22386.96</v>
      </c>
      <c r="G404" s="67" t="s">
        <v>1424</v>
      </c>
      <c r="H404" s="16" t="s">
        <v>1265</v>
      </c>
      <c r="I404" s="54" t="n">
        <v>5</v>
      </c>
      <c r="J404" s="19" t="s">
        <v>1423</v>
      </c>
    </row>
    <row r="405" customFormat="false" ht="18" hidden="false" customHeight="true" outlineLevel="0" collapsed="false">
      <c r="A405" s="16" t="n">
        <v>72</v>
      </c>
      <c r="B405" s="17" t="s">
        <v>1418</v>
      </c>
      <c r="C405" s="58" t="n">
        <v>46357</v>
      </c>
      <c r="D405" s="58" t="n">
        <v>46359</v>
      </c>
      <c r="E405" s="54" t="n">
        <v>3</v>
      </c>
      <c r="F405" s="18" t="n">
        <v>156708.71</v>
      </c>
      <c r="G405" s="67" t="s">
        <v>1425</v>
      </c>
      <c r="H405" s="16" t="s">
        <v>1265</v>
      </c>
      <c r="I405" s="54" t="n">
        <v>0</v>
      </c>
      <c r="J405" s="19" t="s">
        <v>1423</v>
      </c>
    </row>
    <row r="406" customFormat="false" ht="18" hidden="false" customHeight="true" outlineLevel="0" collapsed="false">
      <c r="A406" s="16" t="n">
        <v>73</v>
      </c>
      <c r="B406" s="17" t="s">
        <v>1426</v>
      </c>
      <c r="C406" s="58" t="n">
        <v>46359</v>
      </c>
      <c r="D406" s="58" t="n">
        <v>46359</v>
      </c>
      <c r="E406" s="54" t="n">
        <v>0</v>
      </c>
      <c r="F406" s="18" t="n">
        <v>0</v>
      </c>
      <c r="G406" s="67" t="s">
        <v>1427</v>
      </c>
      <c r="H406" s="16" t="s">
        <v>1265</v>
      </c>
      <c r="I406" s="54" t="n">
        <v>0</v>
      </c>
      <c r="J406" s="19" t="s">
        <v>1428</v>
      </c>
    </row>
    <row r="407" customFormat="false" ht="18" hidden="false" customHeight="true" outlineLevel="0" collapsed="false">
      <c r="A407" s="16" t="n">
        <v>74</v>
      </c>
      <c r="B407" s="17" t="s">
        <v>1429</v>
      </c>
      <c r="C407" s="58" t="n">
        <v>46361</v>
      </c>
      <c r="D407" s="58" t="n">
        <v>46364</v>
      </c>
      <c r="E407" s="54" t="n">
        <v>4</v>
      </c>
      <c r="F407" s="18" t="n">
        <v>64302.97</v>
      </c>
      <c r="G407" s="67" t="s">
        <v>1227</v>
      </c>
      <c r="H407" s="16" t="s">
        <v>1265</v>
      </c>
      <c r="I407" s="54" t="n">
        <v>0</v>
      </c>
      <c r="J407" s="19" t="s">
        <v>1428</v>
      </c>
    </row>
    <row r="408" customFormat="false" ht="18" hidden="false" customHeight="true" outlineLevel="0" collapsed="false">
      <c r="A408" s="16" t="n">
        <v>75</v>
      </c>
      <c r="B408" s="17" t="s">
        <v>1430</v>
      </c>
      <c r="C408" s="58" t="n">
        <v>46365</v>
      </c>
      <c r="D408" s="58" t="n">
        <v>46372</v>
      </c>
      <c r="E408" s="54" t="n">
        <v>7</v>
      </c>
      <c r="F408" s="18" t="n">
        <v>100152.99</v>
      </c>
      <c r="G408" s="67" t="s">
        <v>1431</v>
      </c>
      <c r="H408" s="16" t="s">
        <v>1265</v>
      </c>
      <c r="I408" s="54" t="n">
        <v>0</v>
      </c>
      <c r="J408" s="19" t="s">
        <v>1432</v>
      </c>
    </row>
    <row r="409" customFormat="false" ht="18" hidden="false" customHeight="true" outlineLevel="0" collapsed="false">
      <c r="A409" s="16" t="n">
        <v>76</v>
      </c>
      <c r="B409" s="17" t="s">
        <v>1433</v>
      </c>
      <c r="C409" s="58" t="n">
        <v>46365</v>
      </c>
      <c r="D409" s="58" t="n">
        <v>46372</v>
      </c>
      <c r="E409" s="54" t="n">
        <v>7</v>
      </c>
      <c r="F409" s="18" t="n">
        <v>100152.99</v>
      </c>
      <c r="G409" s="67" t="s">
        <v>1434</v>
      </c>
      <c r="H409" s="16" t="s">
        <v>1265</v>
      </c>
      <c r="I409" s="54" t="n">
        <v>0</v>
      </c>
      <c r="J409" s="19" t="s">
        <v>1432</v>
      </c>
    </row>
    <row r="410" customFormat="false" ht="18" hidden="false" customHeight="true" outlineLevel="0" collapsed="false">
      <c r="A410" s="16" t="n">
        <v>77</v>
      </c>
      <c r="B410" s="17" t="s">
        <v>1435</v>
      </c>
      <c r="C410" s="58" t="n">
        <v>46372</v>
      </c>
      <c r="D410" s="58" t="n">
        <v>46372</v>
      </c>
      <c r="E410" s="54" t="n">
        <v>0</v>
      </c>
      <c r="F410" s="18" t="n">
        <v>0</v>
      </c>
      <c r="G410" s="67" t="s">
        <v>1436</v>
      </c>
      <c r="H410" s="16" t="s">
        <v>1265</v>
      </c>
      <c r="I410" s="54" t="n">
        <v>7</v>
      </c>
      <c r="J410" s="19" t="s">
        <v>1273</v>
      </c>
    </row>
    <row r="411" customFormat="false" ht="18" hidden="false" customHeight="true" outlineLevel="0" collapsed="false">
      <c r="A411" s="16" t="n">
        <v>78</v>
      </c>
      <c r="B411" s="17" t="s">
        <v>1437</v>
      </c>
      <c r="C411" s="58" t="n">
        <v>46372</v>
      </c>
      <c r="D411" s="58" t="n">
        <v>46372</v>
      </c>
      <c r="E411" s="54" t="n">
        <v>0</v>
      </c>
      <c r="F411" s="18" t="n">
        <v>0</v>
      </c>
      <c r="G411" s="67" t="s">
        <v>1438</v>
      </c>
      <c r="H411" s="16" t="s">
        <v>1265</v>
      </c>
      <c r="I411" s="54" t="n">
        <v>7</v>
      </c>
      <c r="J411" s="19" t="s">
        <v>1273</v>
      </c>
    </row>
    <row r="412" customFormat="false" ht="29.25" hidden="false" customHeight="true" outlineLevel="0" collapsed="false">
      <c r="A412" s="16" t="n">
        <v>79</v>
      </c>
      <c r="B412" s="17" t="s">
        <v>1439</v>
      </c>
      <c r="C412" s="58" t="n">
        <v>46373</v>
      </c>
      <c r="D412" s="58" t="n">
        <v>46380</v>
      </c>
      <c r="E412" s="54" t="n">
        <v>7</v>
      </c>
      <c r="F412" s="18" t="n">
        <v>50000</v>
      </c>
      <c r="G412" s="67" t="s">
        <v>1030</v>
      </c>
      <c r="H412" s="16" t="s">
        <v>1265</v>
      </c>
      <c r="I412" s="54" t="n">
        <v>0</v>
      </c>
      <c r="J412" s="19" t="s">
        <v>1440</v>
      </c>
    </row>
    <row r="413" customFormat="false" ht="18" hidden="false" customHeight="true" outlineLevel="0" collapsed="false">
      <c r="A413" s="16" t="n">
        <v>80</v>
      </c>
      <c r="B413" s="17" t="s">
        <v>1441</v>
      </c>
      <c r="C413" s="58" t="n">
        <v>46373</v>
      </c>
      <c r="D413" s="58" t="n">
        <v>46380</v>
      </c>
      <c r="E413" s="54" t="n">
        <v>7</v>
      </c>
      <c r="F413" s="18" t="n">
        <v>0</v>
      </c>
      <c r="G413" s="67" t="s">
        <v>1188</v>
      </c>
      <c r="H413" s="16" t="s">
        <v>1265</v>
      </c>
      <c r="I413" s="54" t="n">
        <v>0</v>
      </c>
      <c r="J413" s="19" t="s">
        <v>1442</v>
      </c>
    </row>
    <row r="414" customFormat="false" ht="18" hidden="false" customHeight="true" outlineLevel="0" collapsed="false">
      <c r="A414" s="16" t="n">
        <v>81</v>
      </c>
      <c r="B414" s="17" t="s">
        <v>1443</v>
      </c>
      <c r="C414" s="58" t="n">
        <v>46380</v>
      </c>
      <c r="D414" s="58" t="n">
        <v>46380</v>
      </c>
      <c r="E414" s="54" t="n">
        <v>0</v>
      </c>
      <c r="F414" s="18" t="n">
        <v>0</v>
      </c>
      <c r="G414" s="67" t="s">
        <v>1444</v>
      </c>
      <c r="H414" s="16" t="s">
        <v>1269</v>
      </c>
      <c r="I414" s="54" t="n">
        <v>0</v>
      </c>
      <c r="J414" s="19" t="s">
        <v>1270</v>
      </c>
    </row>
    <row r="415" customFormat="false" ht="29.25" hidden="false" customHeight="true" outlineLevel="0" collapsed="false">
      <c r="A415" s="23"/>
      <c r="B415" s="23" t="s">
        <v>1445</v>
      </c>
      <c r="C415" s="23"/>
      <c r="D415" s="23"/>
      <c r="E415" s="23"/>
      <c r="F415" s="35" t="n">
        <f aca="false">SUM(F333:F414)</f>
        <v>8110296.62</v>
      </c>
      <c r="G415" s="23"/>
      <c r="H415" s="23"/>
      <c r="I415" s="23"/>
      <c r="J415" s="19" t="s">
        <v>1446</v>
      </c>
    </row>
  </sheetData>
  <mergeCells count="372">
    <mergeCell ref="A4:J4"/>
    <mergeCell ref="A6:J6"/>
    <mergeCell ref="A7:J7"/>
    <mergeCell ref="A8:J8"/>
    <mergeCell ref="A9:J9"/>
    <mergeCell ref="A11:J11"/>
    <mergeCell ref="C12:H12"/>
    <mergeCell ref="I12:J12"/>
    <mergeCell ref="C13:H13"/>
    <mergeCell ref="I13:J13"/>
    <mergeCell ref="C14:H14"/>
    <mergeCell ref="I14:J14"/>
    <mergeCell ref="C15:H15"/>
    <mergeCell ref="I15:J15"/>
    <mergeCell ref="A17:J17"/>
    <mergeCell ref="A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7:J47"/>
    <mergeCell ref="I48:J48"/>
    <mergeCell ref="I49:J49"/>
    <mergeCell ref="I50:J50"/>
    <mergeCell ref="I51:J51"/>
    <mergeCell ref="I53:J53"/>
    <mergeCell ref="I54:J54"/>
    <mergeCell ref="I55:J55"/>
    <mergeCell ref="A57:J57"/>
    <mergeCell ref="A58:J58"/>
    <mergeCell ref="A59:J59"/>
    <mergeCell ref="A60:J60"/>
    <mergeCell ref="G85:I85"/>
    <mergeCell ref="G86:I86"/>
    <mergeCell ref="G87:I87"/>
    <mergeCell ref="G88:I88"/>
    <mergeCell ref="G89:I89"/>
    <mergeCell ref="G90:I90"/>
    <mergeCell ref="G91:I91"/>
    <mergeCell ref="G92:I92"/>
    <mergeCell ref="G93:I93"/>
    <mergeCell ref="G94:I94"/>
    <mergeCell ref="G95:I95"/>
    <mergeCell ref="G96:I96"/>
    <mergeCell ref="G97:I97"/>
    <mergeCell ref="G98:I98"/>
    <mergeCell ref="G99:I99"/>
    <mergeCell ref="G100:I100"/>
    <mergeCell ref="G101:I101"/>
    <mergeCell ref="G103:I103"/>
    <mergeCell ref="G104:I104"/>
    <mergeCell ref="G105:I105"/>
    <mergeCell ref="G106:I106"/>
    <mergeCell ref="G107:I107"/>
    <mergeCell ref="G108:I108"/>
    <mergeCell ref="A110:J110"/>
    <mergeCell ref="A111:J111"/>
    <mergeCell ref="A155:J155"/>
    <mergeCell ref="A156:J156"/>
    <mergeCell ref="C157:D157"/>
    <mergeCell ref="E157:F157"/>
    <mergeCell ref="G157:H157"/>
    <mergeCell ref="C158:D158"/>
    <mergeCell ref="E158:F158"/>
    <mergeCell ref="G158:H158"/>
    <mergeCell ref="C159:D159"/>
    <mergeCell ref="E159:F159"/>
    <mergeCell ref="G159:H159"/>
    <mergeCell ref="C160:D160"/>
    <mergeCell ref="E160:F160"/>
    <mergeCell ref="G160:H160"/>
    <mergeCell ref="C161:D161"/>
    <mergeCell ref="E161:F161"/>
    <mergeCell ref="G161:H161"/>
    <mergeCell ref="C162:D162"/>
    <mergeCell ref="E162:F162"/>
    <mergeCell ref="G162:H162"/>
    <mergeCell ref="C163:D163"/>
    <mergeCell ref="E163:F163"/>
    <mergeCell ref="G163:H163"/>
    <mergeCell ref="C164:D164"/>
    <mergeCell ref="E164:F164"/>
    <mergeCell ref="G164:H164"/>
    <mergeCell ref="C165:D165"/>
    <mergeCell ref="E165:F165"/>
    <mergeCell ref="G165:H165"/>
    <mergeCell ref="C166:D166"/>
    <mergeCell ref="E166:F166"/>
    <mergeCell ref="G166:H166"/>
    <mergeCell ref="C167:D167"/>
    <mergeCell ref="E167:F167"/>
    <mergeCell ref="G167:H167"/>
    <mergeCell ref="C168:D168"/>
    <mergeCell ref="E168:F168"/>
    <mergeCell ref="G168:H168"/>
    <mergeCell ref="C169:D169"/>
    <mergeCell ref="E169:F169"/>
    <mergeCell ref="G169:H169"/>
    <mergeCell ref="C170:D170"/>
    <mergeCell ref="E170:F170"/>
    <mergeCell ref="G170:H170"/>
    <mergeCell ref="C171:D171"/>
    <mergeCell ref="E171:F171"/>
    <mergeCell ref="G171:H171"/>
    <mergeCell ref="C172:D172"/>
    <mergeCell ref="E172:F172"/>
    <mergeCell ref="G172:H172"/>
    <mergeCell ref="C173:D173"/>
    <mergeCell ref="E173:F173"/>
    <mergeCell ref="G173:H173"/>
    <mergeCell ref="C174:D174"/>
    <mergeCell ref="E174:F174"/>
    <mergeCell ref="G174:H174"/>
    <mergeCell ref="C175:D175"/>
    <mergeCell ref="E175:F175"/>
    <mergeCell ref="G175:H175"/>
    <mergeCell ref="C176:D176"/>
    <mergeCell ref="E176:F176"/>
    <mergeCell ref="G176:H176"/>
    <mergeCell ref="C177:D177"/>
    <mergeCell ref="E177:F177"/>
    <mergeCell ref="G177:H177"/>
    <mergeCell ref="C178:D178"/>
    <mergeCell ref="E178:F178"/>
    <mergeCell ref="G178:H178"/>
    <mergeCell ref="C179:D179"/>
    <mergeCell ref="E179:F179"/>
    <mergeCell ref="G179:H179"/>
    <mergeCell ref="C180:D180"/>
    <mergeCell ref="E180:F180"/>
    <mergeCell ref="G180:H180"/>
    <mergeCell ref="C181:D181"/>
    <mergeCell ref="E181:F181"/>
    <mergeCell ref="G181:H181"/>
    <mergeCell ref="C182:D182"/>
    <mergeCell ref="E182:F182"/>
    <mergeCell ref="G182:H182"/>
    <mergeCell ref="C183:D183"/>
    <mergeCell ref="E183:F183"/>
    <mergeCell ref="G183:H183"/>
    <mergeCell ref="C184:D184"/>
    <mergeCell ref="E184:F184"/>
    <mergeCell ref="G184:H184"/>
    <mergeCell ref="C185:D185"/>
    <mergeCell ref="E185:F185"/>
    <mergeCell ref="G185:H185"/>
    <mergeCell ref="C186:D186"/>
    <mergeCell ref="E186:F186"/>
    <mergeCell ref="G186:H186"/>
    <mergeCell ref="C187:D187"/>
    <mergeCell ref="E187:F187"/>
    <mergeCell ref="G187:H187"/>
    <mergeCell ref="C188:D188"/>
    <mergeCell ref="E188:F188"/>
    <mergeCell ref="G188:H188"/>
    <mergeCell ref="C189:D189"/>
    <mergeCell ref="E189:F189"/>
    <mergeCell ref="G189:H189"/>
    <mergeCell ref="C190:D190"/>
    <mergeCell ref="E190:F190"/>
    <mergeCell ref="G190:H190"/>
    <mergeCell ref="C191:D191"/>
    <mergeCell ref="E191:F191"/>
    <mergeCell ref="G191:H191"/>
    <mergeCell ref="C192:D192"/>
    <mergeCell ref="E192:F192"/>
    <mergeCell ref="G192:H192"/>
    <mergeCell ref="C193:D193"/>
    <mergeCell ref="E193:F193"/>
    <mergeCell ref="G193:H193"/>
    <mergeCell ref="C194:D194"/>
    <mergeCell ref="E194:F194"/>
    <mergeCell ref="G194:H194"/>
    <mergeCell ref="C195:D195"/>
    <mergeCell ref="E195:F195"/>
    <mergeCell ref="G195:H195"/>
    <mergeCell ref="C196:D196"/>
    <mergeCell ref="E196:F196"/>
    <mergeCell ref="G196:H196"/>
    <mergeCell ref="C197:D197"/>
    <mergeCell ref="E197:F197"/>
    <mergeCell ref="G197:H197"/>
    <mergeCell ref="C198:D198"/>
    <mergeCell ref="E198:F198"/>
    <mergeCell ref="G198:H198"/>
    <mergeCell ref="C199:D199"/>
    <mergeCell ref="E199:F199"/>
    <mergeCell ref="G199:H199"/>
    <mergeCell ref="C200:D200"/>
    <mergeCell ref="E200:F200"/>
    <mergeCell ref="G200:H200"/>
    <mergeCell ref="C201:D201"/>
    <mergeCell ref="E201:F201"/>
    <mergeCell ref="G201:H201"/>
    <mergeCell ref="C202:D202"/>
    <mergeCell ref="E202:F202"/>
    <mergeCell ref="G202:H202"/>
    <mergeCell ref="C203:D203"/>
    <mergeCell ref="E203:F203"/>
    <mergeCell ref="G203:H203"/>
    <mergeCell ref="C204:D204"/>
    <mergeCell ref="E204:F204"/>
    <mergeCell ref="G204:H204"/>
    <mergeCell ref="C205:D205"/>
    <mergeCell ref="E205:F205"/>
    <mergeCell ref="G205:H205"/>
    <mergeCell ref="C206:D206"/>
    <mergeCell ref="E206:F206"/>
    <mergeCell ref="G206:H206"/>
    <mergeCell ref="C207:D207"/>
    <mergeCell ref="E207:F207"/>
    <mergeCell ref="G207:H207"/>
    <mergeCell ref="C208:D208"/>
    <mergeCell ref="E208:F208"/>
    <mergeCell ref="G208:H208"/>
    <mergeCell ref="C209:D209"/>
    <mergeCell ref="E209:F209"/>
    <mergeCell ref="G209:H209"/>
    <mergeCell ref="C210:D210"/>
    <mergeCell ref="E210:F210"/>
    <mergeCell ref="G210:H210"/>
    <mergeCell ref="C211:D211"/>
    <mergeCell ref="E211:F211"/>
    <mergeCell ref="G211:H211"/>
    <mergeCell ref="C212:D212"/>
    <mergeCell ref="E212:F212"/>
    <mergeCell ref="G212:H212"/>
    <mergeCell ref="C213:D213"/>
    <mergeCell ref="E213:F213"/>
    <mergeCell ref="G213:H213"/>
    <mergeCell ref="C214:D214"/>
    <mergeCell ref="E214:F214"/>
    <mergeCell ref="G214:H214"/>
    <mergeCell ref="C215:D215"/>
    <mergeCell ref="E215:F215"/>
    <mergeCell ref="G215:H215"/>
    <mergeCell ref="C216:D216"/>
    <mergeCell ref="E216:F216"/>
    <mergeCell ref="G216:H216"/>
    <mergeCell ref="C217:D217"/>
    <mergeCell ref="E217:F217"/>
    <mergeCell ref="G217:H217"/>
    <mergeCell ref="C218:D218"/>
    <mergeCell ref="E218:F218"/>
    <mergeCell ref="G218:H218"/>
    <mergeCell ref="C219:D219"/>
    <mergeCell ref="E219:F219"/>
    <mergeCell ref="G219:H219"/>
    <mergeCell ref="C220:D220"/>
    <mergeCell ref="E220:F220"/>
    <mergeCell ref="G220:H220"/>
    <mergeCell ref="C221:D221"/>
    <mergeCell ref="E221:F221"/>
    <mergeCell ref="G221:H221"/>
    <mergeCell ref="C222:D222"/>
    <mergeCell ref="E222:F222"/>
    <mergeCell ref="G222:H222"/>
    <mergeCell ref="C223:D223"/>
    <mergeCell ref="E223:F223"/>
    <mergeCell ref="G223:H223"/>
    <mergeCell ref="C224:D224"/>
    <mergeCell ref="E224:F224"/>
    <mergeCell ref="G224:H224"/>
    <mergeCell ref="C225:D225"/>
    <mergeCell ref="E225:F225"/>
    <mergeCell ref="G225:H225"/>
    <mergeCell ref="C226:D226"/>
    <mergeCell ref="E226:F226"/>
    <mergeCell ref="G226:H226"/>
    <mergeCell ref="C227:D227"/>
    <mergeCell ref="E227:F227"/>
    <mergeCell ref="G227:H227"/>
    <mergeCell ref="C228:D228"/>
    <mergeCell ref="E228:F228"/>
    <mergeCell ref="G228:H228"/>
    <mergeCell ref="C229:D229"/>
    <mergeCell ref="E229:F229"/>
    <mergeCell ref="G229:H229"/>
    <mergeCell ref="C230:D230"/>
    <mergeCell ref="E230:F230"/>
    <mergeCell ref="G230:H230"/>
    <mergeCell ref="C231:D231"/>
    <mergeCell ref="E231:F231"/>
    <mergeCell ref="G231:H231"/>
    <mergeCell ref="C232:D232"/>
    <mergeCell ref="E232:F232"/>
    <mergeCell ref="G232:H232"/>
    <mergeCell ref="C233:D233"/>
    <mergeCell ref="E233:F233"/>
    <mergeCell ref="G233:H233"/>
    <mergeCell ref="C234:D234"/>
    <mergeCell ref="E234:F234"/>
    <mergeCell ref="G234:H234"/>
    <mergeCell ref="C235:D235"/>
    <mergeCell ref="E235:F235"/>
    <mergeCell ref="G235:H235"/>
    <mergeCell ref="C236:D236"/>
    <mergeCell ref="E236:F236"/>
    <mergeCell ref="G236:H236"/>
    <mergeCell ref="C237:D237"/>
    <mergeCell ref="E237:F237"/>
    <mergeCell ref="G237:H237"/>
    <mergeCell ref="C238:D238"/>
    <mergeCell ref="E238:F238"/>
    <mergeCell ref="G238:H238"/>
    <mergeCell ref="C239:D239"/>
    <mergeCell ref="E239:F239"/>
    <mergeCell ref="G239:H239"/>
    <mergeCell ref="C240:D240"/>
    <mergeCell ref="E240:F240"/>
    <mergeCell ref="G240:H240"/>
    <mergeCell ref="C241:D241"/>
    <mergeCell ref="E241:F241"/>
    <mergeCell ref="G241:H241"/>
    <mergeCell ref="C242:D242"/>
    <mergeCell ref="E242:F242"/>
    <mergeCell ref="G242:H242"/>
    <mergeCell ref="C243:D243"/>
    <mergeCell ref="E243:F243"/>
    <mergeCell ref="G243:H243"/>
    <mergeCell ref="C244:D244"/>
    <mergeCell ref="E244:F244"/>
    <mergeCell ref="G244:H244"/>
    <mergeCell ref="C245:D245"/>
    <mergeCell ref="E245:F245"/>
    <mergeCell ref="G245:H245"/>
    <mergeCell ref="C246:D246"/>
    <mergeCell ref="E246:F246"/>
    <mergeCell ref="G246:H246"/>
    <mergeCell ref="C247:D247"/>
    <mergeCell ref="E247:F247"/>
    <mergeCell ref="G247:H247"/>
    <mergeCell ref="C248:D248"/>
    <mergeCell ref="E248:F248"/>
    <mergeCell ref="G248:H248"/>
    <mergeCell ref="C249:D249"/>
    <mergeCell ref="E249:F249"/>
    <mergeCell ref="G249:H249"/>
    <mergeCell ref="C250:D250"/>
    <mergeCell ref="E250:F250"/>
    <mergeCell ref="G250:H250"/>
    <mergeCell ref="C251:D251"/>
    <mergeCell ref="E251:F251"/>
    <mergeCell ref="G251:H251"/>
    <mergeCell ref="C252:D252"/>
    <mergeCell ref="E252:F252"/>
    <mergeCell ref="G252:H252"/>
    <mergeCell ref="A330:J330"/>
    <mergeCell ref="A331:J331"/>
  </mergeCells>
  <printOptions headings="false" gridLines="false" gridLinesSet="true" horizontalCentered="false" verticalCentered="false"/>
  <pageMargins left="0.354166666666667" right="0.354166666666667" top="0.5" bottom="0.433333333333333"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3" manualBreakCount="13">
    <brk id="26" man="true" max="16383" min="0"/>
    <brk id="44" man="true" max="16383" min="0"/>
    <brk id="56" man="true" max="16383" min="0"/>
    <brk id="74" man="true" max="16383" min="0"/>
    <brk id="102" man="true" max="16383" min="0"/>
    <brk id="126" man="true" max="16383" min="0"/>
    <brk id="154" man="true" max="16383" min="0"/>
    <brk id="173" man="true" max="16383" min="0"/>
    <brk id="190" man="true" max="16383" min="0"/>
    <brk id="212" man="true" max="16383" min="0"/>
    <brk id="235" man="true" max="16383" min="0"/>
    <brk id="329" man="true" max="16383" min="0"/>
    <brk id="375" man="true" max="16383" min="0"/>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45BF"/>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25" activePane="bottomRight" state="frozen"/>
      <selection pane="topLeft" activeCell="A1" activeCellId="0" sqref="A1"/>
      <selection pane="topRight" activeCell="C1" activeCellId="0" sqref="C1"/>
      <selection pane="bottomLeft" activeCell="A25" activeCellId="0" sqref="A25"/>
      <selection pane="bottomRight" activeCell="B10" activeCellId="0" sqref="B10"/>
    </sheetView>
  </sheetViews>
  <sheetFormatPr defaultColWidth="8.6640625" defaultRowHeight="14.2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3" min="3" style="0" width="7"/>
    <col collapsed="false" customWidth="true" hidden="false" outlineLevel="0" max="4" min="4" style="0" width="11"/>
    <col collapsed="false" customWidth="true" hidden="false" outlineLevel="0" max="5" min="5" style="0" width="13"/>
    <col collapsed="false" customWidth="true" hidden="false" outlineLevel="0" max="6" min="6" style="0" width="15"/>
    <col collapsed="false" customWidth="true" hidden="false" outlineLevel="0" max="7" min="7" style="0" width="16"/>
  </cols>
  <sheetData>
    <row r="1" customFormat="false" ht="25.5" hidden="false" customHeight="true" outlineLevel="0" collapsed="false">
      <c r="A1" s="8" t="s">
        <v>1447</v>
      </c>
    </row>
    <row r="2" customFormat="false" ht="15.75" hidden="false" customHeight="true" outlineLevel="0" collapsed="false">
      <c r="A2" s="9" t="s">
        <v>1448</v>
      </c>
    </row>
    <row r="3" customFormat="false" ht="15" hidden="false" customHeight="true" outlineLevel="0" collapsed="false">
      <c r="A3" s="10" t="s">
        <v>1449</v>
      </c>
    </row>
    <row r="4" customFormat="false" ht="30" hidden="false" customHeight="true" outlineLevel="0" collapsed="false">
      <c r="A4" s="68" t="s">
        <v>1450</v>
      </c>
    </row>
    <row r="5" customFormat="false" ht="19.5" hidden="false" customHeight="true" outlineLevel="0" collapsed="false">
      <c r="A5" s="69"/>
      <c r="B5" s="69"/>
      <c r="C5" s="70" t="s">
        <v>1451</v>
      </c>
      <c r="D5" s="70"/>
      <c r="E5" s="70"/>
      <c r="F5" s="70"/>
      <c r="G5" s="70"/>
    </row>
    <row r="6" customFormat="false" ht="31.5" hidden="false" customHeight="true" outlineLevel="0" collapsed="false">
      <c r="A6" s="13" t="s">
        <v>35</v>
      </c>
      <c r="B6" s="13" t="s">
        <v>36</v>
      </c>
      <c r="C6" s="13" t="s">
        <v>37</v>
      </c>
      <c r="D6" s="13" t="s">
        <v>38</v>
      </c>
      <c r="E6" s="13" t="s">
        <v>39</v>
      </c>
      <c r="F6" s="13" t="s">
        <v>40</v>
      </c>
      <c r="G6" s="13" t="s">
        <v>1452</v>
      </c>
    </row>
    <row r="7" customFormat="false" ht="21.75" hidden="false" customHeight="true" outlineLevel="0" collapsed="false">
      <c r="A7" s="71" t="s">
        <v>1453</v>
      </c>
      <c r="B7" s="71"/>
      <c r="C7" s="71"/>
      <c r="D7" s="71"/>
      <c r="E7" s="71"/>
      <c r="F7" s="71"/>
      <c r="G7" s="71"/>
    </row>
    <row r="8" customFormat="false" ht="45" hidden="false" customHeight="true" outlineLevel="0" collapsed="false">
      <c r="A8" s="72" t="n">
        <v>1</v>
      </c>
      <c r="B8" s="73" t="s">
        <v>1454</v>
      </c>
      <c r="C8" s="72" t="s">
        <v>49</v>
      </c>
      <c r="D8" s="74" t="n">
        <v>1</v>
      </c>
      <c r="E8" s="74" t="n">
        <v>816000</v>
      </c>
      <c r="F8" s="75" t="n">
        <v>816000</v>
      </c>
      <c r="G8" s="76"/>
    </row>
    <row r="9" customFormat="false" ht="21.75" hidden="false" customHeight="true" outlineLevel="0" collapsed="false">
      <c r="A9" s="71" t="s">
        <v>54</v>
      </c>
      <c r="B9" s="71"/>
      <c r="C9" s="71"/>
      <c r="D9" s="71"/>
      <c r="E9" s="71"/>
      <c r="F9" s="71"/>
      <c r="G9" s="71"/>
    </row>
    <row r="10" customFormat="false" ht="96.75" hidden="false" customHeight="true" outlineLevel="0" collapsed="false">
      <c r="A10" s="72" t="n">
        <v>2</v>
      </c>
      <c r="B10" s="73" t="s">
        <v>1455</v>
      </c>
      <c r="C10" s="72" t="s">
        <v>49</v>
      </c>
      <c r="D10" s="74" t="n">
        <v>1</v>
      </c>
      <c r="E10" s="74" t="n">
        <v>102000</v>
      </c>
      <c r="F10" s="75" t="n">
        <v>102000</v>
      </c>
      <c r="G10" s="76"/>
    </row>
    <row r="11" customFormat="false" ht="21.75" hidden="false" customHeight="true" outlineLevel="0" collapsed="false">
      <c r="A11" s="71" t="s">
        <v>1456</v>
      </c>
      <c r="B11" s="71"/>
      <c r="C11" s="71"/>
      <c r="D11" s="71"/>
      <c r="E11" s="71"/>
      <c r="F11" s="71"/>
      <c r="G11" s="71"/>
    </row>
    <row r="12" customFormat="false" ht="70.5" hidden="false" customHeight="true" outlineLevel="0" collapsed="false">
      <c r="A12" s="72" t="n">
        <v>3</v>
      </c>
      <c r="B12" s="73" t="s">
        <v>1457</v>
      </c>
      <c r="C12" s="72" t="s">
        <v>49</v>
      </c>
      <c r="D12" s="74" t="n">
        <v>1</v>
      </c>
      <c r="E12" s="74" t="n">
        <v>18000</v>
      </c>
      <c r="F12" s="75" t="n">
        <v>18000</v>
      </c>
      <c r="G12" s="76"/>
    </row>
    <row r="13" customFormat="false" ht="258.75" hidden="false" customHeight="true" outlineLevel="0" collapsed="false">
      <c r="A13" s="72" t="n">
        <v>4</v>
      </c>
      <c r="B13" s="73" t="s">
        <v>1458</v>
      </c>
      <c r="C13" s="72" t="s">
        <v>49</v>
      </c>
      <c r="D13" s="74" t="n">
        <v>1</v>
      </c>
      <c r="E13" s="74" t="n">
        <v>31500</v>
      </c>
      <c r="F13" s="75" t="n">
        <v>31500</v>
      </c>
      <c r="G13" s="76"/>
    </row>
    <row r="14" customFormat="false" ht="14.25" hidden="false" customHeight="false" outlineLevel="0" collapsed="false">
      <c r="A14" s="71" t="s">
        <v>1459</v>
      </c>
      <c r="B14" s="71"/>
      <c r="C14" s="71"/>
      <c r="D14" s="71"/>
      <c r="E14" s="71"/>
      <c r="F14" s="71"/>
      <c r="G14" s="71"/>
    </row>
    <row r="15" customFormat="false" ht="72" hidden="false" customHeight="true" outlineLevel="0" collapsed="false">
      <c r="A15" s="72" t="n">
        <v>5</v>
      </c>
      <c r="B15" s="73" t="s">
        <v>1460</v>
      </c>
      <c r="C15" s="72" t="s">
        <v>1461</v>
      </c>
      <c r="D15" s="74" t="n">
        <v>1050</v>
      </c>
      <c r="E15" s="74" t="n">
        <v>6</v>
      </c>
      <c r="F15" s="75" t="n">
        <v>6300</v>
      </c>
      <c r="G15" s="76"/>
    </row>
    <row r="16" customFormat="false" ht="100.5" hidden="false" customHeight="true" outlineLevel="0" collapsed="false">
      <c r="A16" s="72" t="n">
        <v>6</v>
      </c>
      <c r="B16" s="73" t="s">
        <v>1462</v>
      </c>
      <c r="C16" s="72" t="s">
        <v>1463</v>
      </c>
      <c r="D16" s="74" t="n">
        <v>1050</v>
      </c>
      <c r="E16" s="74" t="n">
        <v>54</v>
      </c>
      <c r="F16" s="75" t="n">
        <v>56700</v>
      </c>
      <c r="G16" s="76"/>
    </row>
    <row r="17" customFormat="false" ht="144" hidden="false" customHeight="true" outlineLevel="0" collapsed="false">
      <c r="A17" s="72" t="n">
        <v>7</v>
      </c>
      <c r="B17" s="73" t="s">
        <v>1464</v>
      </c>
      <c r="C17" s="72" t="s">
        <v>1463</v>
      </c>
      <c r="D17" s="74" t="n">
        <v>1050</v>
      </c>
      <c r="E17" s="74" t="n">
        <v>60</v>
      </c>
      <c r="F17" s="75" t="n">
        <v>63000</v>
      </c>
      <c r="G17" s="76"/>
    </row>
    <row r="18" customFormat="false" ht="14.25" hidden="false" customHeight="false" outlineLevel="0" collapsed="false">
      <c r="A18" s="71" t="s">
        <v>1465</v>
      </c>
      <c r="B18" s="71"/>
      <c r="C18" s="71"/>
      <c r="D18" s="71"/>
      <c r="E18" s="71"/>
      <c r="F18" s="71"/>
      <c r="G18" s="71"/>
    </row>
    <row r="19" customFormat="false" ht="57" hidden="false" customHeight="true" outlineLevel="0" collapsed="false">
      <c r="A19" s="72" t="n">
        <v>8</v>
      </c>
      <c r="B19" s="73" t="s">
        <v>1466</v>
      </c>
      <c r="C19" s="72" t="s">
        <v>1461</v>
      </c>
      <c r="D19" s="74" t="n">
        <v>1050</v>
      </c>
      <c r="E19" s="74" t="n">
        <v>120</v>
      </c>
      <c r="F19" s="75" t="n">
        <v>126000</v>
      </c>
      <c r="G19" s="76"/>
    </row>
    <row r="20" customFormat="false" ht="186.75" hidden="false" customHeight="true" outlineLevel="0" collapsed="false">
      <c r="A20" s="72" t="n">
        <v>9</v>
      </c>
      <c r="B20" s="73" t="s">
        <v>1467</v>
      </c>
      <c r="C20" s="72" t="s">
        <v>1463</v>
      </c>
      <c r="D20" s="74" t="n">
        <v>435.3</v>
      </c>
      <c r="E20" s="74" t="n">
        <v>1920</v>
      </c>
      <c r="F20" s="75" t="n">
        <v>835776</v>
      </c>
      <c r="G20" s="76"/>
    </row>
    <row r="21" customFormat="false" ht="144" hidden="false" customHeight="true" outlineLevel="0" collapsed="false">
      <c r="A21" s="72" t="n">
        <v>10</v>
      </c>
      <c r="B21" s="73" t="s">
        <v>1468</v>
      </c>
      <c r="C21" s="72" t="s">
        <v>1461</v>
      </c>
      <c r="D21" s="74" t="n">
        <v>1050</v>
      </c>
      <c r="E21" s="74" t="n">
        <v>108</v>
      </c>
      <c r="F21" s="75" t="n">
        <v>113400</v>
      </c>
      <c r="G21" s="76"/>
    </row>
    <row r="22" customFormat="false" ht="28.5" hidden="false" customHeight="true" outlineLevel="0" collapsed="false">
      <c r="A22" s="72" t="n">
        <v>11</v>
      </c>
      <c r="B22" s="73" t="s">
        <v>1469</v>
      </c>
      <c r="C22" s="72" t="s">
        <v>1461</v>
      </c>
      <c r="D22" s="74" t="n">
        <v>1773.2</v>
      </c>
      <c r="E22" s="74" t="n">
        <v>120</v>
      </c>
      <c r="F22" s="75" t="n">
        <v>212784</v>
      </c>
      <c r="G22" s="76"/>
    </row>
    <row r="23" customFormat="false" ht="230.25" hidden="false" customHeight="true" outlineLevel="0" collapsed="false">
      <c r="A23" s="72" t="n">
        <v>12</v>
      </c>
      <c r="B23" s="73" t="s">
        <v>1470</v>
      </c>
      <c r="C23" s="72" t="s">
        <v>37</v>
      </c>
      <c r="D23" s="74" t="n">
        <v>3</v>
      </c>
      <c r="E23" s="74" t="n">
        <v>1890000</v>
      </c>
      <c r="F23" s="75" t="n">
        <v>5670000</v>
      </c>
      <c r="G23" s="76"/>
    </row>
    <row r="24" customFormat="false" ht="129" hidden="false" customHeight="true" outlineLevel="0" collapsed="false">
      <c r="A24" s="72" t="n">
        <v>13</v>
      </c>
      <c r="B24" s="73" t="s">
        <v>1471</v>
      </c>
      <c r="C24" s="72" t="s">
        <v>37</v>
      </c>
      <c r="D24" s="74" t="n">
        <v>3</v>
      </c>
      <c r="E24" s="74" t="n">
        <v>204000</v>
      </c>
      <c r="F24" s="75" t="n">
        <v>612000</v>
      </c>
      <c r="G24" s="76"/>
    </row>
    <row r="25" customFormat="false" ht="115.5" hidden="false" customHeight="true" outlineLevel="0" collapsed="false">
      <c r="A25" s="72" t="n">
        <v>14</v>
      </c>
      <c r="B25" s="73" t="s">
        <v>1472</v>
      </c>
      <c r="C25" s="72" t="s">
        <v>49</v>
      </c>
      <c r="D25" s="74" t="n">
        <v>1</v>
      </c>
      <c r="E25" s="74" t="n">
        <v>486000</v>
      </c>
      <c r="F25" s="75" t="n">
        <v>486000</v>
      </c>
      <c r="G25" s="76"/>
    </row>
    <row r="26" customFormat="false" ht="15" hidden="false" customHeight="true" outlineLevel="0" collapsed="false">
      <c r="A26" s="77"/>
      <c r="B26" s="78" t="s">
        <v>1473</v>
      </c>
      <c r="C26" s="77"/>
      <c r="D26" s="77"/>
      <c r="E26" s="77"/>
      <c r="F26" s="79" t="n">
        <f aca="false">SUM(F8:F25)</f>
        <v>9149460</v>
      </c>
      <c r="G26" s="77"/>
    </row>
    <row r="27" customFormat="false" ht="36" hidden="false" customHeight="true" outlineLevel="0" collapsed="false">
      <c r="B27" s="80"/>
    </row>
  </sheetData>
  <mergeCells count="6">
    <mergeCell ref="C5:G5"/>
    <mergeCell ref="A7:G7"/>
    <mergeCell ref="A9:G9"/>
    <mergeCell ref="A11:G11"/>
    <mergeCell ref="A14:G14"/>
    <mergeCell ref="A18:G18"/>
  </mergeCells>
  <printOptions headings="false" gridLines="false" gridLinesSet="true" horizontalCentered="false" verticalCentered="false"/>
  <pageMargins left="0.354166666666667" right="0.354166666666667" top="0.5" bottom="0.433333333333333"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0" width="24"/>
    <col collapsed="false" customWidth="true" hidden="false" outlineLevel="0" max="2" min="2" style="0" width="2"/>
    <col collapsed="false" customWidth="true" hidden="false" outlineLevel="0" max="3" min="3" style="0" width="24"/>
    <col collapsed="false" customWidth="true" hidden="false" outlineLevel="0" max="4" min="4" style="0" width="2"/>
    <col collapsed="false" customWidth="true" hidden="false" outlineLevel="0" max="5" min="5" style="0" width="24"/>
    <col collapsed="false" customWidth="true" hidden="false" outlineLevel="0" max="6" min="6" style="0" width="2"/>
    <col collapsed="false" customWidth="true" hidden="false" outlineLevel="0" max="7" min="7" style="0" width="24"/>
    <col collapsed="false" customWidth="true" hidden="false" outlineLevel="0" max="8" min="8" style="0" width="2"/>
    <col collapsed="false" customWidth="true" hidden="false" outlineLevel="0" max="9" min="9" style="0" width="24"/>
    <col collapsed="false" customWidth="true" hidden="false" outlineLevel="0" max="10" min="10" style="0" width="2"/>
    <col collapsed="false" customWidth="true" hidden="false" outlineLevel="0" max="11" min="11" style="0" width="24"/>
    <col collapsed="false" customWidth="true" hidden="false" outlineLevel="0" max="12" min="12" style="0" width="2"/>
  </cols>
  <sheetData>
    <row r="1" customFormat="false" ht="15.75" hidden="false" customHeight="true" outlineLevel="0" collapsed="false">
      <c r="A1" s="9" t="s">
        <v>1474</v>
      </c>
    </row>
    <row r="2" customFormat="false" ht="15" hidden="false" customHeight="true" outlineLevel="0" collapsed="false">
      <c r="A2" s="81" t="s">
        <v>44</v>
      </c>
      <c r="C2" s="81" t="s">
        <v>1475</v>
      </c>
      <c r="E2" s="81" t="s">
        <v>1476</v>
      </c>
      <c r="G2" s="81" t="s">
        <v>1477</v>
      </c>
      <c r="I2" s="81" t="s">
        <v>1478</v>
      </c>
      <c r="K2" s="81" t="s">
        <v>1479</v>
      </c>
    </row>
    <row r="3" customFormat="false" ht="15" hidden="false" customHeight="true" outlineLevel="0" collapsed="false">
      <c r="A3" s="82" t="s">
        <v>1480</v>
      </c>
      <c r="C3" s="82" t="s">
        <v>1481</v>
      </c>
      <c r="E3" s="82" t="s">
        <v>1482</v>
      </c>
      <c r="G3" s="82" t="s">
        <v>1483</v>
      </c>
      <c r="I3" s="82" t="s">
        <v>1484</v>
      </c>
      <c r="K3" s="82" t="s">
        <v>1485</v>
      </c>
    </row>
    <row r="4" customFormat="false" ht="15" hidden="false" customHeight="true" outlineLevel="0" collapsed="false">
      <c r="A4" s="82" t="s">
        <v>1486</v>
      </c>
      <c r="C4" s="82" t="s">
        <v>1487</v>
      </c>
      <c r="E4" s="82" t="s">
        <v>1488</v>
      </c>
      <c r="G4" s="82" t="s">
        <v>1489</v>
      </c>
      <c r="I4" s="82" t="s">
        <v>1490</v>
      </c>
      <c r="K4" s="82" t="s">
        <v>1491</v>
      </c>
    </row>
    <row r="5" customFormat="false" ht="15" hidden="false" customHeight="true" outlineLevel="0" collapsed="false">
      <c r="A5" s="82" t="s">
        <v>1492</v>
      </c>
      <c r="C5" s="82" t="s">
        <v>1493</v>
      </c>
      <c r="E5" s="82" t="s">
        <v>1494</v>
      </c>
      <c r="G5" s="82" t="s">
        <v>1495</v>
      </c>
      <c r="I5" s="82" t="s">
        <v>1496</v>
      </c>
      <c r="K5" s="82" t="s">
        <v>1497</v>
      </c>
    </row>
    <row r="6" customFormat="false" ht="15" hidden="false" customHeight="true" outlineLevel="0" collapsed="false">
      <c r="A6" s="82" t="s">
        <v>1490</v>
      </c>
      <c r="C6" s="82" t="s">
        <v>52</v>
      </c>
      <c r="E6" s="82" t="s">
        <v>1498</v>
      </c>
      <c r="G6" s="82" t="s">
        <v>1499</v>
      </c>
      <c r="I6" s="82" t="s">
        <v>1500</v>
      </c>
      <c r="K6" s="82" t="s">
        <v>1501</v>
      </c>
    </row>
    <row r="7" customFormat="false" ht="15" hidden="false" customHeight="true" outlineLevel="0" collapsed="false">
      <c r="A7" s="82" t="s">
        <v>53</v>
      </c>
      <c r="C7" s="82" t="s">
        <v>63</v>
      </c>
      <c r="E7" s="82" t="s">
        <v>1502</v>
      </c>
      <c r="G7" s="82" t="s">
        <v>1503</v>
      </c>
      <c r="I7" s="82" t="s">
        <v>1504</v>
      </c>
      <c r="K7" s="82" t="s">
        <v>1505</v>
      </c>
    </row>
    <row r="8" customFormat="false" ht="15" hidden="false" customHeight="true" outlineLevel="0" collapsed="false">
      <c r="A8" s="82" t="s">
        <v>1506</v>
      </c>
      <c r="C8" s="82" t="s">
        <v>1507</v>
      </c>
      <c r="G8" s="82" t="s">
        <v>1508</v>
      </c>
      <c r="I8" s="82" t="s">
        <v>1509</v>
      </c>
      <c r="K8" s="82" t="s">
        <v>1510</v>
      </c>
    </row>
    <row r="9" customFormat="false" ht="15" hidden="false" customHeight="true" outlineLevel="0" collapsed="false">
      <c r="A9" s="82" t="s">
        <v>1511</v>
      </c>
      <c r="C9" s="82" t="s">
        <v>1512</v>
      </c>
      <c r="G9" s="82" t="s">
        <v>1513</v>
      </c>
      <c r="K9" s="82" t="s">
        <v>1514</v>
      </c>
    </row>
    <row r="10" customFormat="false" ht="15" hidden="false" customHeight="true" outlineLevel="0" collapsed="false">
      <c r="A10" s="82" t="s">
        <v>1515</v>
      </c>
      <c r="C10" s="82" t="s">
        <v>1516</v>
      </c>
      <c r="G10" s="82" t="s">
        <v>1517</v>
      </c>
      <c r="K10" s="82" t="s">
        <v>1518</v>
      </c>
    </row>
    <row r="11" customFormat="false" ht="15" hidden="false" customHeight="true" outlineLevel="0" collapsed="false">
      <c r="A11" s="82" t="s">
        <v>1519</v>
      </c>
      <c r="C11" s="82" t="s">
        <v>1520</v>
      </c>
      <c r="G11" s="82" t="s">
        <v>1521</v>
      </c>
    </row>
    <row r="12" customFormat="false" ht="15" hidden="false" customHeight="true" outlineLevel="0" collapsed="false">
      <c r="A12" s="82" t="s">
        <v>1522</v>
      </c>
      <c r="G12" s="82" t="s">
        <v>56</v>
      </c>
    </row>
    <row r="13" customFormat="false" ht="14.25" hidden="false" customHeight="false" outlineLevel="0" collapsed="false">
      <c r="A13" s="83" t="s">
        <v>1523</v>
      </c>
    </row>
  </sheetData>
  <printOptions headings="false" gridLines="false" gridLinesSet="true" horizontalCentered="false" verticalCentered="false"/>
  <pageMargins left="0.354166666666667" right="0" top="1.32291666666667" bottom="0.433333333333333"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AppVersion>16.0300</AppVersion>
  <Company>WT Partnership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Elsayed</dc:creator>
  <cp:lastModifiedBy>Alaa Elsayed</cp:lastModifiedBy>
  <dcterms:created xsi:type="dcterms:W3CDTF">2026-09-30T09:09:32Z</dcterms:created>
  <dcterms:modified xsi:type="dcterms:W3CDTF">2026-09-30T09:09:32Z</dcterms:modified>
  <dc:title>Cost Assessment of the Contractor's Proposal - TSE Irrigation Storage Tanks (RFP-027) - Rev 02</dc:title>
  <dc:subject>Contract QPMO-410-CT-05958</dc:subject>
</cp:coreProperties>
</file>

<file path=docProps/custom.xml><?xml version="1.0" encoding="utf-8"?>
<Properties xmlns="http://schemas.openxmlformats.org/officeDocument/2006/custom-properties" xmlns:vt="http://schemas.openxmlformats.org/officeDocument/2006/docPropsVTypes"/>
</file>
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<sst xmlns="http://schemas.openxmlformats.org/spreadsheetml/2006/main" count="4046" uniqueCount="1851">
  <si>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</si>
  <si>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</si>
  <si>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</si>
  <si>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</si>
  <si>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</si>
  <si>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</si>
  <si>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</si>
  <si>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</si>
  <si>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</si>
  <si>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</si>
  <si>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</si>
  <si>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</si>
  <si>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</si>
  <si>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</si>
  <si>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</si>
  <si>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</si>
  <si>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</si>
  <si>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</si>
  <si>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</si>
  <si>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</si>
  <si>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</si>
  <si>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</si>
  <si>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</si>
  <si>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</si>
  <si>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</si>
  <si>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</si>
  <si>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</si>
  <si>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</si>
  <si>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</si>
  <si>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</si>
  <si>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</si>
  <si>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</si>
  <si>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</si>
  <si>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</si>
  <si>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</si>
  <si>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</si>
  <si>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</si>
  <si>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</si>
  <si>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</si>
  <si>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</si>
  <si>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</si>
  <si>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</si>
  <si>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</si>
  <si>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</si>
  <si>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</si>
  <si>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</si>
  <si>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</si>
  <si>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</si>
  <si>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</si>
  <si>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</si>
  <si>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</si>
  <si>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</si>
  <si>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</si>
  <si>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</si>
  <si>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</si>
  <si>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</si>
  <si>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</si>
  <si>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</si>
  <si>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</si>
  <si>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</si>
  <si>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</si>
  <si>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</si>
  <si>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</si>
  <si>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</si>
  <si>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</si>
  <si>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</si>
  <si>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</si>
  <si>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</si>
  <si>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</si>
  <si>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</si>
  <si>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</si>
  <si>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</si>
  <si>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</si>
  <si>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</si>
  <si>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</si>
  <si>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</si>
  <si>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</si>
  <si>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</si>
  <si>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</si>
  <si>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</si>
  <si>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</si>
  <si>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</si>
  <si>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</si>
  <si>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</si>
  <si>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</si>
  <si>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</si>
  <si>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</si>
  <si>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</si>
  <si>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</si>
  <si>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'man-day' is one person for one working day; working days exclude Fridays. 'Needs confirmation' marks an assessment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</si>
  <si>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</si>
  <si>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</si>
  <si>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</si>
  <si>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</si>
  <si>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</si>
  <si>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</si>
  <si>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</si>
  <si>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</si>
  <si>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</si>
  <si>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</si>
  <si>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</si>
  <si>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</si>
  <si>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</si>
  <si>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</si>
  <si>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</si>
  <si>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</si>
  <si>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</si>
  <si>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</si>
  <si>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</si>
  <si>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</si>
  <si>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</si>
  <si>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</si>
  <si>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</si>
  <si>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</si>
  <si>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</si>
  <si>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</si>
  <si>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</si>
  <si>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</si>
  <si>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</si>
  <si>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</si>
  <si>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</si>
  <si>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</si>
  <si>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</si>
  <si>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</si>
  <si>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</si>
  <si>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</si>
  <si>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</si>
  <si>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</si>
  <si>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</si>
  <si>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</si>
  <si>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</si>
  <si>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</si>
  <si>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</si>
  <si>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Watchman for the tank site</t>
  </si>
  <si>
    <t xml:space="preserve">Site period D1 on the 'Programme' tab, Section 3.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</si>
  <si>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</si>
  <si>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</si>
  <si>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</si>
  <si>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</si>
  <si>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</si>
  <si>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</si>
  <si>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</si>
  <si>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</si>
  <si>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</si>
  <si>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man-day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</si>
  <si>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</si>
  <si>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</si>
  <si>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</si>
  <si>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</si>
  <si>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</si>
  <si>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</si>
  <si>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</si>
  <si>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</si>
  <si>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</si>
  <si>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</si>
  <si>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</si>
  <si>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</si>
  <si>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</si>
  <si>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</si>
  <si>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</si>
  <si>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</si>
  <si>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</si>
  <si>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</si>
  <si>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</si>
  <si>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</si>
  <si>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</si>
  <si>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</si>
  <si>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</si>
  <si>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</si>
  <si>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</si>
  <si>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</si>
  <si>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</si>
  <si>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</si>
  <si>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</si>
  <si>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</si>
  <si>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</si>
  <si>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</si>
  <si>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</si>
  <si>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</si>
  <si>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</si>
  <si>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</si>
  <si>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</si>
  <si>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</si>
  <si>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</si>
  <si>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</si>
  <si>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</si>
  <si>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</si>
  <si>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</si>
  <si>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</si>
  <si>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</si>
  <si>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</si>
  <si>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</si>
  <si>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</si>
  <si>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</si>
  <si>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</si>
  <si>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</si>
  <si>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</si>
  <si>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</si>
  <si>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</si>
  <si>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</si>
  <si>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</si>
  <si>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</si>
  <si>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</si>
  <si>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</si>
  <si>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</si>
  <si>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</si>
  <si>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</si>
  <si>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</si>
  <si>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</si>
  <si>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</si>
  <si>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</si>
  <si>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</si>
  <si>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</si>
  <si>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</si>
  <si>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</si>
  <si>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</si>
  <si>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</si>
  <si>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</si>
  <si>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</si>
  <si>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</si>
  <si>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</si>
  <si>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</si>
  <si>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</si>
  <si>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</si>
  <si>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</si>
  <si>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</si>
  <si>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</si>
  <si>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</si>
  <si>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</si>
  <si>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</si>
  <si>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</si>
  <si>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</si>
  <si>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</si>
  <si>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</si>
  <si>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</si>
  <si>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</si>
  <si>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</si>
  <si>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</si>
  <si>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</si>
  <si>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</si>
  <si>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</si>
  <si>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</si>
  <si>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</si>
  <si>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</si>
  <si>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</si>
  <si>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</si>
  <si>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</si>
  <si>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</si>
  <si>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</si>
  <si>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</si>
  <si>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</si>
  <si>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</si>
  <si>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</si>
  <si>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</si>
  <si>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</si>
  <si>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</si>
  <si>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</si>
  <si>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</si>
  <si>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</si>
  <si>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</si>
  <si>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</si>
  <si>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</si>
  <si>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</si>
  <si>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assessed allowance (Riyadh market, Sep-2026) -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</si>
  <si>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</si>
  <si>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</si>
  <si>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</si>
  <si>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</si>
  <si>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man-weeks), man-months</t>
  </si>
  <si>
    <t xml:space="preserve">man-month</t>
  </si>
  <si>
    <t xml:space="preserve">The approved manpower histogram's helper row, 85 man-weeks, as reproduced week by week on the 'Programme' tab, Section 4, converted to man-days on each week's working days and to man-months at 26 working days; every helper man-day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man-weeks)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</si>
  <si>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</si>
  <si>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</si>
  <si>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</si>
  <si>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</si>
  <si>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</si>
  <si>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</si>
  <si>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</si>
  <si>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</si>
  <si>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</si>
  <si>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</si>
  <si>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</si>
  <si>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</si>
  <si>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</si>
  <si>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</si>
  <si>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</si>
  <si>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</si>
  <si>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</si>
  <si>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</si>
  <si>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</si>
  <si>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</si>
  <si>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</si>
  <si>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</si>
  <si>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</si>
  <si>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</si>
  <si>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13 to 15-Dec-2026.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</si>
  <si>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</si>
  <si>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</si>
  <si>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6.00/m3, Assessed basis - needs confirmation of the source;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</si>
  <si>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</si>
  <si>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</si>
  <si>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</si>
  <si>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</si>
  <si>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</si>
  <si>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</si>
  <si>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</si>
  <si>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</si>
  <si>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man-days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</si>
  <si>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</si>
  <si>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</si>
  <si>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</si>
  <si>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</si>
  <si>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</si>
  <si>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</si>
  <si>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</si>
  <si>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</si>
  <si>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</si>
  <si>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</si>
  <si>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man-days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</si>
  <si>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</si>
  <si>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</si>
  <si>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</si>
  <si>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</si>
  <si>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</si>
  <si>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</si>
  <si>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</si>
  <si>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</si>
  <si>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</si>
  <si>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</si>
  <si>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</si>
  <si>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</si>
  <si>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</si>
  <si>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</si>
  <si>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</si>
  <si>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</si>
  <si>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</si>
  <si>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</si>
  <si>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</si>
  <si>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</si>
  <si>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</si>
  <si>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</si>
  <si>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</si>
  <si>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</si>
  <si>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</si>
  <si>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</si>
  <si>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</si>
  <si>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</si>
  <si>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</si>
  <si>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</si>
  <si>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</si>
  <si>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</si>
  <si>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</si>
  <si>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</si>
  <si>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</si>
  <si>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</si>
  <si>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</si>
  <si>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</si>
  <si>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</si>
  <si>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</si>
  <si>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</si>
  <si>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</si>
  <si>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</si>
  <si>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</si>
  <si>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</si>
  <si>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if the histogram helpers do the work, SAR 600 per tank is already in 5.10 and falls away here</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</si>
  <si>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</si>
  <si>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</si>
  <si>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</si>
  <si>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</si>
  <si>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</si>
  <si>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</si>
  <si>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</si>
  <si>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</si>
  <si>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</si>
  <si>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</si>
  <si>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</si>
  <si>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</si>
  <si>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</si>
  <si>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</si>
  <si>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</si>
  <si>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</si>
  <si>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</si>
  <si>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</si>
  <si>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</si>
  <si>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</si>
  <si>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</si>
  <si>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</si>
  <si>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</si>
  <si>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</si>
  <si>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</si>
  <si>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</si>
  <si>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</si>
  <si>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</si>
  <si>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</si>
  <si>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</si>
  <si>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</si>
  <si>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</si>
  <si>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</si>
  <si>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</si>
  <si>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</si>
  <si>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</si>
  <si>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</si>
  <si>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</si>
  <si>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</si>
  <si>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</si>
  <si>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</si>
  <si>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</si>
  <si>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</si>
  <si>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</si>
  <si>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</si>
  <si>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</si>
  <si>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</si>
  <si>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</si>
  <si>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</si>
  <si>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</si>
  <si>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</si>
  <si>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</si>
  <si>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</si>
  <si>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</si>
  <si>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</si>
  <si>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</si>
  <si>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</si>
  <si>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</si>
  <si>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</si>
  <si>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</si>
  <si>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</si>
  <si>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</si>
  <si>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</si>
  <si>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</si>
  <si>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</si>
  <si>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</si>
  <si>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</si>
  <si>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</si>
  <si>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</si>
  <si>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</si>
  <si>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</si>
  <si>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</si>
  <si>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</si>
  <si>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</si>
  <si>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</si>
  <si>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</si>
  <si>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</si>
  <si>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</si>
  <si>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</si>
  <si>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</si>
  <si>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</si>
  <si>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</si>
  <si>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</si>
  <si>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</si>
  <si>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</si>
  <si>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</si>
  <si>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</si>
  <si>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</si>
  <si>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</si>
  <si>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</si>
  <si>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</si>
  <si>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</si>
  <si>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</si>
  <si>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</si>
  <si>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</si>
  <si>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</si>
  <si>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</si>
  <si>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</si>
  <si>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</si>
  <si>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</si>
  <si>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</si>
  <si>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</si>
  <si>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</si>
  <si>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</si>
  <si>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</si>
  <si>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</si>
  <si>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</si>
  <si>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</si>
  <si>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</si>
  <si>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</si>
  <si>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</si>
  <si>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</si>
  <si>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</si>
  <si>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</si>
  <si>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</si>
  <si>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</si>
  <si>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</si>
  <si>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</si>
  <si>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</si>
  <si>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</si>
  <si>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</si>
  <si>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</si>
  <si>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</si>
  <si>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</si>
  <si>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</si>
  <si>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</si>
  <si>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</si>
  <si>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</si>
  <si>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</si>
  <si>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</si>
  <si>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</si>
  <si>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</si>
  <si>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</si>
  <si>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</si>
  <si>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</si>
  <si>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</si>
  <si>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</si>
  <si>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</si>
  <si>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</si>
  <si>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</si>
  <si>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</si>
  <si>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</si>
  <si>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</si>
  <si>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</si>
  <si>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</si>
  <si>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</si>
  <si>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</si>
  <si>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</si>
  <si>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</si>
  <si>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</si>
  <si>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</si>
  <si>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</si>
  <si>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</si>
  <si>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</si>
  <si>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</si>
  <si>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</si>
  <si>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</si>
  <si>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</si>
  <si>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</si>
  <si>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</si>
  <si>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</si>
  <si>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</si>
  <si>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</si>
  <si>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</si>
  <si>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</si>
  <si>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</si>
  <si>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</si>
  <si>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</si>
  <si>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</si>
  <si>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</si>
  <si>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</si>
  <si>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</si>
  <si>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</si>
  <si>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</si>
  <si>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</si>
  <si>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</si>
  <si>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</si>
  <si>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</si>
  <si>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</si>
  <si>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</si>
  <si>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</si>
  <si>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</si>
  <si>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</si>
  <si>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</si>
  <si>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</si>
  <si>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</si>
  <si>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</si>
  <si>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</si>
  <si>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</si>
  <si>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</si>
  <si>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</si>
  <si>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</si>
  <si>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</si>
  <si>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</si>
  <si>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</si>
  <si>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</si>
  <si>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</si>
  <si>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</si>
  <si>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</si>
  <si>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</si>
  <si>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</si>
  <si>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</si>
  <si>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</si>
  <si>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</si>
  <si>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</si>
  <si>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</si>
  <si>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</si>
  <si>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</si>
  <si>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</si>
  <si>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</si>
  <si>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</si>
  <si>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</si>
  <si>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</si>
  <si>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</si>
  <si>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</si>
  <si>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</si>
  <si>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</si>
  <si>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</si>
  <si>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</si>
  <si>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</si>
  <si>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</si>
  <si>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</si>
  <si>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</si>
  <si>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</si>
  <si>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</si>
  <si>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</si>
  <si>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</si>
  <si>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</si>
  <si>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</si>
  <si>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</si>
  <si>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</si>
  <si>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</si>
  <si>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</si>
  <si>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</si>
  <si>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</si>
  <si>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</si>
  <si>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</si>
  <si>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</si>
  <si>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</si>
  <si>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</si>
  <si>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</si>
  <si>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</si>
  <si>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</si>
  <si>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</si>
  <si>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</si>
  <si>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</si>
  <si>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</si>
  <si>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</si>
  <si>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</si>
  <si>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</si>
  <si>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</si>
  <si>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</si>
  <si>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</si>
  <si>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</si>
  <si>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</si>
  <si>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</si>
  <si>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</si>
  <si>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</si>
  <si>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</si>
  <si>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</si>
  <si>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</si>
  <si>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</si>
  <si>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</si>
  <si>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</si>
  <si>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</si>
  <si>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</si>
  <si>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</si>
  <si>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</si>
  <si>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</si>
  <si>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</si>
  <si>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</si>
  <si>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</si>
  <si>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</si>
  <si>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</si>
  <si>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</si>
  <si>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</si>
  <si>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</si>
  <si>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</si>
  <si>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</si>
  <si>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</si>
  <si>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</si>
  <si>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</si>
  <si>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</si>
  <si>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</si>
  <si>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</si>
  <si>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</si>
  <si>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</si>
  <si>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</si>
  <si>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</si>
  <si>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</si>
  <si>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</si>
  <si>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</si>
  <si>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</si>
  <si>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</si>
  <si>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</si>
  <si>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</si>
  <si>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</si>
  <si>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</si>
  <si>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</si>
  <si>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</si>
  <si>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</si>
  <si>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</si>
  <si>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</si>
  <si>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</si>
  <si>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</si>
  <si>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</si>
  <si>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</si>
  <si>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</si>
  <si>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</si>
  <si>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</si>
  <si>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</si>
  <si>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</si>
  <si>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</si>
  <si>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</si>
  <si>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</si>
  <si>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</si>
  <si>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</si>
  <si>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</si>
  <si>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</si>
  <si>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</si>
  <si>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</si>
  <si>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</si>
  <si>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</si>
  <si>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this tab works. The Contractor's programme is imported as received on the 'XER WBS' tab. Section 1 records its status. Section 2 is the working calendar. Section 3 turns the activities into the windows the assessment needs: the SAMA Submitted Programme beside the Assessed basis (the Engineer's one-fill testing fitted to the submitted erection dates), every date looked up by activity ID. Section 4 is the resource bridge: the approved manpower histogram week by week, plant days from the activity dates, site staff by phase. Section 5 lists every 'Build-Up' quantity taken from this tab. Section 6 links every 'Build-Up' line to its activities. Blue figures are links: a reference in column A opens the 'Build-Up' line, a date or count opens its source row. Units: 'working days' exclude Fridays; 'calendar days' count every day; a month is 30.4 calendar days; a man-day is one person for one working day. All amounts exclude VAT.</t>
  </si>
  <si>
    <t xml:space="preserve">Back to 'Build-Up'</t>
  </si>
  <si>
    <t xml:space="preserve">Forward to 'XER WBS' (the Contractor's programme as received)   |   Back to 'Assessment'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</si>
  <si>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</si>
  <si>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</si>
  <si>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</si>
  <si>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How the programme is used: (i) the site period as submitted - its end is fixed by the pump-room readiness date of 03-Dec-2026 and the tie-in, testing and demobilisation after it; (ii) the erection windows and durations as submitted, with labour and plant priced for those durations (Section 4); (iii) testing on the Engineer's one-fill basis of 30-Aug-2026, fitted to the submitted dates. The Contractor's slippage (Tank 1 base panels forecast to start 30-Sep-2026 against 12-Sep-2026 programmed) is its own delivery problem and adds nothing. Dates after the look-ahead date of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</si>
  <si>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</si>
  <si>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</si>
  <si>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</si>
  <si>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</si>
  <si>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</si>
  <si>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</si>
  <si>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</si>
  <si>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</si>
  <si>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</si>
  <si>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</si>
  <si>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</si>
  <si>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</si>
  <si>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</si>
  <si>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</si>
  <si>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</si>
  <si>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'SAMA Submitted Programme' (columns C to E) reproduces the Contractor's programme, including its parallel testing of both tanks. 'Assessed basis' (columns F to H, yellow border) keeps every erection date as submitted and fits in the Engineer's one-fill sequential testing and the demobilisation after it; these are the dates the assessment uses. Every source date is looked up from the 'XER WBS' tab by activity ID - click a blue date to open the activity there. The people and plant for these windows are in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</si>
  <si>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</si>
  <si>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</si>
  <si>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</si>
  <si>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</si>
  <si>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</si>
  <si>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</si>
  <si>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</si>
  <si>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</si>
  <si>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</si>
  <si>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</si>
  <si>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</si>
  <si>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</si>
  <si>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</si>
  <si>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</si>
  <si>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</si>
  <si>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</si>
  <si>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</si>
  <si>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</si>
  <si>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</si>
  <si>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</si>
  <si>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</si>
  <si>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</si>
  <si>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</si>
  <si>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</si>
  <si>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</si>
  <si>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</si>
  <si>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</si>
  <si>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</si>
  <si>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</si>
  <si>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</si>
  <si>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</si>
  <si>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</si>
  <si>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</si>
  <si>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</si>
  <si>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</si>
  <si>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</si>
  <si>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</si>
  <si>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</si>
  <si>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</si>
  <si>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</si>
  <si>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</si>
  <si>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</si>
  <si>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</si>
  <si>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</si>
  <si>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</si>
  <si>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</si>
  <si>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</si>
  <si>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</si>
  <si>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</si>
  <si>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</si>
  <si>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</si>
  <si>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</si>
  <si>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</si>
  <si>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submitted programme and in the assessment allowance;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</si>
  <si>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</si>
  <si>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</si>
  <si>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</si>
  <si>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</si>
  <si>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</si>
  <si>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</si>
  <si>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</si>
  <si>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</si>
  <si>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</si>
  <si>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</si>
  <si>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</si>
  <si>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</si>
  <si>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</si>
  <si>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</si>
  <si>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</si>
  <si>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</si>
  <si>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</si>
  <si>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</si>
  <si>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</si>
  <si>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</si>
  <si>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</si>
  <si>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</si>
  <si>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</si>
  <si>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</si>
  <si>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</si>
  <si>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</si>
  <si>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</si>
  <si>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</si>
  <si>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</si>
  <si>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</si>
  <si>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</si>
  <si>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</si>
  <si>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</si>
  <si>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</si>
  <si>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</si>
  <si>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</si>
  <si>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</si>
  <si>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</si>
  <si>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</si>
  <si>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submitted programme and in the assessment allowance</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</si>
  <si>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</si>
  <si>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</si>
  <si>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</si>
  <si>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</si>
  <si>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</si>
  <si>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</si>
  <si>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the Contractor's method statement and the Engineer's acceptance; nothing here is verified. HYDROSTATIC TEST WATER: (1) Tank 1 filled by tanker to the 3.7 m test level, 3,774 m3 ('Build-Up' 7.1), held 24 hours and inspected (P18). (2) The water is pumped to Tank 2 once Tank 2 is complete (P19, 3 days); Tank 1 is then empty apart from the dead volume below its outlet - the two tanks are never full at the same time. (3) Tank 2 topped up (7.5), held 24 hours, inspected and sampled (P20). DISINFECTION: the test water is dosed with hypochlorite in Tank 1 (7.6, 7.7), circulated and sampled (7.10, 7.11) before the transfer, and boosted in Tank 2 after it; this covers the wetted surfaces only, so the surfaces above the test level in both tanks are sprayed separately (7.25) - Tank 2 before it receives water, Tank 1 after it is emptied. FUNCTIONAL COMMISSIONING: the component checks follow the tie-in (P21); the integrated demonstration (P21b) needs both tanks connected and holding water, so Tank 2 keeps the test water (dechlorinated in the tank, 7.9) and Tank 1 receives an operating fill of about 1,020 m3 by tanker on 09 and 10-Dec (P20b, 7.24), attended within the approved helpers. A refill from the network after the tie-in is not assumed: the Employer has confirmed neither a source nor that it is free; a demonstration of Tank 1 on its valves and instruments alone is not established as meeting RFP Scope of Works 5.2. RELEASE CONDITIONS: the integrated commissioning starts only after the Tank 2 hydrostatic pass, the Engineer's acceptance of the water samples and the tie-in; a laboratory turnaround longer than one working day moves P21b day for day. After acceptance the water is kept as first stock if the Employer so instructs, otherwise dechlorinated and discharged (7.9). NOT ESTABLISHED: the water source and price, the disinfection method, the depth the Engineer requires in Tank 1 (a full fill is sensitivity S8) and the disposal route; until the method statement is accepted, Item 7 is an Assessed basis.</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</si>
  <si>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</si>
  <si>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</si>
  <si>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</si>
  <si>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</si>
  <si>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</si>
  <si>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</si>
  <si>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</si>
  <si>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</si>
  <si>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</si>
  <si>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</si>
  <si>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</si>
  <si>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Approved baseline. The Contractor's weekly direct-manpower histogram (workbook 'SAMA-D18 -THS-TSE - Cost S-Curves Cash Flow Manpower Histogram.xlsx', sheet 'MP-HST-WK': 221 man-weeks, 136 skilled and 85 helpers, peak 35 in the week ending 30-Oct-2026) has been approved and is taken as the resource baseline. Its weekly figures are reproduced below unchanged. Approval of the histogram does not identify whose people they are, approve any rate, or make the labour payable by itself, and it does not extend to the programme, which remains under approval.</t>
  </si>
  <si>
    <t xml:space="preserve">Reading the figures. The source sheet gives 'Total', 'Skilled Labor' and 'Helper' per week without saying whether each is the average or the peak daily deployment; it is read here as the number of people deployed through the week (an assumption - if it is a peak-day count the man-days are overstated). A man-week is one person for the working days of that week on the 'QIC 6 Days 10 Hrs' calendar: 6 days, or 5 in the week containing 23-Sep-2026; man-days are people multiplied by that count, not a flat 6. Days are counted inclusively (finish minus start plus one) and months at 30.4 calendar days, rounded to one decimal place.</t>
  </si>
  <si>
    <t xml:space="preserve">Skilled people. The histogram does not say who employs them. They are allocated below to the activities in progress in each week - dismantling (Item 3 quotation, recorded scope), tank erection (Item 6, supply-and-install scope as described in 'Build-Up' Assumption 9), pipework and tie-in (Item 8 supplied-and-installed rates) - and none is priced again, because each of those scopes already carries its own labour. Where a week's skilled people could belong to more than one scope, or to the Contractor's own mobilisation, the allocation is marked unresolved; the cost effect if they prove to be the Contractor's own people outside those scopes is bounded at S5 ('Build-Up Comparison' tab, Section 7, item 10).</t>
  </si>
  <si>
    <t xml:space="preserve">Helpers. Every approved helper man-day is priced once at 'Build-Up' line 5.10, provisionally including the dismantling weeks, where the helpers may instead be within the subcontractor's crew (S7). Duties that fall inside the approved weeks and within the approved capacity are not priced again (transfer labour 7.4); duties after the histogram ends on 11-Dec-2026, or that do not fit the approved capacity, are priced on their own lines (Tank 2 sampling and discharge at 7.8, clean-up at 1.16). The dated check is in the table after the weekly figures. Specialists (commissioning engineer, technicians, electrician, calibration, tie-in fitters, pipework testing crew) are not helpers and are priced in Items 7 and 8. No productivity or crew-sharing adjustment is made to the approved figures; whether each week's helpers were fully occupied cannot be verified from the documents received and is left unresolved.</t>
  </si>
  <si>
    <t xml:space="preserve">Week ending (histogram week) - phase</t>
  </si>
  <si>
    <t xml:space="preserve">Erection activities in progress (XER)</t>
  </si>
  <si>
    <t xml:space="preserve">Working days in week</t>
  </si>
  <si>
    <t xml:space="preserve">Approved total</t>
  </si>
  <si>
    <t xml:space="preserve">Approved skilled</t>
  </si>
  <si>
    <t xml:space="preserve">Approved helpers</t>
  </si>
  <si>
    <t xml:space="preserve">Helper man-days (people x days)</t>
  </si>
  <si>
    <t xml:space="preserve">Helper man-days priced at 5.10</t>
  </si>
  <si>
    <t xml:space="preserve">Skilled people - where already paid; helper duties; adjustment</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</si>
  <si>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</si>
  <si>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</si>
  <si>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</si>
  <si>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</si>
  <si>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</si>
  <si>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</si>
  <si>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</si>
  <si>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</si>
  <si>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</si>
  <si>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</si>
  <si>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</si>
  <si>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t>
  </si>
  <si>
    <t xml:space="preserve">W5</t>
  </si>
  <si>
    <t xml:space="preserve">25-Sep-2026 - Single front - Tank 1 base (5-day week, 23-Sep off)</t>
  </si>
  <si>
    <t xml:space="preserve">As above</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</si>
  <si>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</si>
  <si>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</si>
  <si>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</si>
  <si>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</si>
  <si>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t>
  </si>
  <si>
    <t xml:space="preserve">W8</t>
  </si>
  <si>
    <t xml:space="preserve">16-Oct-2026 - Single front - Tank 1 walls and bracing</t>
  </si>
  <si>
    <t xml:space="preserve">W9</t>
  </si>
  <si>
    <t xml:space="preserve">23-Oct-2026 - Tank 2 kit expected 20-Oct; second front opens 22-Oct</t>
  </si>
  <si>
    <t xml:space="preserve">Skilled: erection crews, Item 6. Helpers: Tank 1 front plus offloading and the Tank 2 base</t>
  </si>
  <si>
    <t xml:space="preserve">W10</t>
  </si>
  <si>
    <t xml:space="preserve">30-Oct-2026 - Two fronts - Tank 1 bracing and roof supports; Tank 2 base and walls (peak)</t>
  </si>
  <si>
    <t xml:space="preserve">Skilled: two erection crews, Item 6. Helpers: two gangs</t>
  </si>
  <si>
    <t xml:space="preserve">W11</t>
  </si>
  <si>
    <t xml:space="preserve">06-Nov-2026 - Two fronts - Tank 1 roof; Tank 2 walls and bracing</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</si>
  <si>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</si>
  <si>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</si>
  <si>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t>
  </si>
  <si>
    <t xml:space="preserve">W13</t>
  </si>
  <si>
    <t xml:space="preserve">20-Nov-2026 - Single front - Tank 2 roof supports; Tank 1 hydrostatic test</t>
  </si>
  <si>
    <t xml:space="preserve">Skilled: erection crew (Item 6) or fitters (Item 8) - unresolved, both priced elsewhere. Helpers: Tank 2 gang; Tank 1 fill attendance</t>
  </si>
  <si>
    <t xml:space="preserve">W14</t>
  </si>
  <si>
    <t xml:space="preserve">27-Nov-2026 - Single front - Tank 2 roof panels</t>
  </si>
  <si>
    <t xml:space="preserve">W15</t>
  </si>
  <si>
    <t xml:space="preserve">04-Dec-2026 - Tank 2 nozzles; readiness milestone 03-Dec</t>
  </si>
  <si>
    <t xml:space="preserve">Skilled: nozzle fitters (Item 6) and pipework (Item 8) - unresolved, both priced elsewhere. Helpers: nozzle attendance; Tank 1 disinfection</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</si>
  <si>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</si>
  <si>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</si>
  <si>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</si>
  <si>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</si>
  <si>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</si>
  <si>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discharge 16 to 17-Dec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</si>
  <si>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</si>
  <si>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</si>
  <si>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</si>
  <si>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(man-weeks) and helper man-days</t>
  </si>
  <si>
    <t xml:space="preserve">221 man-weeks: 136 skilled (within Items 3, 6 and 8 on their recorded scopes, not priced again) and 85 helpers (priced). Man-days use the working days of each week</t>
  </si>
  <si>
    <t xml:space="preserve">Helper man-months at 26 working days - 'Build-Up' line 5.10 quantity (approved man-days plus the departure in the dated check)</t>
  </si>
  <si>
    <t xml:space="preserve">Conversion for the man-month rate on the 'Build-Up' tab (6-day week); the departure is the shortfall against the approved deployment shown in the dated check</t>
  </si>
  <si>
    <t xml:space="preserve">Dated check. Each helper duty from 14-Nov-2026 to demobilisation is placed on its working days (XER activity dates and the fitted tests, Section 3) and its man-days are split by histogram week; the last row compares each week's demand with the approved helper man-days of that week. Where a duty's assessed gang would exceed the approved deployment the approved figure governs and the allocation is reduced, as noted. Days after 11-Dec-2026 have no approved people and are priced on their own lines. Weeks W1 to W12 cannot be checked duty by duty from the documents received and are left unresolved.</t>
  </si>
  <si>
    <t xml:space="preserve">Helper duty and its working days</t>
  </si>
  <si>
    <t xml:space="preserve">W13 (14 to 20-Nov)</t>
  </si>
  <si>
    <t xml:space="preserve">W14 (21 to 27-Nov)</t>
  </si>
  <si>
    <t xml:space="preserve">W15 (28-Nov to 04-Dec)</t>
  </si>
  <si>
    <t xml:space="preserve">W16 (05 to 10-Dec)</t>
  </si>
  <si>
    <t xml:space="preserve">After 11-Dec</t>
  </si>
  <si>
    <t xml:space="preserve">Total man-days</t>
  </si>
  <si>
    <t xml:space="preserve">Priced at</t>
  </si>
  <si>
    <t xml:space="preserve">Allocation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</si>
  <si>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</si>
  <si>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</si>
  <si>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</si>
  <si>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</si>
  <si>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</si>
  <si>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</si>
  <si>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</si>
  <si>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</si>
  <si>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</si>
  <si>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</si>
  <si>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</si>
  <si>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departure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</si>
  <si>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</si>
  <si>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</si>
  <si>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</si>
  <si>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</si>
  <si>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</si>
  <si>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man-days.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</si>
  <si>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</si>
  <si>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</si>
  <si>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</si>
  <si>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</si>
  <si>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</si>
  <si>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</si>
  <si>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</si>
  <si>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</si>
  <si>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</si>
  <si>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</si>
  <si>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</si>
  <si>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</si>
  <si>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</si>
  <si>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</si>
  <si>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</si>
  <si>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</si>
  <si>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</si>
  <si>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man-days by week</t>
  </si>
  <si>
    <t xml:space="preserve">The 'after 11-Dec' column goes to 'Build-Up' line 7.8</t>
  </si>
  <si>
    <t xml:space="preserve">Available - approved helper man-days of the week (Section 4 weekly table)</t>
  </si>
  <si>
    <t xml:space="preserve">People x working days of the week: W13 6 x 6, W14 5 x 6, W15 3 x 6, W16 2 x 6 (05 to 10-Dec; 11-Dec is a Friday)</t>
  </si>
  <si>
    <t xml:space="preserve">Spare (available less demand) - must not be negative</t>
  </si>
  <si>
    <t xml:space="preserve">Spare weeks are not deducted (the approved figures are used). A negative week is a shortfall against the approved deployment, priced as the departure below; the negative 'after' figure is the labour outside the histogram, priced at 7.8</t>
  </si>
  <si>
    <t xml:space="preserve">Departure from the approved deployment - helper man-days above the approved people on the days concerned (daily table), priced at 5.10</t>
  </si>
  <si>
    <t xml:space="preserve">Counted day by day, not netted across the week: spare people on other days cannot cover a peak. W15: the Tank 2 roof panels (5 people, the gang the Contractor deployed for the Tank 1 roof in W11) and the nozzle attendance overlap on 28, 29 and 30-Nov, 6 a day against the approved 3. Reason: concurrent supplier tasks on Tank 2 that the approved figure does not cover; an assessed departure, not a productivity claim</t>
  </si>
  <si>
    <t xml:space="preserve">Daily check. The duties above are placed on their working days; the peak on each day is set against the approved people of that week. A day above the approved figure is covered by the departure row, not by trimming the duty.</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</si>
  <si>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</si>
  <si>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</si>
  <si>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</si>
  <si>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</si>
  <si>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</si>
  <si>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</si>
  <si>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</si>
  <si>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</si>
  <si>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</si>
  <si>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</si>
  <si>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</si>
  <si>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</si>
  <si>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</si>
  <si>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</si>
  <si>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</si>
  <si>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</si>
  <si>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</si>
  <si>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</si>
  <si>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</si>
  <si>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</si>
  <si>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</si>
  <si>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</si>
  <si>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</si>
  <si>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</si>
  <si>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</si>
  <si>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</si>
  <si>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</si>
  <si>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</si>
  <si>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</si>
  <si>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</si>
  <si>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departure</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</si>
  <si>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</si>
  <si>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</si>
  <si>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</si>
  <si>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</si>
  <si>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</si>
  <si>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</si>
  <si>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</si>
  <si>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</si>
  <si>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</si>
  <si>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</si>
  <si>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</si>
  <si>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</si>
  <si>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</si>
  <si>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</si>
  <si>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</si>
  <si>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</si>
  <si>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</si>
  <si>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</si>
  <si>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</si>
  <si>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</si>
  <si>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</si>
  <si>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</si>
  <si>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departure</t>
  </si>
  <si>
    <t xml:space="preserve">Sum of the daily shortfalls - the departure taken to the weekly table and to 5.10</t>
  </si>
  <si>
    <t xml:space="preserve">28, 29 and 30-Nov: 3 people a day above the approved deployment</t>
  </si>
  <si>
    <t xml:space="preserve">Skilled people - weeks and activities in progress</t>
  </si>
  <si>
    <t xml:space="preserve">Weeks</t>
  </si>
  <si>
    <t xml:space="preserve">Man-weeks</t>
  </si>
  <si>
    <t xml:space="preserve">Allocated to</t>
  </si>
  <si>
    <t xml:space="preserve">Status of the allocation</t>
  </si>
  <si>
    <t xml:space="preserve">K1</t>
  </si>
  <si>
    <t xml:space="preserve">Mobilisation (22 to 26-Aug) and dismantling start (27-Aug)</t>
  </si>
  <si>
    <t xml:space="preserve">Contractor's mobilisation riggers, or the Item 3 dismantling crew</t>
  </si>
  <si>
    <t xml:space="preserve">Unresolved - split unknown; if Contractor's own mobilisation labour, it is not in any priced line (S5 bounds it)</t>
  </si>
  <si>
    <t xml:space="preserve">K2</t>
  </si>
  <si>
    <t xml:space="preserve">Dismantling in progress (QCD18TSECONDSM1020 to 1030)</t>
  </si>
  <si>
    <t xml:space="preserve">W2 to W3</t>
  </si>
  <si>
    <t xml:space="preserve">Dismantling crew within the Al Mousa quotation S04647 (Item 3, recorded scope)</t>
  </si>
  <si>
    <t xml:space="preserve">Provisional on the recorded scope; the quotation is not attached</t>
  </si>
  <si>
    <t xml:space="preserve">K3</t>
  </si>
  <si>
    <t xml:space="preserve">Tank 1 erection only (QCD18TSECONT1INS1020 to 1060)</t>
  </si>
  <si>
    <t xml:space="preserve">W4 to W9</t>
  </si>
  <si>
    <t xml:space="preserve">Tank erection crew within the supplier's supply-and-install price (Item 6)</t>
  </si>
  <si>
    <t xml:space="preserve">On the supplier scope as described ('Build-Up' Assumption 9): the supplier installs, so its crew is within Item 6; provisional until the Al Mousa offer is produced</t>
  </si>
  <si>
    <t xml:space="preserve">K4</t>
  </si>
  <si>
    <t xml:space="preserve">Two erection fronts (Tank 1 bracing, roof; Tank 2 base, walls, bracing)</t>
  </si>
  <si>
    <t xml:space="preserve">W10 to W11</t>
  </si>
  <si>
    <t xml:space="preserve">Two erection crews within Item 6</t>
  </si>
  <si>
    <t xml:space="preserve">As K3</t>
  </si>
  <si>
    <t xml:space="preserve">K5</t>
  </si>
  <si>
    <t xml:space="preserve">Erection, mechanical works and pipework installation overlapping (QCD18TSECONT1MW2055 from 12-Nov; QCD18TSECONT2MW2020)</t>
  </si>
  <si>
    <t xml:space="preserve">W12 to W15</t>
  </si>
  <si>
    <t xml:space="preserve">Erection crews (Item 6) and pipework fitters (Item 8 supplied-and-installed rates)</t>
  </si>
  <si>
    <t xml:space="preserve">Split between Items 6 and 8 unresolved; both scopes carry their own labour, so no separate price either way</t>
  </si>
  <si>
    <t xml:space="preserve">K6</t>
  </si>
  <si>
    <t xml:space="preserve">Tie-in, transfer and tests (QCD18TSECONTC2040, P19, P20)</t>
  </si>
  <si>
    <t xml:space="preserve">Tie-in fitters within 8.14 and 8.15; test supervision within Item 6</t>
  </si>
  <si>
    <t xml:space="preserve">As K5</t>
  </si>
  <si>
    <t xml:space="preserve">Skilled man-weeks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</si>
  <si>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</si>
  <si>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</si>
  <si>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</si>
  <si>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</si>
  <si>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</si>
  <si>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</si>
  <si>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</si>
  <si>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</si>
  <si>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</si>
  <si>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</si>
  <si>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</si>
  <si>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</si>
  <si>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</si>
  <si>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</si>
  <si>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</si>
  <si>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</si>
  <si>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</si>
  <si>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</si>
  <si>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</si>
  <si>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</si>
  <si>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</si>
  <si>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</si>
  <si>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</si>
  <si>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</si>
  <si>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</si>
  <si>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</si>
  <si>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</si>
  <si>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</si>
  <si>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</si>
  <si>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</si>
  <si>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</si>
  <si>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</si>
  <si>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</si>
  <si>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</si>
  <si>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</si>
  <si>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</si>
  <si>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</si>
  <si>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</si>
  <si>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</si>
  <si>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</si>
  <si>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</si>
  <si>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</si>
  <si>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</si>
  <si>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</si>
  <si>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</si>
  <si>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</si>
  <si>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</si>
  <si>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</si>
  <si>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</si>
  <si>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</si>
  <si>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</si>
  <si>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</si>
  <si>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</si>
  <si>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the yellow-bordered column G is the quantity used on the 'Build-Up' tab (click a reference in column A to open that line). The grey columns are for comparison only: the Rev 01 quantity and what the same line would be on the SAMA Submitted Programme exactly as submitted (parallel testing, every submitted day paid). Column J says which programme window or resource row the quantity is built from - click the figure in column G to open it. Lines not listed are unchanged from Rev 01 because the programme does not affect them.</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</si>
  <si>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</si>
  <si>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</si>
  <si>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</si>
  <si>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</si>
  <si>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</si>
  <si>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</si>
  <si>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</si>
  <si>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</si>
  <si>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</si>
  <si>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</si>
  <si>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</si>
  <si>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</si>
  <si>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</si>
  <si>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</si>
  <si>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</si>
  <si>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</si>
  <si>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</si>
  <si>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</si>
  <si>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</si>
  <si>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</si>
  <si>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</si>
  <si>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</si>
  <si>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</si>
  <si>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</si>
  <si>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man-days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</si>
  <si>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</si>
  <si>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</si>
  <si>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</si>
  <si>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</si>
  <si>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</si>
  <si>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submitted programme and in the assessment allowance: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</si>
  <si>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</si>
  <si>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</si>
  <si>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</si>
  <si>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</si>
  <si>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</si>
  <si>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</si>
  <si>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</si>
  <si>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</si>
  <si>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</si>
  <si>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</si>
  <si>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</si>
  <si>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</si>
  <si>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</si>
  <si>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</si>
  <si>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</si>
  <si>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</si>
  <si>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</si>
  <si>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</si>
  <si>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man-weeks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</si>
  <si>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</si>
  <si>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</si>
  <si>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man-weeks)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</si>
  <si>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</si>
  <si>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</si>
  <si>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two further attended days),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</si>
  <si>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</si>
  <si>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</si>
  <si>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</si>
  <si>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</si>
  <si>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</si>
  <si>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</si>
  <si>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</si>
  <si>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</si>
  <si>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</si>
  <si>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</si>
  <si>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</si>
  <si>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</si>
  <si>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</si>
  <si>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</si>
  <si>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</si>
  <si>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</si>
  <si>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</si>
  <si>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</si>
  <si>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</si>
  <si>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</si>
  <si>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</si>
  <si>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</si>
  <si>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</si>
  <si>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</si>
  <si>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</si>
  <si>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</si>
  <si>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</si>
  <si>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</si>
  <si>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</si>
  <si>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</si>
  <si>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</si>
  <si>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</si>
  <si>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</si>
  <si>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</si>
  <si>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</si>
  <si>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</si>
  <si>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</si>
  <si>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</si>
  <si>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</si>
  <si>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</si>
  <si>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</si>
  <si>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</si>
  <si>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</si>
  <si>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</si>
  <si>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</si>
  <si>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</si>
  <si>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</si>
  <si>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</si>
  <si>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</si>
  <si>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</si>
  <si>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</si>
  <si>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</si>
  <si>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</si>
  <si>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</si>
  <si>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</si>
  <si>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</si>
  <si>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</si>
  <si>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</si>
  <si>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</si>
  <si>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</si>
  <si>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</si>
  <si>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</si>
  <si>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</si>
  <si>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</si>
  <si>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</si>
  <si>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</si>
  <si>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</si>
  <si>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</si>
  <si>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</si>
  <si>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</si>
  <si>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</si>
  <si>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</si>
  <si>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</si>
  <si>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</si>
  <si>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</si>
  <si>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</si>
  <si>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</si>
  <si>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</si>
  <si>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</si>
  <si>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</si>
  <si>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</si>
  <si>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</si>
  <si>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</si>
  <si>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</si>
  <si>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</si>
  <si>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</si>
  <si>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</si>
  <si>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</si>
  <si>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</si>
  <si>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</si>
  <si>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</si>
  <si>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</si>
  <si>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</si>
  <si>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</si>
  <si>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</si>
  <si>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</si>
  <si>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</si>
  <si>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</si>
  <si>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</si>
  <si>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</si>
  <si>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</si>
  <si>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</si>
  <si>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</si>
  <si>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</si>
  <si>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</si>
  <si>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</si>
  <si>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</si>
  <si>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</si>
  <si>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</si>
  <si>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</si>
  <si>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</si>
  <si>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</si>
  <si>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</si>
  <si>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</si>
  <si>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</si>
  <si>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</si>
  <si>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</si>
  <si>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</si>
  <si>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</si>
  <si>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</si>
  <si>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</si>
  <si>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</si>
  <si>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</si>
  <si>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</si>
  <si>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</si>
  <si>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</si>
  <si>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</si>
  <si>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</si>
  <si>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</si>
  <si>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</si>
  <si>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man-days converted to man-months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</si>
  <si>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</si>
  <si>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</si>
  <si>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</si>
  <si>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</si>
  <si>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</si>
  <si>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</si>
  <si>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</si>
  <si>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</si>
  <si>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</si>
  <si>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</si>
  <si>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</si>
  <si>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</si>
  <si>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</si>
  <si>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</si>
  <si>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</si>
  <si>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</si>
  <si>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</si>
  <si>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</si>
  <si>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</si>
  <si>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</si>
  <si>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</si>
  <si>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</si>
  <si>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</si>
  <si>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</si>
  <si>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</si>
  <si>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</si>
  <si>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</si>
  <si>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</si>
  <si>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</si>
  <si>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</si>
  <si>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</si>
  <si>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</si>
  <si>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</si>
  <si>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</si>
  <si>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</si>
  <si>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</si>
  <si>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</si>
  <si>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</si>
  <si>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</si>
  <si>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</si>
  <si>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</si>
  <si>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</si>
  <si>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</si>
  <si>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</si>
  <si>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</si>
  <si>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</si>
  <si>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man-days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</si>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</sst>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5">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71" fontId="7"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7,005,606.89,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319680.56</v>
      </c>
      <c r="K8" s="22" t="n">
        <f aca="false">I8*J8</f>
        <v>319680.56</v>
      </c>
      <c r="L8" s="20" t="s">
        <v>51</v>
      </c>
      <c r="M8" s="23" t="s">
        <v>52</v>
      </c>
      <c r="N8" s="23" t="s">
        <v>53</v>
      </c>
      <c r="O8" s="19" t="n">
        <f aca="false">F8-K8</f>
        <v>360319.44</v>
      </c>
      <c r="P8" s="24"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'Build-Up'!$F$41</f>
        <v>55000</v>
      </c>
      <c r="K10" s="22" t="n">
        <f aca="false">I10*J10</f>
        <v>55000</v>
      </c>
      <c r="L10" s="20" t="s">
        <v>57</v>
      </c>
      <c r="M10" s="23" t="s">
        <v>52</v>
      </c>
      <c r="N10" s="23" t="s">
        <v>53</v>
      </c>
      <c r="O10" s="19" t="n">
        <f aca="false">F10-K10</f>
        <v>30000</v>
      </c>
      <c r="P10" s="24"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'Build-Up'!$F$47</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'Build-Up'!$F$69</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'Build-Up'!$F$89</f>
        <v>338850</v>
      </c>
      <c r="K14" s="22" t="n">
        <f aca="false">I14*J14</f>
        <v>338850</v>
      </c>
      <c r="L14" s="20" t="s">
        <v>69</v>
      </c>
      <c r="M14" s="23" t="s">
        <v>52</v>
      </c>
      <c r="N14" s="23" t="s">
        <v>53</v>
      </c>
      <c r="O14" s="19" t="n">
        <f aca="false">F14-K14</f>
        <v>165342.02</v>
      </c>
      <c r="P14" s="24" t="n">
        <f aca="false">IF(K14=0,"",(F14-K14)/K14)</f>
        <v>0.487950479563229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'Build-Up'!$F$95</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'Build-Up'!$F$126</f>
        <v>54488</v>
      </c>
      <c r="K17" s="22" t="n">
        <f aca="false">I17*J17</f>
        <v>108976</v>
      </c>
      <c r="L17" s="20" t="s">
        <v>77</v>
      </c>
      <c r="M17" s="23" t="s">
        <v>52</v>
      </c>
      <c r="N17" s="23" t="s">
        <v>78</v>
      </c>
      <c r="O17" s="19" t="n">
        <f aca="false">F17-K17</f>
        <v>317424</v>
      </c>
      <c r="P17" s="24" t="n">
        <f aca="false">IF(K17=0,"",(F17-K17)/K17)</f>
        <v>2.91278813683747</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'Build-Up'!$F$152</f>
        <v>245200</v>
      </c>
      <c r="K18" s="22" t="n">
        <f aca="false">I18*J18</f>
        <v>245200</v>
      </c>
      <c r="L18" s="20" t="s">
        <v>80</v>
      </c>
      <c r="M18" s="23" t="s">
        <v>52</v>
      </c>
      <c r="N18" s="23" t="s">
        <v>81</v>
      </c>
      <c r="O18" s="19" t="n">
        <f aca="false">F18-K18</f>
        <v>174800</v>
      </c>
      <c r="P18" s="24" t="n">
        <f aca="false">IF(K18=0,"",(F18-K18)/K18)</f>
        <v>0.712887438825449</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6672006.56</v>
      </c>
      <c r="L19" s="25"/>
      <c r="M19" s="25"/>
      <c r="N19" s="25"/>
      <c r="O19" s="26" t="n">
        <f aca="false">F19-K19</f>
        <v>1052085.46</v>
      </c>
      <c r="P19" s="28" t="n">
        <f aca="false">IF(K19=0,"",(F19-K19)/K19)</f>
        <v>0.15768651462477</v>
      </c>
    </row>
    <row r="20" customFormat="false" ht="70.5" hidden="false" customHeight="true" outlineLevel="0" collapsed="false">
      <c r="A20" s="29"/>
      <c r="B20" s="29" t="s">
        <v>83</v>
      </c>
      <c r="C20" s="29"/>
      <c r="D20" s="29"/>
      <c r="E20" s="29"/>
      <c r="F20" s="30" t="n">
        <v>386204.6</v>
      </c>
      <c r="G20" s="29"/>
      <c r="H20" s="29"/>
      <c r="I20" s="29"/>
      <c r="J20" s="29"/>
      <c r="K20" s="31" t="n">
        <f aca="false">ROUND(K19*0.05,2)</f>
        <v>333600.33</v>
      </c>
      <c r="L20" s="32" t="s">
        <v>84</v>
      </c>
      <c r="M20" s="29"/>
      <c r="N20" s="29"/>
      <c r="O20" s="30" t="n">
        <f aca="false">F20-K20</f>
        <v>52604.27</v>
      </c>
      <c r="P20" s="33" t="n">
        <f aca="false">IF(K20=0,"",(F20-K20)/K20)</f>
        <v>0.157686504686611</v>
      </c>
    </row>
    <row r="21" customFormat="false" ht="21.75" hidden="false" customHeight="true" outlineLevel="0" collapsed="false">
      <c r="A21" s="25"/>
      <c r="B21" s="25" t="s">
        <v>85</v>
      </c>
      <c r="C21" s="25"/>
      <c r="D21" s="25"/>
      <c r="E21" s="25"/>
      <c r="F21" s="26" t="n">
        <f aca="false">F19+F20</f>
        <v>8110296.62</v>
      </c>
      <c r="G21" s="25"/>
      <c r="H21" s="25"/>
      <c r="I21" s="25"/>
      <c r="J21" s="25"/>
      <c r="K21" s="34" t="n">
        <f aca="false">K19+K20</f>
        <v>7005606.89</v>
      </c>
      <c r="L21" s="25"/>
      <c r="M21" s="25"/>
      <c r="N21" s="25"/>
      <c r="O21" s="26" t="n">
        <f aca="false">F21-K21</f>
        <v>1104689.73</v>
      </c>
      <c r="P21" s="28" t="n">
        <f aca="false">IF(K21=0,"",(F21-K21)/K21)</f>
        <v>0.157686514151524</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5" t="s">
        <v>87</v>
      </c>
      <c r="B23" s="35"/>
      <c r="C23" s="35"/>
      <c r="D23" s="35"/>
      <c r="E23" s="35"/>
      <c r="F23" s="35"/>
      <c r="G23" s="35"/>
      <c r="H23" s="35"/>
      <c r="I23" s="35"/>
      <c r="J23" s="35"/>
      <c r="K23" s="35"/>
      <c r="L23" s="35"/>
      <c r="M23" s="35"/>
      <c r="N23" s="35"/>
      <c r="O23" s="35"/>
      <c r="P23" s="35"/>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Tank 1 operating fill and spray disinfection added (7.24, 7.25); Item 8 priced to the RFP specification with the Contractor's mater"&amp;"ials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Tank 1 operating fill and spray disinfection added (7.24, 7.25); Item 8 priced to the RFP specification with the Contractor's materials shown alongside. No existing rate has moved. Net effect: SAR 83,921.25 (1.2%).</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1"/>
    <hyperlink ref="A12" location="'Build-Up'!A43"/>
    <hyperlink ref="J12" location="'Build-Up'!B47"/>
    <hyperlink ref="A13" location="'Build-Up'!A65"/>
    <hyperlink ref="J13" location="'Build-Up'!B69"/>
    <hyperlink ref="A14" location="'Build-Up'!A71"/>
    <hyperlink ref="J14" location="'Build-Up'!B89"/>
    <hyperlink ref="A16" location="'Build-Up'!A91"/>
    <hyperlink ref="J16" location="'Build-Up'!B95"/>
    <hyperlink ref="A17" location="'Build-Up'!A97"/>
    <hyperlink ref="J17" location="'Build-Up'!B126"/>
    <hyperlink ref="A18" location="'Build-Up'!A128"/>
    <hyperlink ref="J18" location="'Build-Up'!B152"/>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2"/>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6" t="s">
        <v>90</v>
      </c>
      <c r="G5" s="36"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Programme!$G$165</f>
        <v>4.1</v>
      </c>
      <c r="E9" s="19" t="n">
        <v>12000</v>
      </c>
      <c r="F9" s="19" t="n">
        <f aca="false">D9*E9</f>
        <v>49200</v>
      </c>
      <c r="G9" s="20" t="s">
        <v>99</v>
      </c>
    </row>
    <row r="10" customFormat="false" ht="54.75" hidden="false" customHeight="true" outlineLevel="0" collapsed="false">
      <c r="A10" s="18" t="s">
        <v>100</v>
      </c>
      <c r="B10" s="17" t="s">
        <v>101</v>
      </c>
      <c r="C10" s="18" t="s">
        <v>98</v>
      </c>
      <c r="D10" s="21" t="n">
        <f aca="false">Programme!$G$166</f>
        <v>4.1</v>
      </c>
      <c r="E10" s="19" t="n">
        <v>10000</v>
      </c>
      <c r="F10" s="19" t="n">
        <f aca="false">D10*E10</f>
        <v>41000</v>
      </c>
      <c r="G10" s="20" t="s">
        <v>102</v>
      </c>
    </row>
    <row r="11" customFormat="false" ht="67.5" hidden="false" customHeight="true" outlineLevel="0" collapsed="false">
      <c r="A11" s="18" t="s">
        <v>103</v>
      </c>
      <c r="B11" s="17" t="s">
        <v>104</v>
      </c>
      <c r="C11" s="18" t="s">
        <v>98</v>
      </c>
      <c r="D11" s="21" t="n">
        <f aca="false">Programme!$G$167</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Programme!$G$168</f>
        <v>4.1</v>
      </c>
      <c r="E12" s="19" t="n">
        <v>8000</v>
      </c>
      <c r="F12" s="19" t="n">
        <f aca="false">D12*E12</f>
        <v>32800</v>
      </c>
      <c r="G12" s="20" t="s">
        <v>108</v>
      </c>
    </row>
    <row r="13" customFormat="false" ht="54.75" hidden="false" customHeight="true" outlineLevel="0" collapsed="false">
      <c r="A13" s="18" t="s">
        <v>109</v>
      </c>
      <c r="B13" s="17" t="s">
        <v>110</v>
      </c>
      <c r="C13" s="18" t="s">
        <v>98</v>
      </c>
      <c r="D13" s="21" t="n">
        <f aca="false">Programme!$G$169</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Programme!$G$170</f>
        <v>4.1</v>
      </c>
      <c r="E14" s="19" t="n">
        <v>2200</v>
      </c>
      <c r="F14" s="19" t="n">
        <f aca="false">D14*E14</f>
        <v>9020</v>
      </c>
      <c r="G14" s="20" t="s">
        <v>114</v>
      </c>
    </row>
    <row r="15" customFormat="false" ht="54.75" hidden="false" customHeight="true" outlineLevel="0" collapsed="false">
      <c r="A15" s="18" t="s">
        <v>115</v>
      </c>
      <c r="B15" s="17" t="s">
        <v>116</v>
      </c>
      <c r="C15" s="18" t="s">
        <v>98</v>
      </c>
      <c r="D15" s="21" t="n">
        <f aca="false">Programme!$G$171</f>
        <v>4.1</v>
      </c>
      <c r="E15" s="19" t="n">
        <v>2200</v>
      </c>
      <c r="F15" s="19" t="n">
        <f aca="false">D15*E15</f>
        <v>9020</v>
      </c>
      <c r="G15" s="20" t="s">
        <v>114</v>
      </c>
    </row>
    <row r="16" customFormat="false" ht="54.75" hidden="false" customHeight="true" outlineLevel="0" collapsed="false">
      <c r="A16" s="18" t="s">
        <v>117</v>
      </c>
      <c r="B16" s="17" t="s">
        <v>118</v>
      </c>
      <c r="C16" s="18" t="s">
        <v>98</v>
      </c>
      <c r="D16" s="21" t="n">
        <f aca="false">Programme!$G$172</f>
        <v>4.1</v>
      </c>
      <c r="E16" s="19" t="n">
        <v>1300</v>
      </c>
      <c r="F16" s="19" t="n">
        <f aca="false">D16*E16</f>
        <v>5330</v>
      </c>
      <c r="G16" s="20" t="s">
        <v>114</v>
      </c>
    </row>
    <row r="17" customFormat="false" ht="54.75" hidden="false" customHeight="true" outlineLevel="0" collapsed="false">
      <c r="A17" s="18" t="s">
        <v>119</v>
      </c>
      <c r="B17" s="17" t="s">
        <v>120</v>
      </c>
      <c r="C17" s="18" t="s">
        <v>121</v>
      </c>
      <c r="D17" s="21" t="n">
        <f aca="false">Programme!$G$173</f>
        <v>36</v>
      </c>
      <c r="E17" s="19" t="n">
        <v>350</v>
      </c>
      <c r="F17" s="19" t="n">
        <f aca="false">D17*E17</f>
        <v>12600</v>
      </c>
      <c r="G17" s="20" t="s">
        <v>122</v>
      </c>
    </row>
    <row r="18" customFormat="false" ht="54.75" hidden="false" customHeight="true" outlineLevel="0" collapsed="false">
      <c r="A18" s="18" t="s">
        <v>123</v>
      </c>
      <c r="B18" s="17" t="s">
        <v>124</v>
      </c>
      <c r="C18" s="18" t="s">
        <v>98</v>
      </c>
      <c r="D18" s="21" t="n">
        <f aca="false">Programme!$G$174</f>
        <v>4.1</v>
      </c>
      <c r="E18" s="19" t="n">
        <v>350</v>
      </c>
      <c r="F18" s="19" t="n">
        <f aca="false">D18*E18</f>
        <v>1435</v>
      </c>
      <c r="G18" s="20" t="s">
        <v>114</v>
      </c>
    </row>
    <row r="19" customFormat="false" ht="54.75" hidden="false" customHeight="true" outlineLevel="0" collapsed="false">
      <c r="A19" s="18" t="s">
        <v>125</v>
      </c>
      <c r="B19" s="17" t="s">
        <v>126</v>
      </c>
      <c r="C19" s="18" t="s">
        <v>127</v>
      </c>
      <c r="D19" s="21" t="n">
        <f aca="false">Programme!$G$176</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Programme!$G$177</f>
        <v>4.1</v>
      </c>
      <c r="E20" s="19" t="n">
        <v>4000</v>
      </c>
      <c r="F20" s="19" t="n">
        <f aca="false">D20*E20</f>
        <v>16400</v>
      </c>
      <c r="G20" s="20" t="s">
        <v>131</v>
      </c>
    </row>
    <row r="21" customFormat="false" ht="67.5" hidden="false" customHeight="true" outlineLevel="0" collapsed="false">
      <c r="A21" s="18" t="s">
        <v>132</v>
      </c>
      <c r="B21" s="17" t="s">
        <v>133</v>
      </c>
      <c r="C21" s="18" t="s">
        <v>98</v>
      </c>
      <c r="D21" s="21" t="n">
        <f aca="false">Programme!$G$178</f>
        <v>4.1</v>
      </c>
      <c r="E21" s="19" t="n">
        <v>4500</v>
      </c>
      <c r="F21" s="19" t="n">
        <f aca="false">D21*E21</f>
        <v>18450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13000</v>
      </c>
      <c r="F25" s="19" t="n">
        <f aca="false">D25*E25</f>
        <v>13000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7"/>
      <c r="B32" s="38" t="s">
        <v>169</v>
      </c>
      <c r="C32" s="37"/>
      <c r="D32" s="37"/>
      <c r="E32" s="37"/>
      <c r="F32" s="39" t="n">
        <f aca="false">SUM(F9:F31)</f>
        <v>319680.56</v>
      </c>
      <c r="G32" s="40"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8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9.5" hidden="false" customHeight="true" outlineLevel="0" collapsed="false">
      <c r="A41" s="37"/>
      <c r="B41" s="38" t="s">
        <v>186</v>
      </c>
      <c r="C41" s="37"/>
      <c r="D41" s="37"/>
      <c r="E41" s="37"/>
      <c r="F41" s="39" t="n">
        <f aca="false">SUM(F37:F40)</f>
        <v>55000</v>
      </c>
      <c r="G41" s="40" t="s">
        <v>187</v>
      </c>
    </row>
    <row r="43" customFormat="false" ht="21" hidden="false" customHeight="true" outlineLevel="0" collapsed="false">
      <c r="A43" s="15" t="s">
        <v>188</v>
      </c>
      <c r="B43" s="15"/>
      <c r="C43" s="15"/>
      <c r="D43" s="15"/>
      <c r="E43" s="15"/>
      <c r="F43" s="15"/>
      <c r="G43" s="15"/>
    </row>
    <row r="44" customFormat="false" ht="31.5" hidden="false" customHeight="true" outlineLevel="0" collapsed="false">
      <c r="A44" s="11" t="s">
        <v>189</v>
      </c>
      <c r="B44" s="11"/>
      <c r="C44" s="11"/>
      <c r="D44" s="11"/>
      <c r="E44" s="11"/>
      <c r="F44" s="11"/>
      <c r="G44" s="11"/>
    </row>
    <row r="45" customFormat="false" ht="24" hidden="false" customHeight="true" outlineLevel="0" collapsed="false">
      <c r="A45" s="13" t="s">
        <v>94</v>
      </c>
      <c r="B45" s="13" t="s">
        <v>36</v>
      </c>
      <c r="C45" s="13" t="s">
        <v>37</v>
      </c>
      <c r="D45" s="13" t="s">
        <v>38</v>
      </c>
      <c r="E45" s="13" t="s">
        <v>39</v>
      </c>
      <c r="F45" s="13" t="s">
        <v>40</v>
      </c>
      <c r="G45" s="13" t="s">
        <v>95</v>
      </c>
    </row>
    <row r="46" customFormat="false" ht="54.75" hidden="false" customHeight="true" outlineLevel="0" collapsed="false">
      <c r="A46" s="18" t="s">
        <v>190</v>
      </c>
      <c r="B46" s="17" t="s">
        <v>191</v>
      </c>
      <c r="C46" s="18" t="s">
        <v>148</v>
      </c>
      <c r="D46" s="19" t="n">
        <v>1</v>
      </c>
      <c r="E46" s="19" t="n">
        <v>71000</v>
      </c>
      <c r="F46" s="19" t="n">
        <f aca="false">D46*E46</f>
        <v>71000</v>
      </c>
      <c r="G46" s="20" t="s">
        <v>192</v>
      </c>
    </row>
    <row r="47" customFormat="false" ht="19.5" hidden="false" customHeight="true" outlineLevel="0" collapsed="false">
      <c r="A47" s="37"/>
      <c r="B47" s="38" t="s">
        <v>193</v>
      </c>
      <c r="C47" s="37"/>
      <c r="D47" s="37"/>
      <c r="E47" s="37"/>
      <c r="F47" s="39" t="n">
        <f aca="false">SUM(F46:F46)</f>
        <v>71000</v>
      </c>
      <c r="G47" s="40" t="s">
        <v>194</v>
      </c>
    </row>
    <row r="48" customFormat="false" ht="14.25" hidden="false" customHeight="false" outlineLevel="0" collapsed="false">
      <c r="B48" s="41" t="s">
        <v>195</v>
      </c>
    </row>
    <row r="49" customFormat="false" ht="29.25" hidden="false" customHeight="true" outlineLevel="0" collapsed="false">
      <c r="A49" s="18" t="s">
        <v>196</v>
      </c>
      <c r="B49" s="17" t="s">
        <v>197</v>
      </c>
      <c r="C49" s="18" t="s">
        <v>144</v>
      </c>
      <c r="D49" s="19" t="n">
        <v>72</v>
      </c>
      <c r="E49" s="19" t="n">
        <v>150</v>
      </c>
      <c r="F49" s="19" t="n">
        <f aca="false">D49*E49</f>
        <v>10800</v>
      </c>
      <c r="G49" s="20" t="s">
        <v>145</v>
      </c>
    </row>
    <row r="50" customFormat="false" ht="29.25" hidden="false" customHeight="true" outlineLevel="0" collapsed="false">
      <c r="A50" s="18" t="s">
        <v>198</v>
      </c>
      <c r="B50" s="17" t="s">
        <v>199</v>
      </c>
      <c r="C50" s="18" t="s">
        <v>144</v>
      </c>
      <c r="D50" s="19" t="n">
        <v>12</v>
      </c>
      <c r="E50" s="19" t="n">
        <v>250</v>
      </c>
      <c r="F50" s="19" t="n">
        <f aca="false">D50*E50</f>
        <v>3000</v>
      </c>
      <c r="G50" s="20" t="s">
        <v>145</v>
      </c>
    </row>
    <row r="51" customFormat="false" ht="29.25" hidden="false" customHeight="true" outlineLevel="0" collapsed="false">
      <c r="A51" s="18" t="s">
        <v>200</v>
      </c>
      <c r="B51" s="17" t="s">
        <v>201</v>
      </c>
      <c r="C51" s="18" t="s">
        <v>165</v>
      </c>
      <c r="D51" s="19" t="n">
        <v>12</v>
      </c>
      <c r="E51" s="19" t="n">
        <v>2500</v>
      </c>
      <c r="F51" s="19" t="n">
        <f aca="false">D51*E51</f>
        <v>30000</v>
      </c>
      <c r="G51" s="20" t="s">
        <v>145</v>
      </c>
    </row>
    <row r="52" customFormat="false" ht="29.25" hidden="false" customHeight="true" outlineLevel="0" collapsed="false">
      <c r="A52" s="18" t="s">
        <v>202</v>
      </c>
      <c r="B52" s="17" t="s">
        <v>203</v>
      </c>
      <c r="C52" s="18" t="s">
        <v>72</v>
      </c>
      <c r="D52" s="19" t="n">
        <v>200</v>
      </c>
      <c r="E52" s="19" t="n">
        <v>10</v>
      </c>
      <c r="F52" s="19" t="n">
        <f aca="false">D52*E52</f>
        <v>2000</v>
      </c>
      <c r="G52" s="20" t="s">
        <v>145</v>
      </c>
    </row>
    <row r="53" customFormat="false" ht="29.25" hidden="false" customHeight="true" outlineLevel="0" collapsed="false">
      <c r="A53" s="18" t="s">
        <v>204</v>
      </c>
      <c r="B53" s="17" t="s">
        <v>205</v>
      </c>
      <c r="C53" s="18" t="s">
        <v>206</v>
      </c>
      <c r="D53" s="19" t="n">
        <v>1</v>
      </c>
      <c r="E53" s="19" t="n">
        <v>1500</v>
      </c>
      <c r="F53" s="19" t="n">
        <f aca="false">D53*E53</f>
        <v>1500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165</v>
      </c>
      <c r="D55" s="19" t="n">
        <v>3</v>
      </c>
      <c r="E55" s="19" t="n">
        <v>500</v>
      </c>
      <c r="F55" s="19" t="n">
        <f aca="false">D55*E55</f>
        <v>1500</v>
      </c>
      <c r="G55" s="20" t="s">
        <v>145</v>
      </c>
    </row>
    <row r="56" customFormat="false" ht="29.25" hidden="false" customHeight="true" outlineLevel="0" collapsed="false">
      <c r="A56" s="18" t="s">
        <v>212</v>
      </c>
      <c r="B56" s="17" t="s">
        <v>213</v>
      </c>
      <c r="C56" s="18" t="s">
        <v>214</v>
      </c>
      <c r="D56" s="19" t="n">
        <v>30</v>
      </c>
      <c r="E56" s="19" t="n">
        <v>10</v>
      </c>
      <c r="F56" s="19" t="n">
        <f aca="false">D56*E56</f>
        <v>300</v>
      </c>
      <c r="G56" s="20" t="s">
        <v>145</v>
      </c>
    </row>
    <row r="57" customFormat="false" ht="29.25" hidden="false" customHeight="true" outlineLevel="0" collapsed="false">
      <c r="A57" s="18" t="s">
        <v>215</v>
      </c>
      <c r="B57" s="17" t="s">
        <v>216</v>
      </c>
      <c r="C57" s="18" t="s">
        <v>144</v>
      </c>
      <c r="D57" s="19" t="n">
        <v>6</v>
      </c>
      <c r="E57" s="19" t="n">
        <v>150</v>
      </c>
      <c r="F57" s="19" t="n">
        <f aca="false">D57*E57</f>
        <v>900</v>
      </c>
      <c r="G57" s="20" t="s">
        <v>145</v>
      </c>
    </row>
    <row r="58" customFormat="false" ht="29.25" hidden="false" customHeight="true" outlineLevel="0" collapsed="false">
      <c r="A58" s="18" t="s">
        <v>217</v>
      </c>
      <c r="B58" s="17" t="s">
        <v>218</v>
      </c>
      <c r="C58" s="18" t="s">
        <v>72</v>
      </c>
      <c r="D58" s="19" t="n">
        <v>8</v>
      </c>
      <c r="E58" s="19" t="n">
        <v>400</v>
      </c>
      <c r="F58" s="19" t="n">
        <f aca="false">D58*E58</f>
        <v>3200</v>
      </c>
      <c r="G58" s="20" t="s">
        <v>145</v>
      </c>
    </row>
    <row r="59" customFormat="false" ht="29.25" hidden="false" customHeight="true" outlineLevel="0" collapsed="false">
      <c r="A59" s="18" t="s">
        <v>219</v>
      </c>
      <c r="B59" s="17" t="s">
        <v>220</v>
      </c>
      <c r="C59" s="18" t="s">
        <v>165</v>
      </c>
      <c r="D59" s="19" t="n">
        <v>4</v>
      </c>
      <c r="E59" s="19" t="n">
        <v>500</v>
      </c>
      <c r="F59" s="19" t="n">
        <f aca="false">D59*E59</f>
        <v>2000</v>
      </c>
      <c r="G59" s="20" t="s">
        <v>145</v>
      </c>
    </row>
    <row r="60" customFormat="false" ht="29.25" hidden="false" customHeight="true" outlineLevel="0" collapsed="false">
      <c r="A60" s="18" t="s">
        <v>221</v>
      </c>
      <c r="B60" s="17" t="s">
        <v>222</v>
      </c>
      <c r="C60" s="18" t="s">
        <v>165</v>
      </c>
      <c r="D60" s="19" t="n">
        <v>3</v>
      </c>
      <c r="E60" s="19" t="n">
        <v>800</v>
      </c>
      <c r="F60" s="19" t="n">
        <f aca="false">D60*E60</f>
        <v>2400</v>
      </c>
      <c r="G60" s="20" t="s">
        <v>145</v>
      </c>
    </row>
    <row r="61" customFormat="false" ht="29.25" hidden="false" customHeight="true" outlineLevel="0" collapsed="false">
      <c r="A61" s="18" t="s">
        <v>223</v>
      </c>
      <c r="B61" s="17" t="s">
        <v>224</v>
      </c>
      <c r="C61" s="18" t="s">
        <v>72</v>
      </c>
      <c r="D61" s="19" t="n">
        <v>4</v>
      </c>
      <c r="E61" s="19" t="n">
        <v>400</v>
      </c>
      <c r="F61" s="19" t="n">
        <f aca="false">D61*E61</f>
        <v>1600</v>
      </c>
      <c r="G61" s="20" t="s">
        <v>145</v>
      </c>
    </row>
    <row r="62" customFormat="false" ht="29.25" hidden="false" customHeight="true" outlineLevel="0" collapsed="false">
      <c r="A62" s="18" t="s">
        <v>225</v>
      </c>
      <c r="B62" s="17" t="s">
        <v>226</v>
      </c>
      <c r="C62" s="18" t="s">
        <v>148</v>
      </c>
      <c r="D62" s="19" t="n">
        <v>1</v>
      </c>
      <c r="E62" s="19" t="n">
        <v>1000</v>
      </c>
      <c r="F62" s="19" t="n">
        <f aca="false">D62*E62</f>
        <v>1000</v>
      </c>
      <c r="G62" s="20" t="s">
        <v>145</v>
      </c>
    </row>
    <row r="63" customFormat="false" ht="14.25" hidden="false" customHeight="false" outlineLevel="0" collapsed="false">
      <c r="B63" s="41" t="s">
        <v>227</v>
      </c>
      <c r="F63" s="42" t="n">
        <f aca="false">SUM(F49:F62)</f>
        <v>61700</v>
      </c>
    </row>
    <row r="65" customFormat="false" ht="21" hidden="false" customHeight="true" outlineLevel="0" collapsed="false">
      <c r="A65" s="15" t="s">
        <v>228</v>
      </c>
      <c r="B65" s="15"/>
      <c r="C65" s="15"/>
      <c r="D65" s="15"/>
      <c r="E65" s="15"/>
      <c r="F65" s="15"/>
      <c r="G65" s="15"/>
    </row>
    <row r="66" customFormat="false" ht="45" hidden="false" customHeight="true" outlineLevel="0" collapsed="false">
      <c r="A66" s="11" t="s">
        <v>229</v>
      </c>
      <c r="B66" s="11"/>
      <c r="C66" s="11"/>
      <c r="D66" s="11"/>
      <c r="E66" s="11"/>
      <c r="F66" s="11"/>
      <c r="G66" s="11"/>
    </row>
    <row r="67" customFormat="false" ht="24" hidden="false" customHeight="true" outlineLevel="0" collapsed="false">
      <c r="A67" s="13" t="s">
        <v>94</v>
      </c>
      <c r="B67" s="13" t="s">
        <v>36</v>
      </c>
      <c r="C67" s="13" t="s">
        <v>37</v>
      </c>
      <c r="D67" s="13" t="s">
        <v>38</v>
      </c>
      <c r="E67" s="13" t="s">
        <v>39</v>
      </c>
      <c r="F67" s="13" t="s">
        <v>40</v>
      </c>
      <c r="G67" s="13" t="s">
        <v>95</v>
      </c>
    </row>
    <row r="68" customFormat="false" ht="54.75" hidden="false" customHeight="true" outlineLevel="0" collapsed="false">
      <c r="A68" s="18" t="s">
        <v>230</v>
      </c>
      <c r="B68" s="17" t="s">
        <v>231</v>
      </c>
      <c r="C68" s="18" t="s">
        <v>232</v>
      </c>
      <c r="D68" s="19" t="n">
        <v>14</v>
      </c>
      <c r="E68" s="19" t="n">
        <v>450</v>
      </c>
      <c r="F68" s="19" t="n">
        <f aca="false">D68*E68</f>
        <v>6300</v>
      </c>
      <c r="G68" s="20" t="s">
        <v>233</v>
      </c>
    </row>
    <row r="69" customFormat="false" ht="19.5" hidden="false" customHeight="true" outlineLevel="0" collapsed="false">
      <c r="A69" s="37"/>
      <c r="B69" s="38" t="s">
        <v>234</v>
      </c>
      <c r="C69" s="37"/>
      <c r="D69" s="37"/>
      <c r="E69" s="37"/>
      <c r="F69" s="39" t="n">
        <f aca="false">SUM(F68:F68)</f>
        <v>6300</v>
      </c>
      <c r="G69" s="40" t="s">
        <v>235</v>
      </c>
    </row>
    <row r="71" customFormat="false" ht="21" hidden="false" customHeight="true" outlineLevel="0" collapsed="false">
      <c r="A71" s="15" t="s">
        <v>236</v>
      </c>
      <c r="B71" s="15"/>
      <c r="C71" s="15"/>
      <c r="D71" s="15"/>
      <c r="E71" s="15"/>
      <c r="F71" s="15"/>
      <c r="G71" s="15"/>
    </row>
    <row r="72" customFormat="false" ht="96" hidden="false" customHeight="true" outlineLevel="0" collapsed="false">
      <c r="A72" s="11" t="s">
        <v>237</v>
      </c>
      <c r="B72" s="11"/>
      <c r="C72" s="11"/>
      <c r="D72" s="11"/>
      <c r="E72" s="11"/>
      <c r="F72" s="11"/>
      <c r="G72" s="11"/>
    </row>
    <row r="73" customFormat="false" ht="24" hidden="false" customHeight="true" outlineLevel="0" collapsed="false">
      <c r="A73" s="13" t="s">
        <v>94</v>
      </c>
      <c r="B73" s="13" t="s">
        <v>36</v>
      </c>
      <c r="C73" s="13" t="s">
        <v>37</v>
      </c>
      <c r="D73" s="13" t="s">
        <v>38</v>
      </c>
      <c r="E73" s="13" t="s">
        <v>39</v>
      </c>
      <c r="F73" s="13" t="s">
        <v>40</v>
      </c>
      <c r="G73" s="13" t="s">
        <v>95</v>
      </c>
    </row>
    <row r="74" customFormat="false" ht="118.5" hidden="false" customHeight="true" outlineLevel="0" collapsed="false">
      <c r="A74" s="18" t="s">
        <v>238</v>
      </c>
      <c r="B74" s="17" t="s">
        <v>239</v>
      </c>
      <c r="C74" s="18" t="s">
        <v>165</v>
      </c>
      <c r="D74" s="21" t="n">
        <f aca="false">Programme!$G$179</f>
        <v>48</v>
      </c>
      <c r="E74" s="19" t="n">
        <v>1200</v>
      </c>
      <c r="F74" s="19" t="n">
        <f aca="false">D74*E74</f>
        <v>57600</v>
      </c>
      <c r="G74" s="20" t="s">
        <v>240</v>
      </c>
    </row>
    <row r="75" customFormat="false" ht="80.25" hidden="false" customHeight="true" outlineLevel="0" collapsed="false">
      <c r="A75" s="18" t="s">
        <v>241</v>
      </c>
      <c r="B75" s="17" t="s">
        <v>242</v>
      </c>
      <c r="C75" s="18" t="s">
        <v>165</v>
      </c>
      <c r="D75" s="21" t="n">
        <f aca="false">Programme!$G$180</f>
        <v>64</v>
      </c>
      <c r="E75" s="19" t="n">
        <v>900</v>
      </c>
      <c r="F75" s="19" t="n">
        <f aca="false">D75*E75</f>
        <v>57600</v>
      </c>
      <c r="G75" s="20" t="s">
        <v>243</v>
      </c>
    </row>
    <row r="76" customFormat="false" ht="67.5" hidden="false" customHeight="true" outlineLevel="0" collapsed="false">
      <c r="A76" s="18" t="s">
        <v>244</v>
      </c>
      <c r="B76" s="17" t="s">
        <v>245</v>
      </c>
      <c r="C76" s="18" t="s">
        <v>246</v>
      </c>
      <c r="D76" s="19" t="n">
        <v>1024</v>
      </c>
      <c r="E76" s="19" t="n">
        <v>55</v>
      </c>
      <c r="F76" s="19" t="n">
        <f aca="false">D76*E76</f>
        <v>56320</v>
      </c>
      <c r="G76" s="20" t="s">
        <v>247</v>
      </c>
    </row>
    <row r="77" customFormat="false" ht="54.75" hidden="false" customHeight="true" outlineLevel="0" collapsed="false">
      <c r="A77" s="18" t="s">
        <v>248</v>
      </c>
      <c r="B77" s="17" t="s">
        <v>249</v>
      </c>
      <c r="C77" s="18" t="s">
        <v>250</v>
      </c>
      <c r="D77" s="21" t="n">
        <f aca="false">Programme!$G$181</f>
        <v>4</v>
      </c>
      <c r="E77" s="19" t="n">
        <v>1800</v>
      </c>
      <c r="F77" s="19" t="n">
        <f aca="false">D77*E77</f>
        <v>7200</v>
      </c>
      <c r="G77" s="20" t="s">
        <v>251</v>
      </c>
    </row>
    <row r="78" customFormat="false" ht="29.25" hidden="false" customHeight="true" outlineLevel="0" collapsed="false">
      <c r="A78" s="18" t="s">
        <v>252</v>
      </c>
      <c r="B78" s="17" t="s">
        <v>253</v>
      </c>
      <c r="C78" s="18" t="s">
        <v>72</v>
      </c>
      <c r="D78" s="19" t="n">
        <v>4</v>
      </c>
      <c r="E78" s="19" t="n">
        <v>400</v>
      </c>
      <c r="F78" s="19" t="n">
        <f aca="false">D78*E78</f>
        <v>1600</v>
      </c>
      <c r="G78" s="20" t="s">
        <v>145</v>
      </c>
    </row>
    <row r="79" customFormat="false" ht="29.25" hidden="false" customHeight="true" outlineLevel="0" collapsed="false">
      <c r="A79" s="18" t="s">
        <v>254</v>
      </c>
      <c r="B79" s="17" t="s">
        <v>255</v>
      </c>
      <c r="C79" s="18" t="s">
        <v>256</v>
      </c>
      <c r="D79" s="21" t="n">
        <f aca="false">Programme!$G$182</f>
        <v>4</v>
      </c>
      <c r="E79" s="19" t="n">
        <v>350</v>
      </c>
      <c r="F79" s="19" t="n">
        <f aca="false">D79*E79</f>
        <v>1400</v>
      </c>
      <c r="G79" s="20" t="s">
        <v>257</v>
      </c>
    </row>
    <row r="80" customFormat="false" ht="67.5" hidden="false" customHeight="true" outlineLevel="0" collapsed="false">
      <c r="A80" s="18" t="s">
        <v>258</v>
      </c>
      <c r="B80" s="17" t="s">
        <v>259</v>
      </c>
      <c r="C80" s="18" t="s">
        <v>98</v>
      </c>
      <c r="D80" s="21" t="n">
        <f aca="false">Programme!$G$183</f>
        <v>3.8</v>
      </c>
      <c r="E80" s="19" t="n">
        <v>11000</v>
      </c>
      <c r="F80" s="19" t="n">
        <f aca="false">D80*E80</f>
        <v>41800</v>
      </c>
      <c r="G80" s="20" t="s">
        <v>260</v>
      </c>
    </row>
    <row r="81" customFormat="false" ht="54.75" hidden="false" customHeight="true" outlineLevel="0" collapsed="false">
      <c r="A81" s="18" t="s">
        <v>261</v>
      </c>
      <c r="B81" s="17" t="s">
        <v>262</v>
      </c>
      <c r="C81" s="18" t="s">
        <v>98</v>
      </c>
      <c r="D81" s="21" t="n">
        <f aca="false">Programme!$G$184</f>
        <v>4.1</v>
      </c>
      <c r="E81" s="19" t="n">
        <v>6000</v>
      </c>
      <c r="F81" s="19" t="n">
        <f aca="false">D81*E81</f>
        <v>24600</v>
      </c>
      <c r="G81" s="20" t="s">
        <v>263</v>
      </c>
    </row>
    <row r="82" customFormat="false" ht="42" hidden="false" customHeight="true" outlineLevel="0" collapsed="false">
      <c r="A82" s="18" t="s">
        <v>264</v>
      </c>
      <c r="B82" s="17" t="s">
        <v>265</v>
      </c>
      <c r="C82" s="18" t="s">
        <v>98</v>
      </c>
      <c r="D82" s="21" t="n">
        <f aca="false">Programme!$G$185</f>
        <v>4.1</v>
      </c>
      <c r="E82" s="19" t="n">
        <v>3000</v>
      </c>
      <c r="F82" s="19" t="n">
        <f aca="false">D82*E82</f>
        <v>12300</v>
      </c>
      <c r="G82" s="20" t="s">
        <v>266</v>
      </c>
    </row>
    <row r="83" customFormat="false" ht="170.25" hidden="false" customHeight="true" outlineLevel="0" collapsed="false">
      <c r="A83" s="18" t="s">
        <v>267</v>
      </c>
      <c r="B83" s="17" t="s">
        <v>268</v>
      </c>
      <c r="C83" s="18" t="s">
        <v>269</v>
      </c>
      <c r="D83" s="21" t="n">
        <f aca="false">Programme!$G$186</f>
        <v>19.8</v>
      </c>
      <c r="E83" s="19" t="n">
        <v>3000</v>
      </c>
      <c r="F83" s="19" t="n">
        <f aca="false">D83*E83</f>
        <v>59400</v>
      </c>
      <c r="G83" s="20" t="s">
        <v>270</v>
      </c>
    </row>
    <row r="84" customFormat="false" ht="80.25" hidden="false" customHeight="true" outlineLevel="0" collapsed="false">
      <c r="A84" s="18" t="s">
        <v>271</v>
      </c>
      <c r="B84" s="17" t="s">
        <v>272</v>
      </c>
      <c r="C84" s="18" t="s">
        <v>98</v>
      </c>
      <c r="D84" s="21" t="n">
        <f aca="false">Programme!$G$187</f>
        <v>2.7</v>
      </c>
      <c r="E84" s="19" t="n">
        <v>2500</v>
      </c>
      <c r="F84" s="19" t="n">
        <f aca="false">D84*E84</f>
        <v>6750</v>
      </c>
      <c r="G84" s="20" t="s">
        <v>273</v>
      </c>
    </row>
    <row r="85" customFormat="false" ht="80.25" hidden="false" customHeight="true" outlineLevel="0" collapsed="false">
      <c r="A85" s="18" t="s">
        <v>274</v>
      </c>
      <c r="B85" s="17" t="s">
        <v>275</v>
      </c>
      <c r="C85" s="18" t="s">
        <v>209</v>
      </c>
      <c r="D85" s="19" t="n">
        <v>0</v>
      </c>
      <c r="E85" s="19" t="n">
        <v>1500</v>
      </c>
      <c r="F85" s="19" t="n">
        <f aca="false">D85*E85</f>
        <v>0</v>
      </c>
      <c r="G85" s="20" t="s">
        <v>276</v>
      </c>
    </row>
    <row r="86" customFormat="false" ht="144.75" hidden="false" customHeight="true" outlineLevel="0" collapsed="false">
      <c r="A86" s="18" t="s">
        <v>277</v>
      </c>
      <c r="B86" s="17" t="s">
        <v>278</v>
      </c>
      <c r="C86" s="18" t="s">
        <v>209</v>
      </c>
      <c r="D86" s="19" t="n">
        <v>2</v>
      </c>
      <c r="E86" s="19" t="n">
        <v>1500</v>
      </c>
      <c r="F86" s="19" t="n">
        <f aca="false">D86*E86</f>
        <v>3000</v>
      </c>
      <c r="G86" s="20" t="s">
        <v>279</v>
      </c>
    </row>
    <row r="87" customFormat="false" ht="42" hidden="false" customHeight="true" outlineLevel="0" collapsed="false">
      <c r="A87" s="18" t="s">
        <v>280</v>
      </c>
      <c r="B87" s="17" t="s">
        <v>281</v>
      </c>
      <c r="C87" s="18" t="s">
        <v>256</v>
      </c>
      <c r="D87" s="21" t="n">
        <f aca="false">Programme!$G$188</f>
        <v>5.4</v>
      </c>
      <c r="E87" s="19" t="n">
        <v>1200</v>
      </c>
      <c r="F87" s="19" t="n">
        <f aca="false">D87*E87</f>
        <v>6480</v>
      </c>
      <c r="G87" s="20" t="s">
        <v>282</v>
      </c>
    </row>
    <row r="88" customFormat="false" ht="29.25" hidden="false" customHeight="true" outlineLevel="0" collapsed="false">
      <c r="A88" s="18" t="s">
        <v>283</v>
      </c>
      <c r="B88" s="17" t="s">
        <v>284</v>
      </c>
      <c r="C88" s="18" t="s">
        <v>206</v>
      </c>
      <c r="D88" s="19" t="n">
        <v>2</v>
      </c>
      <c r="E88" s="19" t="n">
        <v>1400</v>
      </c>
      <c r="F88" s="19" t="n">
        <f aca="false">D88*E88</f>
        <v>2800</v>
      </c>
      <c r="G88" s="20" t="s">
        <v>145</v>
      </c>
    </row>
    <row r="89" customFormat="false" ht="19.5" hidden="false" customHeight="true" outlineLevel="0" collapsed="false">
      <c r="A89" s="37"/>
      <c r="B89" s="38" t="s">
        <v>285</v>
      </c>
      <c r="C89" s="37"/>
      <c r="D89" s="37"/>
      <c r="E89" s="37"/>
      <c r="F89" s="39" t="n">
        <f aca="false">SUM(F74:F88)</f>
        <v>338850</v>
      </c>
      <c r="G89" s="40" t="s">
        <v>286</v>
      </c>
    </row>
    <row r="91" customFormat="false" ht="21" hidden="false" customHeight="true" outlineLevel="0" collapsed="false">
      <c r="A91" s="15" t="s">
        <v>287</v>
      </c>
      <c r="B91" s="15"/>
      <c r="C91" s="15"/>
      <c r="D91" s="15"/>
      <c r="E91" s="15"/>
      <c r="F91" s="15"/>
      <c r="G91" s="15"/>
    </row>
    <row r="92" customFormat="false" ht="84" hidden="false" customHeight="true" outlineLevel="0" collapsed="false">
      <c r="A92" s="11" t="s">
        <v>288</v>
      </c>
      <c r="B92" s="11"/>
      <c r="C92" s="11"/>
      <c r="D92" s="11"/>
      <c r="E92" s="11"/>
      <c r="F92" s="11"/>
      <c r="G92" s="11"/>
    </row>
    <row r="93" customFormat="false" ht="24" hidden="false" customHeight="true" outlineLevel="0" collapsed="false">
      <c r="A93" s="13" t="s">
        <v>94</v>
      </c>
      <c r="B93" s="13" t="s">
        <v>36</v>
      </c>
      <c r="C93" s="13" t="s">
        <v>37</v>
      </c>
      <c r="D93" s="13" t="s">
        <v>38</v>
      </c>
      <c r="E93" s="13" t="s">
        <v>39</v>
      </c>
      <c r="F93" s="13" t="s">
        <v>40</v>
      </c>
      <c r="G93" s="13" t="s">
        <v>95</v>
      </c>
    </row>
    <row r="94" customFormat="false" ht="93" hidden="false" customHeight="true" outlineLevel="0" collapsed="false">
      <c r="A94" s="18" t="s">
        <v>289</v>
      </c>
      <c r="B94" s="17" t="s">
        <v>290</v>
      </c>
      <c r="C94" s="18" t="s">
        <v>72</v>
      </c>
      <c r="D94" s="19" t="n">
        <v>1</v>
      </c>
      <c r="E94" s="19" t="n">
        <v>2763500</v>
      </c>
      <c r="F94" s="19" t="n">
        <f aca="false">D94*E94</f>
        <v>2763500</v>
      </c>
      <c r="G94" s="20" t="s">
        <v>291</v>
      </c>
    </row>
    <row r="95" customFormat="false" ht="19.5" hidden="false" customHeight="true" outlineLevel="0" collapsed="false">
      <c r="A95" s="37"/>
      <c r="B95" s="38" t="s">
        <v>292</v>
      </c>
      <c r="C95" s="37"/>
      <c r="D95" s="37"/>
      <c r="E95" s="37"/>
      <c r="F95" s="39" t="n">
        <f aca="false">SUM(F94:F94)</f>
        <v>2763500</v>
      </c>
      <c r="G95" s="40" t="s">
        <v>293</v>
      </c>
    </row>
    <row r="97" customFormat="false" ht="21" hidden="false" customHeight="true" outlineLevel="0" collapsed="false">
      <c r="A97" s="15" t="s">
        <v>294</v>
      </c>
      <c r="B97" s="15"/>
      <c r="C97" s="15"/>
      <c r="D97" s="15"/>
      <c r="E97" s="15"/>
      <c r="F97" s="15"/>
      <c r="G97" s="15"/>
    </row>
    <row r="98" customFormat="false" ht="150" hidden="false" customHeight="true" outlineLevel="0" collapsed="false">
      <c r="A98" s="11" t="s">
        <v>295</v>
      </c>
      <c r="B98" s="11"/>
      <c r="C98" s="11"/>
      <c r="D98" s="11"/>
      <c r="E98" s="11"/>
      <c r="F98" s="11"/>
      <c r="G98" s="11"/>
    </row>
    <row r="99" customFormat="false" ht="24" hidden="false" customHeight="true" outlineLevel="0" collapsed="false">
      <c r="A99" s="13" t="s">
        <v>94</v>
      </c>
      <c r="B99" s="13" t="s">
        <v>36</v>
      </c>
      <c r="C99" s="13" t="s">
        <v>37</v>
      </c>
      <c r="D99" s="13" t="s">
        <v>38</v>
      </c>
      <c r="E99" s="13" t="s">
        <v>39</v>
      </c>
      <c r="F99" s="13" t="s">
        <v>40</v>
      </c>
      <c r="G99" s="13" t="s">
        <v>95</v>
      </c>
    </row>
    <row r="100" customFormat="false" ht="93" hidden="false" customHeight="true" outlineLevel="0" collapsed="false">
      <c r="A100" s="18" t="s">
        <v>296</v>
      </c>
      <c r="B100" s="17" t="s">
        <v>297</v>
      </c>
      <c r="C100" s="18" t="s">
        <v>214</v>
      </c>
      <c r="D100" s="21" t="n">
        <f aca="false">Programme!$G$189</f>
        <v>3774</v>
      </c>
      <c r="E100" s="19" t="n">
        <v>6</v>
      </c>
      <c r="F100" s="19" t="n">
        <f aca="false">D100*E100</f>
        <v>22644</v>
      </c>
      <c r="G100" s="20" t="s">
        <v>298</v>
      </c>
    </row>
    <row r="101" customFormat="false" ht="54.75" hidden="false" customHeight="true" outlineLevel="0" collapsed="false">
      <c r="A101" s="18" t="s">
        <v>299</v>
      </c>
      <c r="B101" s="17" t="s">
        <v>300</v>
      </c>
      <c r="C101" s="18" t="s">
        <v>165</v>
      </c>
      <c r="D101" s="21" t="n">
        <f aca="false">Programme!$G$190</f>
        <v>7</v>
      </c>
      <c r="E101" s="19" t="n">
        <v>500</v>
      </c>
      <c r="F101" s="19" t="n">
        <f aca="false">D101*E101</f>
        <v>3500</v>
      </c>
      <c r="G101" s="20" t="s">
        <v>301</v>
      </c>
    </row>
    <row r="102" customFormat="false" ht="29.25" hidden="false" customHeight="true" outlineLevel="0" collapsed="false">
      <c r="A102" s="18" t="s">
        <v>302</v>
      </c>
      <c r="B102" s="17" t="s">
        <v>303</v>
      </c>
      <c r="C102" s="18" t="s">
        <v>304</v>
      </c>
      <c r="D102" s="21" t="n">
        <f aca="false">Programme!$G$191</f>
        <v>1</v>
      </c>
      <c r="E102" s="19" t="n">
        <v>1000</v>
      </c>
      <c r="F102" s="19" t="n">
        <f aca="false">D102*E102</f>
        <v>1000</v>
      </c>
      <c r="G102" s="20" t="s">
        <v>145</v>
      </c>
    </row>
    <row r="103" customFormat="false" ht="54.75" hidden="false" customHeight="true" outlineLevel="0" collapsed="false">
      <c r="A103" s="18" t="s">
        <v>305</v>
      </c>
      <c r="B103" s="17" t="s">
        <v>306</v>
      </c>
      <c r="C103" s="18" t="s">
        <v>144</v>
      </c>
      <c r="D103" s="19" t="n">
        <v>0</v>
      </c>
      <c r="E103" s="19" t="n">
        <v>150</v>
      </c>
      <c r="F103" s="19" t="n">
        <f aca="false">D103*E103</f>
        <v>0</v>
      </c>
      <c r="G103" s="20" t="s">
        <v>307</v>
      </c>
    </row>
    <row r="104" customFormat="false" ht="42" hidden="false" customHeight="true" outlineLevel="0" collapsed="false">
      <c r="A104" s="18" t="s">
        <v>308</v>
      </c>
      <c r="B104" s="17" t="s">
        <v>309</v>
      </c>
      <c r="C104" s="18" t="s">
        <v>214</v>
      </c>
      <c r="D104" s="21" t="n">
        <f aca="false">Programme!$G$193</f>
        <v>377</v>
      </c>
      <c r="E104" s="19" t="n">
        <v>6</v>
      </c>
      <c r="F104" s="19" t="n">
        <f aca="false">D104*E104</f>
        <v>2262</v>
      </c>
      <c r="G104" s="20" t="s">
        <v>310</v>
      </c>
    </row>
    <row r="105" customFormat="false" ht="29.25" hidden="false" customHeight="true" outlineLevel="0" collapsed="false">
      <c r="A105" s="18" t="s">
        <v>311</v>
      </c>
      <c r="B105" s="17" t="s">
        <v>312</v>
      </c>
      <c r="C105" s="18" t="s">
        <v>313</v>
      </c>
      <c r="D105" s="19" t="n">
        <v>800</v>
      </c>
      <c r="E105" s="19" t="n">
        <v>6</v>
      </c>
      <c r="F105" s="19" t="n">
        <f aca="false">D105*E105</f>
        <v>4800</v>
      </c>
      <c r="G105" s="20" t="s">
        <v>145</v>
      </c>
    </row>
    <row r="106" customFormat="false" ht="29.25" hidden="false" customHeight="true" outlineLevel="0" collapsed="false">
      <c r="A106" s="18" t="s">
        <v>314</v>
      </c>
      <c r="B106" s="17" t="s">
        <v>315</v>
      </c>
      <c r="C106" s="18" t="s">
        <v>304</v>
      </c>
      <c r="D106" s="19" t="n">
        <v>2</v>
      </c>
      <c r="E106" s="19" t="n">
        <v>750</v>
      </c>
      <c r="F106" s="19" t="n">
        <f aca="false">D106*E106</f>
        <v>1500</v>
      </c>
      <c r="G106" s="20" t="s">
        <v>145</v>
      </c>
    </row>
    <row r="107" customFormat="false" ht="93" hidden="false" customHeight="true" outlineLevel="0" collapsed="false">
      <c r="A107" s="18" t="s">
        <v>316</v>
      </c>
      <c r="B107" s="17" t="s">
        <v>317</v>
      </c>
      <c r="C107" s="18" t="s">
        <v>144</v>
      </c>
      <c r="D107" s="21" t="n">
        <f aca="false">Programme!G103</f>
        <v>3</v>
      </c>
      <c r="E107" s="19" t="n">
        <v>150</v>
      </c>
      <c r="F107" s="19" t="n">
        <f aca="false">D107*E107</f>
        <v>450</v>
      </c>
      <c r="G107" s="20" t="s">
        <v>318</v>
      </c>
    </row>
    <row r="108" customFormat="false" ht="29.25" hidden="false" customHeight="true" outlineLevel="0" collapsed="false">
      <c r="A108" s="18" t="s">
        <v>319</v>
      </c>
      <c r="B108" s="17" t="s">
        <v>320</v>
      </c>
      <c r="C108" s="18" t="s">
        <v>313</v>
      </c>
      <c r="D108" s="19" t="n">
        <v>400</v>
      </c>
      <c r="E108" s="19" t="n">
        <v>5</v>
      </c>
      <c r="F108" s="19" t="n">
        <f aca="false">D108*E108</f>
        <v>2000</v>
      </c>
      <c r="G108" s="20" t="s">
        <v>145</v>
      </c>
    </row>
    <row r="109" customFormat="false" ht="29.25" hidden="false" customHeight="true" outlineLevel="0" collapsed="false">
      <c r="A109" s="18" t="s">
        <v>321</v>
      </c>
      <c r="B109" s="17" t="s">
        <v>322</v>
      </c>
      <c r="C109" s="18" t="s">
        <v>209</v>
      </c>
      <c r="D109" s="19" t="n">
        <v>2</v>
      </c>
      <c r="E109" s="19" t="n">
        <v>1850</v>
      </c>
      <c r="F109" s="19" t="n">
        <f aca="false">D109*E109</f>
        <v>3700</v>
      </c>
      <c r="G109" s="20" t="s">
        <v>145</v>
      </c>
    </row>
    <row r="110" customFormat="false" ht="42" hidden="false" customHeight="true" outlineLevel="0" collapsed="false">
      <c r="A110" s="18" t="s">
        <v>323</v>
      </c>
      <c r="B110" s="17" t="s">
        <v>324</v>
      </c>
      <c r="C110" s="18" t="s">
        <v>325</v>
      </c>
      <c r="D110" s="19" t="n">
        <v>6</v>
      </c>
      <c r="E110" s="19" t="n">
        <v>1200</v>
      </c>
      <c r="F110" s="19" t="n">
        <f aca="false">D110*E110</f>
        <v>7200</v>
      </c>
      <c r="G110" s="20" t="s">
        <v>326</v>
      </c>
    </row>
    <row r="111" customFormat="false" ht="54.75" hidden="false" customHeight="true" outlineLevel="0" collapsed="false">
      <c r="A111" s="18" t="s">
        <v>327</v>
      </c>
      <c r="B111" s="17" t="s">
        <v>328</v>
      </c>
      <c r="C111" s="18" t="s">
        <v>329</v>
      </c>
      <c r="D111" s="19" t="n">
        <v>0</v>
      </c>
      <c r="E111" s="19" t="n">
        <v>2400</v>
      </c>
      <c r="F111" s="19" t="n">
        <f aca="false">D111*E111</f>
        <v>0</v>
      </c>
      <c r="G111" s="20" t="s">
        <v>330</v>
      </c>
    </row>
    <row r="112" customFormat="false" ht="80.25" hidden="false" customHeight="true" outlineLevel="0" collapsed="false">
      <c r="A112" s="18" t="s">
        <v>331</v>
      </c>
      <c r="B112" s="17" t="s">
        <v>332</v>
      </c>
      <c r="C112" s="18" t="s">
        <v>165</v>
      </c>
      <c r="D112" s="21" t="n">
        <f aca="false">Programme!$G$195</f>
        <v>8</v>
      </c>
      <c r="E112" s="19" t="n">
        <v>2000</v>
      </c>
      <c r="F112" s="19" t="n">
        <f aca="false">D112*E112</f>
        <v>16000</v>
      </c>
      <c r="G112" s="20" t="s">
        <v>333</v>
      </c>
    </row>
    <row r="113" customFormat="false" ht="54.75" hidden="false" customHeight="true" outlineLevel="0" collapsed="false">
      <c r="A113" s="18" t="s">
        <v>334</v>
      </c>
      <c r="B113" s="17" t="s">
        <v>335</v>
      </c>
      <c r="C113" s="18" t="s">
        <v>144</v>
      </c>
      <c r="D113" s="21" t="n">
        <f aca="false">Programme!$G$196</f>
        <v>12</v>
      </c>
      <c r="E113" s="19" t="n">
        <v>400</v>
      </c>
      <c r="F113" s="19" t="n">
        <f aca="false">D113*E113</f>
        <v>4800</v>
      </c>
      <c r="G113" s="20" t="s">
        <v>336</v>
      </c>
    </row>
    <row r="114" customFormat="false" ht="29.25" hidden="false" customHeight="true" outlineLevel="0" collapsed="false">
      <c r="A114" s="18" t="s">
        <v>337</v>
      </c>
      <c r="B114" s="17" t="s">
        <v>338</v>
      </c>
      <c r="C114" s="18" t="s">
        <v>165</v>
      </c>
      <c r="D114" s="19" t="n">
        <v>5</v>
      </c>
      <c r="E114" s="19" t="n">
        <v>400</v>
      </c>
      <c r="F114" s="19" t="n">
        <f aca="false">D114*E114</f>
        <v>2000</v>
      </c>
      <c r="G114" s="20" t="s">
        <v>145</v>
      </c>
    </row>
    <row r="115" customFormat="false" ht="54.75" hidden="false" customHeight="true" outlineLevel="0" collapsed="false">
      <c r="A115" s="18" t="s">
        <v>339</v>
      </c>
      <c r="B115" s="17" t="s">
        <v>340</v>
      </c>
      <c r="C115" s="18" t="s">
        <v>165</v>
      </c>
      <c r="D115" s="21" t="n">
        <f aca="false">Programme!$G$197</f>
        <v>5</v>
      </c>
      <c r="E115" s="19" t="n">
        <v>1000</v>
      </c>
      <c r="F115" s="19" t="n">
        <f aca="false">D115*E115</f>
        <v>5000</v>
      </c>
      <c r="G115" s="20" t="s">
        <v>341</v>
      </c>
    </row>
    <row r="116" customFormat="false" ht="29.25" hidden="false" customHeight="true" outlineLevel="0" collapsed="false">
      <c r="A116" s="18" t="s">
        <v>342</v>
      </c>
      <c r="B116" s="17" t="s">
        <v>343</v>
      </c>
      <c r="C116" s="18" t="s">
        <v>165</v>
      </c>
      <c r="D116" s="19" t="n">
        <v>4</v>
      </c>
      <c r="E116" s="19" t="n">
        <v>1000</v>
      </c>
      <c r="F116" s="19" t="n">
        <f aca="false">D116*E116</f>
        <v>4000</v>
      </c>
      <c r="G116" s="20" t="s">
        <v>145</v>
      </c>
    </row>
    <row r="117" customFormat="false" ht="29.25" hidden="false" customHeight="true" outlineLevel="0" collapsed="false">
      <c r="A117" s="18" t="s">
        <v>344</v>
      </c>
      <c r="B117" s="17" t="s">
        <v>345</v>
      </c>
      <c r="C117" s="18" t="s">
        <v>72</v>
      </c>
      <c r="D117" s="19" t="n">
        <v>6</v>
      </c>
      <c r="E117" s="19" t="n">
        <v>750</v>
      </c>
      <c r="F117" s="19" t="n">
        <f aca="false">D117*E117</f>
        <v>4500</v>
      </c>
      <c r="G117" s="20" t="s">
        <v>145</v>
      </c>
    </row>
    <row r="118" customFormat="false" ht="29.25" hidden="false" customHeight="true" outlineLevel="0" collapsed="false">
      <c r="A118" s="18" t="s">
        <v>346</v>
      </c>
      <c r="B118" s="17" t="s">
        <v>347</v>
      </c>
      <c r="C118" s="18" t="s">
        <v>304</v>
      </c>
      <c r="D118" s="19" t="n">
        <v>2</v>
      </c>
      <c r="E118" s="19" t="n">
        <v>750</v>
      </c>
      <c r="F118" s="19" t="n">
        <f aca="false">D118*E118</f>
        <v>1500</v>
      </c>
      <c r="G118" s="20" t="s">
        <v>145</v>
      </c>
    </row>
    <row r="119" customFormat="false" ht="67.5" hidden="false" customHeight="true" outlineLevel="0" collapsed="false">
      <c r="A119" s="18" t="s">
        <v>348</v>
      </c>
      <c r="B119" s="17" t="s">
        <v>349</v>
      </c>
      <c r="C119" s="18" t="s">
        <v>98</v>
      </c>
      <c r="D119" s="19" t="n">
        <v>1</v>
      </c>
      <c r="E119" s="19" t="n">
        <v>6000</v>
      </c>
      <c r="F119" s="19" t="n">
        <f aca="false">D119*E119</f>
        <v>6000</v>
      </c>
      <c r="G119" s="20" t="s">
        <v>350</v>
      </c>
    </row>
    <row r="120" customFormat="false" ht="29.25" hidden="false" customHeight="true" outlineLevel="0" collapsed="false">
      <c r="A120" s="18" t="s">
        <v>351</v>
      </c>
      <c r="B120" s="17" t="s">
        <v>352</v>
      </c>
      <c r="C120" s="18" t="s">
        <v>98</v>
      </c>
      <c r="D120" s="19" t="n">
        <v>0.5</v>
      </c>
      <c r="E120" s="19" t="n">
        <v>8000</v>
      </c>
      <c r="F120" s="19" t="n">
        <f aca="false">D120*E120</f>
        <v>4000</v>
      </c>
      <c r="G120" s="20" t="s">
        <v>145</v>
      </c>
    </row>
    <row r="121" customFormat="false" ht="67.5" hidden="false" customHeight="true" outlineLevel="0" collapsed="false">
      <c r="A121" s="18" t="s">
        <v>353</v>
      </c>
      <c r="B121" s="17" t="s">
        <v>354</v>
      </c>
      <c r="C121" s="18" t="s">
        <v>165</v>
      </c>
      <c r="D121" s="21" t="n">
        <f aca="false">Programme!$G$199</f>
        <v>4</v>
      </c>
      <c r="E121" s="19" t="n">
        <v>500</v>
      </c>
      <c r="F121" s="19" t="n">
        <f aca="false">D121*E121</f>
        <v>2000</v>
      </c>
      <c r="G121" s="20" t="s">
        <v>355</v>
      </c>
    </row>
    <row r="122" customFormat="false" ht="132" hidden="false" customHeight="true" outlineLevel="0" collapsed="false">
      <c r="A122" s="18" t="s">
        <v>356</v>
      </c>
      <c r="B122" s="17" t="s">
        <v>357</v>
      </c>
      <c r="C122" s="18" t="s">
        <v>148</v>
      </c>
      <c r="D122" s="19" t="n">
        <v>0</v>
      </c>
      <c r="E122" s="19" t="n">
        <v>0</v>
      </c>
      <c r="F122" s="19" t="n">
        <f aca="false">D122*E122</f>
        <v>0</v>
      </c>
      <c r="G122" s="20" t="s">
        <v>358</v>
      </c>
    </row>
    <row r="123" customFormat="false" ht="170.25" hidden="false" customHeight="true" outlineLevel="0" collapsed="false">
      <c r="A123" s="18" t="s">
        <v>359</v>
      </c>
      <c r="B123" s="17" t="s">
        <v>360</v>
      </c>
      <c r="C123" s="18" t="s">
        <v>214</v>
      </c>
      <c r="D123" s="21" t="n">
        <f aca="false">Programme!$G$198</f>
        <v>1020</v>
      </c>
      <c r="E123" s="19" t="n">
        <f aca="false">E100</f>
        <v>6</v>
      </c>
      <c r="F123" s="19" t="n">
        <f aca="false">D123*E123</f>
        <v>6120</v>
      </c>
      <c r="G123" s="20" t="s">
        <v>361</v>
      </c>
    </row>
    <row r="124" customFormat="false" ht="144.75" hidden="false" customHeight="true" outlineLevel="0" collapsed="false">
      <c r="A124" s="18" t="s">
        <v>362</v>
      </c>
      <c r="B124" s="17" t="s">
        <v>363</v>
      </c>
      <c r="C124" s="18" t="s">
        <v>209</v>
      </c>
      <c r="D124" s="19" t="n">
        <v>2</v>
      </c>
      <c r="E124" s="19" t="n">
        <v>2000</v>
      </c>
      <c r="F124" s="19" t="n">
        <f aca="false">D124*E124</f>
        <v>4000</v>
      </c>
      <c r="G124" s="20" t="s">
        <v>364</v>
      </c>
    </row>
    <row r="125" customFormat="false" ht="19.5" hidden="false" customHeight="true" outlineLevel="0" collapsed="false">
      <c r="A125" s="37"/>
      <c r="B125" s="25" t="s">
        <v>365</v>
      </c>
      <c r="C125" s="37"/>
      <c r="D125" s="37"/>
      <c r="E125" s="37"/>
      <c r="F125" s="39" t="n">
        <f aca="false">SUM(F100:F124)</f>
        <v>108976</v>
      </c>
      <c r="G125" s="37"/>
    </row>
    <row r="126" customFormat="false" ht="14.25" hidden="false" customHeight="false" outlineLevel="0" collapsed="false">
      <c r="A126" s="43"/>
      <c r="B126" s="44" t="s">
        <v>366</v>
      </c>
      <c r="C126" s="43"/>
      <c r="D126" s="43"/>
      <c r="E126" s="43"/>
      <c r="F126" s="45" t="n">
        <f aca="false">F125/2</f>
        <v>54488</v>
      </c>
      <c r="G126" s="40" t="s">
        <v>367</v>
      </c>
    </row>
    <row r="128" customFormat="false" ht="21" hidden="false" customHeight="true" outlineLevel="0" collapsed="false">
      <c r="A128" s="15" t="s">
        <v>368</v>
      </c>
      <c r="B128" s="15"/>
      <c r="C128" s="15"/>
      <c r="D128" s="15"/>
      <c r="E128" s="15"/>
      <c r="F128" s="15"/>
      <c r="G128" s="15"/>
    </row>
    <row r="129" customFormat="false" ht="96" hidden="false" customHeight="true" outlineLevel="0" collapsed="false">
      <c r="A129" s="11" t="s">
        <v>369</v>
      </c>
      <c r="B129" s="11"/>
      <c r="C129" s="11"/>
      <c r="D129" s="11"/>
      <c r="E129" s="11"/>
      <c r="F129" s="11"/>
      <c r="G129" s="11"/>
    </row>
    <row r="130" customFormat="false" ht="24" hidden="false" customHeight="true" outlineLevel="0" collapsed="false">
      <c r="A130" s="13" t="s">
        <v>94</v>
      </c>
      <c r="B130" s="13" t="s">
        <v>36</v>
      </c>
      <c r="C130" s="13" t="s">
        <v>37</v>
      </c>
      <c r="D130" s="13" t="s">
        <v>38</v>
      </c>
      <c r="E130" s="13" t="s">
        <v>39</v>
      </c>
      <c r="F130" s="13" t="s">
        <v>40</v>
      </c>
      <c r="G130" s="13" t="s">
        <v>95</v>
      </c>
    </row>
    <row r="131" customFormat="false" ht="93" hidden="false" customHeight="true" outlineLevel="0" collapsed="false">
      <c r="A131" s="18" t="s">
        <v>370</v>
      </c>
      <c r="B131" s="17" t="s">
        <v>371</v>
      </c>
      <c r="C131" s="18" t="s">
        <v>372</v>
      </c>
      <c r="D131" s="19" t="n">
        <v>200</v>
      </c>
      <c r="E131" s="19" t="n">
        <v>400</v>
      </c>
      <c r="F131" s="19" t="n">
        <f aca="false">D131*E131</f>
        <v>80000</v>
      </c>
      <c r="G131" s="20" t="s">
        <v>373</v>
      </c>
    </row>
    <row r="132" customFormat="false" ht="105.75" hidden="false" customHeight="true" outlineLevel="0" collapsed="false">
      <c r="A132" s="18" t="s">
        <v>374</v>
      </c>
      <c r="B132" s="17" t="s">
        <v>375</v>
      </c>
      <c r="C132" s="18" t="s">
        <v>372</v>
      </c>
      <c r="D132" s="19" t="n">
        <v>60</v>
      </c>
      <c r="E132" s="19" t="n">
        <v>120</v>
      </c>
      <c r="F132" s="19" t="n">
        <f aca="false">D132*E132</f>
        <v>7200</v>
      </c>
      <c r="G132" s="20" t="s">
        <v>376</v>
      </c>
    </row>
    <row r="133" customFormat="false" ht="80.25" hidden="false" customHeight="true" outlineLevel="0" collapsed="false">
      <c r="A133" s="18" t="s">
        <v>377</v>
      </c>
      <c r="B133" s="17" t="s">
        <v>378</v>
      </c>
      <c r="C133" s="18" t="s">
        <v>72</v>
      </c>
      <c r="D133" s="19" t="n">
        <v>10</v>
      </c>
      <c r="E133" s="19" t="n">
        <v>5500</v>
      </c>
      <c r="F133" s="19" t="n">
        <f aca="false">D133*E133</f>
        <v>55000</v>
      </c>
      <c r="G133" s="20" t="s">
        <v>379</v>
      </c>
    </row>
    <row r="134" customFormat="false" ht="29.25" hidden="false" customHeight="true" outlineLevel="0" collapsed="false">
      <c r="A134" s="18" t="s">
        <v>380</v>
      </c>
      <c r="B134" s="17" t="s">
        <v>381</v>
      </c>
      <c r="C134" s="18" t="s">
        <v>72</v>
      </c>
      <c r="D134" s="19" t="n">
        <v>4</v>
      </c>
      <c r="E134" s="19" t="n">
        <v>2500</v>
      </c>
      <c r="F134" s="19" t="n">
        <f aca="false">D134*E134</f>
        <v>10000</v>
      </c>
      <c r="G134" s="20" t="s">
        <v>145</v>
      </c>
    </row>
    <row r="135" customFormat="false" ht="29.25" hidden="false" customHeight="true" outlineLevel="0" collapsed="false">
      <c r="A135" s="18" t="s">
        <v>382</v>
      </c>
      <c r="B135" s="17" t="s">
        <v>383</v>
      </c>
      <c r="C135" s="18" t="s">
        <v>72</v>
      </c>
      <c r="D135" s="19" t="n">
        <v>8</v>
      </c>
      <c r="E135" s="19" t="n">
        <v>375</v>
      </c>
      <c r="F135" s="19" t="n">
        <f aca="false">D135*E135</f>
        <v>3000</v>
      </c>
      <c r="G135" s="20" t="s">
        <v>145</v>
      </c>
    </row>
    <row r="136" customFormat="false" ht="29.25" hidden="false" customHeight="true" outlineLevel="0" collapsed="false">
      <c r="A136" s="18" t="s">
        <v>384</v>
      </c>
      <c r="B136" s="17" t="s">
        <v>385</v>
      </c>
      <c r="C136" s="18" t="s">
        <v>386</v>
      </c>
      <c r="D136" s="19" t="n">
        <v>2</v>
      </c>
      <c r="E136" s="19" t="n">
        <v>3500</v>
      </c>
      <c r="F136" s="19" t="n">
        <f aca="false">D136*E136</f>
        <v>7000</v>
      </c>
      <c r="G136" s="20" t="s">
        <v>145</v>
      </c>
    </row>
    <row r="137" customFormat="false" ht="29.25" hidden="false" customHeight="true" outlineLevel="0" collapsed="false">
      <c r="A137" s="18" t="s">
        <v>387</v>
      </c>
      <c r="B137" s="17" t="s">
        <v>388</v>
      </c>
      <c r="C137" s="18" t="s">
        <v>72</v>
      </c>
      <c r="D137" s="19" t="n">
        <v>40</v>
      </c>
      <c r="E137" s="19" t="n">
        <v>250</v>
      </c>
      <c r="F137" s="19" t="n">
        <f aca="false">D137*E137</f>
        <v>10000</v>
      </c>
      <c r="G137" s="20" t="s">
        <v>145</v>
      </c>
    </row>
    <row r="138" customFormat="false" ht="29.25" hidden="false" customHeight="true" outlineLevel="0" collapsed="false">
      <c r="A138" s="18" t="s">
        <v>389</v>
      </c>
      <c r="B138" s="17" t="s">
        <v>390</v>
      </c>
      <c r="C138" s="18" t="s">
        <v>72</v>
      </c>
      <c r="D138" s="19" t="n">
        <v>8</v>
      </c>
      <c r="E138" s="19" t="n">
        <v>625</v>
      </c>
      <c r="F138" s="19" t="n">
        <f aca="false">D138*E138</f>
        <v>5000</v>
      </c>
      <c r="G138" s="20" t="s">
        <v>145</v>
      </c>
    </row>
    <row r="139" customFormat="false" ht="39" hidden="false" customHeight="true" outlineLevel="0" collapsed="false">
      <c r="A139" s="18" t="s">
        <v>391</v>
      </c>
      <c r="B139" s="17" t="s">
        <v>392</v>
      </c>
      <c r="C139" s="18" t="s">
        <v>72</v>
      </c>
      <c r="D139" s="19" t="n">
        <v>2</v>
      </c>
      <c r="E139" s="19" t="n">
        <v>3500</v>
      </c>
      <c r="F139" s="19" t="n">
        <f aca="false">D139*E139</f>
        <v>7000</v>
      </c>
      <c r="G139" s="20" t="s">
        <v>145</v>
      </c>
    </row>
    <row r="140" customFormat="false" ht="67.5" hidden="false" customHeight="true" outlineLevel="0" collapsed="false">
      <c r="A140" s="18" t="s">
        <v>393</v>
      </c>
      <c r="B140" s="17" t="s">
        <v>394</v>
      </c>
      <c r="C140" s="18" t="s">
        <v>72</v>
      </c>
      <c r="D140" s="19" t="n">
        <v>2</v>
      </c>
      <c r="E140" s="19" t="n">
        <v>4500</v>
      </c>
      <c r="F140" s="19" t="n">
        <f aca="false">D140*E140</f>
        <v>9000</v>
      </c>
      <c r="G140" s="20" t="s">
        <v>395</v>
      </c>
    </row>
    <row r="141" customFormat="false" ht="42" hidden="false" customHeight="true" outlineLevel="0" collapsed="false">
      <c r="A141" s="18" t="s">
        <v>396</v>
      </c>
      <c r="B141" s="17" t="s">
        <v>397</v>
      </c>
      <c r="C141" s="18" t="s">
        <v>372</v>
      </c>
      <c r="D141" s="19" t="n">
        <v>160</v>
      </c>
      <c r="E141" s="19" t="n">
        <v>25</v>
      </c>
      <c r="F141" s="19" t="n">
        <f aca="false">D141*E141</f>
        <v>4000</v>
      </c>
      <c r="G141" s="20" t="s">
        <v>398</v>
      </c>
    </row>
    <row r="142" customFormat="false" ht="29.25" hidden="false" customHeight="true" outlineLevel="0" collapsed="false">
      <c r="A142" s="18" t="s">
        <v>399</v>
      </c>
      <c r="B142" s="17" t="s">
        <v>400</v>
      </c>
      <c r="C142" s="18" t="s">
        <v>206</v>
      </c>
      <c r="D142" s="19" t="n">
        <v>2</v>
      </c>
      <c r="E142" s="19" t="n">
        <v>2500</v>
      </c>
      <c r="F142" s="19" t="n">
        <f aca="false">D142*E142</f>
        <v>5000</v>
      </c>
      <c r="G142" s="20" t="s">
        <v>145</v>
      </c>
    </row>
    <row r="143" customFormat="false" ht="29.25" hidden="false" customHeight="true" outlineLevel="0" collapsed="false">
      <c r="A143" s="18" t="s">
        <v>401</v>
      </c>
      <c r="B143" s="17" t="s">
        <v>402</v>
      </c>
      <c r="C143" s="18" t="s">
        <v>72</v>
      </c>
      <c r="D143" s="19" t="n">
        <v>2</v>
      </c>
      <c r="E143" s="19" t="n">
        <v>1500</v>
      </c>
      <c r="F143" s="19" t="n">
        <f aca="false">D143*E143</f>
        <v>3000</v>
      </c>
      <c r="G143" s="20" t="s">
        <v>145</v>
      </c>
    </row>
    <row r="144" customFormat="false" ht="54.75" hidden="false" customHeight="true" outlineLevel="0" collapsed="false">
      <c r="A144" s="18" t="s">
        <v>403</v>
      </c>
      <c r="B144" s="17" t="s">
        <v>404</v>
      </c>
      <c r="C144" s="18" t="s">
        <v>72</v>
      </c>
      <c r="D144" s="19" t="n">
        <v>2</v>
      </c>
      <c r="E144" s="19" t="n">
        <v>6000</v>
      </c>
      <c r="F144" s="19" t="n">
        <f aca="false">D144*E144</f>
        <v>12000</v>
      </c>
      <c r="G144" s="20" t="s">
        <v>405</v>
      </c>
    </row>
    <row r="145" customFormat="false" ht="29.25" hidden="false" customHeight="true" outlineLevel="0" collapsed="false">
      <c r="A145" s="18" t="s">
        <v>406</v>
      </c>
      <c r="B145" s="17" t="s">
        <v>407</v>
      </c>
      <c r="C145" s="18" t="s">
        <v>72</v>
      </c>
      <c r="D145" s="19" t="n">
        <v>2</v>
      </c>
      <c r="E145" s="19" t="n">
        <v>4000</v>
      </c>
      <c r="F145" s="19" t="n">
        <f aca="false">D145*E145</f>
        <v>8000</v>
      </c>
      <c r="G145" s="20" t="s">
        <v>145</v>
      </c>
    </row>
    <row r="146" customFormat="false" ht="29.25" hidden="false" customHeight="true" outlineLevel="0" collapsed="false">
      <c r="A146" s="18" t="s">
        <v>408</v>
      </c>
      <c r="B146" s="17" t="s">
        <v>409</v>
      </c>
      <c r="C146" s="18" t="s">
        <v>304</v>
      </c>
      <c r="D146" s="19" t="n">
        <v>2</v>
      </c>
      <c r="E146" s="19" t="n">
        <v>1500</v>
      </c>
      <c r="F146" s="19" t="n">
        <f aca="false">D146*E146</f>
        <v>3000</v>
      </c>
      <c r="G146" s="20" t="s">
        <v>145</v>
      </c>
    </row>
    <row r="147" customFormat="false" ht="29.25" hidden="false" customHeight="true" outlineLevel="0" collapsed="false">
      <c r="A147" s="18" t="s">
        <v>410</v>
      </c>
      <c r="B147" s="17" t="s">
        <v>411</v>
      </c>
      <c r="C147" s="18" t="s">
        <v>214</v>
      </c>
      <c r="D147" s="19" t="n">
        <v>300</v>
      </c>
      <c r="E147" s="19" t="n">
        <v>6</v>
      </c>
      <c r="F147" s="19" t="n">
        <f aca="false">D147*E147</f>
        <v>1800</v>
      </c>
      <c r="G147" s="20" t="s">
        <v>145</v>
      </c>
    </row>
    <row r="148" customFormat="false" ht="29.25" hidden="false" customHeight="true" outlineLevel="0" collapsed="false">
      <c r="A148" s="18" t="s">
        <v>412</v>
      </c>
      <c r="B148" s="17" t="s">
        <v>413</v>
      </c>
      <c r="C148" s="18" t="s">
        <v>144</v>
      </c>
      <c r="D148" s="19" t="n">
        <v>24</v>
      </c>
      <c r="E148" s="19" t="n">
        <v>150</v>
      </c>
      <c r="F148" s="19" t="n">
        <f aca="false">D148*E148</f>
        <v>3600</v>
      </c>
      <c r="G148" s="20" t="s">
        <v>145</v>
      </c>
    </row>
    <row r="149" customFormat="false" ht="29.25" hidden="false" customHeight="true" outlineLevel="0" collapsed="false">
      <c r="A149" s="18" t="s">
        <v>414</v>
      </c>
      <c r="B149" s="17" t="s">
        <v>415</v>
      </c>
      <c r="C149" s="18" t="s">
        <v>416</v>
      </c>
      <c r="D149" s="19" t="n">
        <v>2</v>
      </c>
      <c r="E149" s="19" t="n">
        <v>1800</v>
      </c>
      <c r="F149" s="19" t="n">
        <f aca="false">D149*E149</f>
        <v>3600</v>
      </c>
      <c r="G149" s="20" t="s">
        <v>145</v>
      </c>
    </row>
    <row r="150" customFormat="false" ht="29.25" hidden="false" customHeight="true" outlineLevel="0" collapsed="false">
      <c r="A150" s="18" t="s">
        <v>417</v>
      </c>
      <c r="B150" s="17" t="s">
        <v>418</v>
      </c>
      <c r="C150" s="18" t="s">
        <v>372</v>
      </c>
      <c r="D150" s="19" t="n">
        <v>260</v>
      </c>
      <c r="E150" s="19" t="n">
        <v>20</v>
      </c>
      <c r="F150" s="19" t="n">
        <f aca="false">D150*E150</f>
        <v>5200</v>
      </c>
      <c r="G150" s="20" t="s">
        <v>145</v>
      </c>
    </row>
    <row r="151" customFormat="false" ht="54" hidden="false" customHeight="true" outlineLevel="0" collapsed="false">
      <c r="A151" s="18" t="s">
        <v>419</v>
      </c>
      <c r="B151" s="17" t="s">
        <v>420</v>
      </c>
      <c r="C151" s="18" t="s">
        <v>72</v>
      </c>
      <c r="D151" s="19" t="n">
        <v>70</v>
      </c>
      <c r="E151" s="19" t="n">
        <v>40</v>
      </c>
      <c r="F151" s="19" t="n">
        <f aca="false">D151*E151</f>
        <v>2800</v>
      </c>
      <c r="G151" s="20" t="s">
        <v>421</v>
      </c>
    </row>
    <row r="152" customFormat="false" ht="19.5" hidden="false" customHeight="true" outlineLevel="0" collapsed="false">
      <c r="A152" s="37"/>
      <c r="B152" s="38" t="s">
        <v>422</v>
      </c>
      <c r="C152" s="37"/>
      <c r="D152" s="37"/>
      <c r="E152" s="37"/>
      <c r="F152" s="39" t="n">
        <f aca="false">SUM(F131:F151)</f>
        <v>245200</v>
      </c>
      <c r="G152" s="40" t="s">
        <v>423</v>
      </c>
    </row>
    <row r="153" customFormat="false" ht="18" hidden="false" customHeight="true" outlineLevel="0" collapsed="false">
      <c r="B153" s="41" t="s">
        <v>424</v>
      </c>
    </row>
    <row r="154" customFormat="false" ht="118.5" hidden="false" customHeight="true" outlineLevel="0" collapsed="false">
      <c r="A154" s="18" t="s">
        <v>425</v>
      </c>
      <c r="B154" s="17" t="s">
        <v>426</v>
      </c>
      <c r="C154" s="18" t="s">
        <v>372</v>
      </c>
      <c r="D154" s="19" t="n">
        <f aca="false">D131</f>
        <v>200</v>
      </c>
      <c r="E154" s="19" t="n">
        <v>280</v>
      </c>
      <c r="F154" s="19" t="n">
        <f aca="false">D154*E154</f>
        <v>56000</v>
      </c>
      <c r="G154" s="20" t="s">
        <v>427</v>
      </c>
    </row>
    <row r="155" customFormat="false" ht="42" hidden="false" customHeight="true" outlineLevel="0" collapsed="false">
      <c r="A155" s="18" t="s">
        <v>428</v>
      </c>
      <c r="B155" s="17" t="s">
        <v>429</v>
      </c>
      <c r="C155" s="18" t="s">
        <v>372</v>
      </c>
      <c r="D155" s="19" t="n">
        <f aca="false">D132</f>
        <v>60</v>
      </c>
      <c r="E155" s="19" t="n">
        <f aca="false">E132</f>
        <v>120</v>
      </c>
      <c r="F155" s="19" t="n">
        <f aca="false">D155*E155</f>
        <v>7200</v>
      </c>
      <c r="G155" s="20" t="s">
        <v>430</v>
      </c>
    </row>
    <row r="156" customFormat="false" ht="54.75" hidden="false" customHeight="true" outlineLevel="0" collapsed="false">
      <c r="A156" s="18" t="s">
        <v>431</v>
      </c>
      <c r="B156" s="17" t="s">
        <v>432</v>
      </c>
      <c r="C156" s="18" t="s">
        <v>72</v>
      </c>
      <c r="D156" s="19" t="n">
        <v>1</v>
      </c>
      <c r="E156" s="19" t="n">
        <v>6500</v>
      </c>
      <c r="F156" s="19" t="n">
        <f aca="false">D156*E156</f>
        <v>6500</v>
      </c>
      <c r="G156" s="20" t="s">
        <v>433</v>
      </c>
    </row>
    <row r="157" customFormat="false" ht="67.5" hidden="false" customHeight="true" outlineLevel="0" collapsed="false">
      <c r="A157" s="18" t="s">
        <v>434</v>
      </c>
      <c r="B157" s="17" t="s">
        <v>435</v>
      </c>
      <c r="C157" s="18" t="s">
        <v>72</v>
      </c>
      <c r="D157" s="19" t="n">
        <v>1</v>
      </c>
      <c r="E157" s="19" t="n">
        <v>14000</v>
      </c>
      <c r="F157" s="19" t="n">
        <f aca="false">D157*E157</f>
        <v>14000</v>
      </c>
      <c r="G157" s="20" t="s">
        <v>436</v>
      </c>
    </row>
    <row r="158" customFormat="false" ht="42" hidden="false" customHeight="true" outlineLevel="0" collapsed="false">
      <c r="A158" s="18" t="s">
        <v>437</v>
      </c>
      <c r="B158" s="17" t="s">
        <v>438</v>
      </c>
      <c r="C158" s="18" t="s">
        <v>72</v>
      </c>
      <c r="D158" s="19" t="n">
        <f aca="false">D133-2</f>
        <v>8</v>
      </c>
      <c r="E158" s="19" t="n">
        <f aca="false">E133</f>
        <v>5500</v>
      </c>
      <c r="F158" s="19" t="n">
        <f aca="false">D158*E158</f>
        <v>44000</v>
      </c>
      <c r="G158" s="20" t="s">
        <v>439</v>
      </c>
    </row>
    <row r="159" customFormat="false" ht="14.25" hidden="false" customHeight="false" outlineLevel="0" collapsed="false">
      <c r="B159" s="41" t="s">
        <v>440</v>
      </c>
      <c r="F159" s="42" t="n">
        <f aca="false">SUM(F154:F158)</f>
        <v>127700</v>
      </c>
    </row>
    <row r="160" customFormat="false" ht="14.25" hidden="false" customHeight="false" outlineLevel="0" collapsed="false">
      <c r="B160" s="41" t="s">
        <v>441</v>
      </c>
      <c r="F160" s="42" t="n">
        <f aca="false">F131+F132+F133</f>
        <v>142200</v>
      </c>
    </row>
    <row r="161" customFormat="false" ht="30" hidden="false" customHeight="true" outlineLevel="0" collapsed="false">
      <c r="B161" s="41" t="s">
        <v>442</v>
      </c>
      <c r="F161" s="42" t="n">
        <f aca="false">F160-F159</f>
        <v>14500</v>
      </c>
    </row>
    <row r="163" customFormat="false" ht="21" hidden="false" customHeight="true" outlineLevel="0" collapsed="false">
      <c r="A163" s="15" t="s">
        <v>443</v>
      </c>
      <c r="B163" s="15"/>
      <c r="C163" s="15"/>
      <c r="D163" s="15"/>
      <c r="E163" s="15"/>
      <c r="F163" s="15"/>
      <c r="G163" s="15"/>
    </row>
    <row r="164" customFormat="false" ht="37.5" hidden="false" customHeight="true" outlineLevel="0" collapsed="false">
      <c r="A164" s="46" t="s">
        <v>444</v>
      </c>
      <c r="B164" s="46"/>
      <c r="C164" s="46"/>
      <c r="D164" s="46"/>
      <c r="E164" s="46"/>
      <c r="F164" s="46"/>
      <c r="G164" s="46"/>
    </row>
    <row r="165" customFormat="false" ht="49.5" hidden="false" customHeight="true" outlineLevel="0" collapsed="false">
      <c r="A165" s="46" t="s">
        <v>445</v>
      </c>
      <c r="B165" s="46"/>
      <c r="C165" s="46"/>
      <c r="D165" s="46"/>
      <c r="E165" s="46"/>
      <c r="F165" s="46"/>
      <c r="G165" s="46"/>
    </row>
    <row r="166" customFormat="false" ht="63" hidden="false" customHeight="true" outlineLevel="0" collapsed="false">
      <c r="A166" s="46" t="s">
        <v>446</v>
      </c>
      <c r="B166" s="46"/>
      <c r="C166" s="46"/>
      <c r="D166" s="46"/>
      <c r="E166" s="46"/>
      <c r="F166" s="46"/>
      <c r="G166" s="46"/>
    </row>
    <row r="167" customFormat="false" ht="38.25" hidden="false" customHeight="true" outlineLevel="0" collapsed="false">
      <c r="A167" s="46" t="s">
        <v>447</v>
      </c>
      <c r="B167" s="46"/>
      <c r="C167" s="46"/>
      <c r="D167" s="46"/>
      <c r="E167" s="46"/>
      <c r="F167" s="46"/>
      <c r="G167" s="46"/>
    </row>
    <row r="168" customFormat="false" ht="36.75" hidden="false" customHeight="true" outlineLevel="0" collapsed="false">
      <c r="A168" s="46" t="s">
        <v>448</v>
      </c>
      <c r="B168" s="46"/>
      <c r="C168" s="46"/>
      <c r="D168" s="46"/>
      <c r="E168" s="46"/>
      <c r="F168" s="46"/>
      <c r="G168" s="46"/>
    </row>
    <row r="169" customFormat="false" ht="37.5" hidden="false" customHeight="true" outlineLevel="0" collapsed="false">
      <c r="A169" s="46" t="s">
        <v>449</v>
      </c>
      <c r="B169" s="46"/>
      <c r="C169" s="46"/>
      <c r="D169" s="46"/>
      <c r="E169" s="46"/>
      <c r="F169" s="46"/>
      <c r="G169" s="46"/>
    </row>
    <row r="170" customFormat="false" ht="21" hidden="false" customHeight="true" outlineLevel="0" collapsed="false">
      <c r="A170" s="46" t="s">
        <v>450</v>
      </c>
      <c r="B170" s="46"/>
      <c r="C170" s="46"/>
      <c r="D170" s="46"/>
      <c r="E170" s="46"/>
      <c r="F170" s="46"/>
      <c r="G170" s="46"/>
    </row>
    <row r="171" customFormat="false" ht="21" hidden="false" customHeight="true" outlineLevel="0" collapsed="false">
      <c r="A171" s="46" t="s">
        <v>451</v>
      </c>
      <c r="B171" s="46"/>
      <c r="C171" s="46"/>
      <c r="D171" s="46"/>
      <c r="E171" s="46"/>
      <c r="F171" s="46"/>
      <c r="G171" s="46"/>
    </row>
    <row r="172" customFormat="false" ht="150" hidden="false" customHeight="true" outlineLevel="0" collapsed="false">
      <c r="A172" s="46" t="s">
        <v>452</v>
      </c>
      <c r="B172" s="46"/>
      <c r="C172" s="46"/>
      <c r="D172" s="46"/>
      <c r="E172" s="46"/>
      <c r="F172" s="46"/>
      <c r="G172" s="46"/>
    </row>
  </sheetData>
  <mergeCells count="27">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8:G128"/>
    <mergeCell ref="A129:G129"/>
    <mergeCell ref="A163:G163"/>
    <mergeCell ref="A164:G164"/>
    <mergeCell ref="A165:G165"/>
    <mergeCell ref="A166:G166"/>
    <mergeCell ref="A167:G167"/>
    <mergeCell ref="A168:G168"/>
    <mergeCell ref="A169:G169"/>
    <mergeCell ref="A170:G170"/>
    <mergeCell ref="A171:G171"/>
    <mergeCell ref="A172:G172"/>
  </mergeCells>
  <hyperlinks>
    <hyperlink ref="B5" location="'Assessment'!A1"/>
    <hyperlink ref="G5" location="'Programme'!A1"/>
    <hyperlink ref="D9" location="'Programme'!A165"/>
    <hyperlink ref="D10" location="'Programme'!A166"/>
    <hyperlink ref="D11" location="'Programme'!A167"/>
    <hyperlink ref="D12" location="'Programme'!A168"/>
    <hyperlink ref="D13" location="'Programme'!A169"/>
    <hyperlink ref="D14" location="'Programme'!A170"/>
    <hyperlink ref="D15" location="'Programme'!A171"/>
    <hyperlink ref="D16" location="'Programme'!A172"/>
    <hyperlink ref="D17" location="'Programme'!A173"/>
    <hyperlink ref="D18" location="'Programme'!A174"/>
    <hyperlink ref="D19" location="'Programme'!A176"/>
    <hyperlink ref="D20" location="'Programme'!A177"/>
    <hyperlink ref="D21" location="'Programme'!A178"/>
    <hyperlink ref="B32" location="'Assessment'!A8"/>
    <hyperlink ref="G32" location="'Assessment'!A8"/>
    <hyperlink ref="B41" location="'Assessment'!A10"/>
    <hyperlink ref="G41" location="'Assessment'!A10"/>
    <hyperlink ref="B47" location="'Assessment'!A12"/>
    <hyperlink ref="G47" location="'Assessment'!A12"/>
    <hyperlink ref="B69" location="'Assessment'!A13"/>
    <hyperlink ref="G69" location="'Assessment'!A13"/>
    <hyperlink ref="D74" location="'Programme'!A179"/>
    <hyperlink ref="D75" location="'Programme'!A180"/>
    <hyperlink ref="D77" location="'Programme'!A181"/>
    <hyperlink ref="D79" location="'Programme'!A182"/>
    <hyperlink ref="D80" location="'Programme'!A183"/>
    <hyperlink ref="D81" location="'Programme'!A184"/>
    <hyperlink ref="D82" location="'Programme'!A185"/>
    <hyperlink ref="D83" location="'Programme'!A186"/>
    <hyperlink ref="D84" location="'Programme'!A187"/>
    <hyperlink ref="D87" location="'Programme'!A188"/>
    <hyperlink ref="B89" location="'Assessment'!A14"/>
    <hyperlink ref="G89" location="'Assessment'!A14"/>
    <hyperlink ref="B95" location="'Assessment'!A16"/>
    <hyperlink ref="G95" location="'Assessment'!A16"/>
    <hyperlink ref="D100" location="'Programme'!A189"/>
    <hyperlink ref="D101" location="'Programme'!A190"/>
    <hyperlink ref="D102" location="'Programme'!A191"/>
    <hyperlink ref="D104" location="'Programme'!A193"/>
    <hyperlink ref="D107" location="'Programme'!B103"/>
    <hyperlink ref="D112" location="'Programme'!A195"/>
    <hyperlink ref="D113" location="'Programme'!A196"/>
    <hyperlink ref="D115" location="'Programme'!A197"/>
    <hyperlink ref="D121" location="'Programme'!A199"/>
    <hyperlink ref="D123" location="'Programme'!A198"/>
    <hyperlink ref="B126" location="'Assessment'!A17"/>
    <hyperlink ref="G126" location="'Assessment'!A17"/>
    <hyperlink ref="B152" location="'Assessment'!A18"/>
    <hyperlink ref="G152" location="'Assessment'!A18"/>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453</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454</v>
      </c>
      <c r="B4" s="11"/>
      <c r="C4" s="11"/>
      <c r="D4" s="11"/>
      <c r="E4" s="11"/>
      <c r="F4" s="11"/>
      <c r="G4" s="11"/>
      <c r="H4" s="11"/>
    </row>
    <row r="6" customFormat="false" ht="21" hidden="false" customHeight="true" outlineLevel="0" collapsed="false">
      <c r="A6" s="15" t="s">
        <v>455</v>
      </c>
      <c r="B6" s="15"/>
      <c r="C6" s="15"/>
      <c r="D6" s="15"/>
      <c r="E6" s="15"/>
      <c r="F6" s="15"/>
      <c r="G6" s="15"/>
      <c r="H6" s="15"/>
    </row>
    <row r="7" customFormat="false" ht="31.5" hidden="false" customHeight="true" outlineLevel="0" collapsed="false">
      <c r="A7" s="13" t="s">
        <v>35</v>
      </c>
      <c r="B7" s="47" t="s">
        <v>36</v>
      </c>
      <c r="C7" s="47"/>
      <c r="D7" s="47"/>
      <c r="E7" s="13" t="s">
        <v>456</v>
      </c>
      <c r="F7" s="48" t="s">
        <v>457</v>
      </c>
      <c r="G7" s="13" t="s">
        <v>458</v>
      </c>
      <c r="H7" s="13" t="s">
        <v>459</v>
      </c>
    </row>
    <row r="8" customFormat="false" ht="42" hidden="false" customHeight="true" outlineLevel="0" collapsed="false">
      <c r="A8" s="18" t="s">
        <v>460</v>
      </c>
      <c r="B8" s="49" t="s">
        <v>461</v>
      </c>
      <c r="C8" s="49"/>
      <c r="D8" s="49"/>
      <c r="E8" s="19" t="n">
        <f aca="false">Assessment!$F$8</f>
        <v>680000</v>
      </c>
      <c r="F8" s="22" t="n">
        <f aca="false">Assessment!$K$8</f>
        <v>319680.56</v>
      </c>
      <c r="G8" s="19" t="n">
        <f aca="false">E8-F8</f>
        <v>360319.44</v>
      </c>
      <c r="H8" s="20" t="s">
        <v>462</v>
      </c>
    </row>
    <row r="9" customFormat="false" ht="42" hidden="false" customHeight="true" outlineLevel="0" collapsed="false">
      <c r="A9" s="18" t="s">
        <v>463</v>
      </c>
      <c r="B9" s="49" t="s">
        <v>464</v>
      </c>
      <c r="C9" s="49"/>
      <c r="D9" s="49"/>
      <c r="E9" s="19" t="n">
        <f aca="false">Assessment!$F$14</f>
        <v>504192.02</v>
      </c>
      <c r="F9" s="22" t="n">
        <f aca="false">Assessment!$K$14</f>
        <v>338850</v>
      </c>
      <c r="G9" s="19" t="n">
        <f aca="false">E9-F9</f>
        <v>165342.02</v>
      </c>
      <c r="H9" s="20" t="s">
        <v>465</v>
      </c>
    </row>
    <row r="10" customFormat="false" ht="42" hidden="false" customHeight="true" outlineLevel="0" collapsed="false">
      <c r="A10" s="18" t="s">
        <v>466</v>
      </c>
      <c r="B10" s="49" t="s">
        <v>467</v>
      </c>
      <c r="C10" s="49"/>
      <c r="D10" s="49"/>
      <c r="E10" s="19" t="n">
        <f aca="false">Assessment!$F$17</f>
        <v>426400</v>
      </c>
      <c r="F10" s="22" t="n">
        <f aca="false">Assessment!$K$17</f>
        <v>108976</v>
      </c>
      <c r="G10" s="19" t="n">
        <f aca="false">E10-F10</f>
        <v>317424</v>
      </c>
      <c r="H10" s="20" t="s">
        <v>468</v>
      </c>
    </row>
    <row r="11" customFormat="false" ht="42" hidden="false" customHeight="true" outlineLevel="0" collapsed="false">
      <c r="A11" s="18" t="s">
        <v>469</v>
      </c>
      <c r="B11" s="49" t="s">
        <v>470</v>
      </c>
      <c r="C11" s="49"/>
      <c r="D11" s="49"/>
      <c r="E11" s="19" t="n">
        <f aca="false">Assessment!$F$18</f>
        <v>420000</v>
      </c>
      <c r="F11" s="22" t="n">
        <f aca="false">Assessment!$K$18</f>
        <v>245200</v>
      </c>
      <c r="G11" s="19" t="n">
        <f aca="false">E11-F11</f>
        <v>174800</v>
      </c>
      <c r="H11" s="20" t="s">
        <v>471</v>
      </c>
    </row>
    <row r="12" customFormat="false" ht="24" hidden="false" customHeight="true" outlineLevel="0" collapsed="false">
      <c r="A12" s="25"/>
      <c r="B12" s="25" t="s">
        <v>472</v>
      </c>
      <c r="C12" s="25"/>
      <c r="D12" s="25"/>
      <c r="E12" s="26" t="n">
        <f aca="false">SUM(E8:E11)</f>
        <v>2030592.02</v>
      </c>
      <c r="F12" s="27" t="n">
        <f aca="false">SUM(F8:F11)</f>
        <v>1012706.56</v>
      </c>
      <c r="G12" s="26" t="n">
        <f aca="false">E12-F12</f>
        <v>1017885.46</v>
      </c>
      <c r="H12" s="50" t="s">
        <v>473</v>
      </c>
    </row>
    <row r="13" customFormat="false" ht="18.75" hidden="false" customHeight="true" outlineLevel="0" collapsed="false">
      <c r="A13" s="51" t="s">
        <v>474</v>
      </c>
      <c r="B13" s="51"/>
      <c r="C13" s="51"/>
      <c r="D13" s="51"/>
      <c r="E13" s="51"/>
      <c r="F13" s="51"/>
      <c r="G13" s="51"/>
      <c r="H13" s="51"/>
    </row>
    <row r="15" customFormat="false" ht="21" hidden="false" customHeight="true" outlineLevel="0" collapsed="false">
      <c r="A15" s="15" t="s">
        <v>475</v>
      </c>
      <c r="B15" s="15"/>
      <c r="C15" s="15"/>
      <c r="D15" s="15"/>
      <c r="E15" s="15"/>
      <c r="F15" s="15"/>
      <c r="G15" s="15"/>
      <c r="H15" s="15"/>
    </row>
    <row r="16" customFormat="false" ht="31.5" hidden="false" customHeight="true" outlineLevel="0" collapsed="false">
      <c r="A16" s="51" t="s">
        <v>476</v>
      </c>
      <c r="B16" s="51"/>
      <c r="C16" s="51"/>
      <c r="D16" s="51"/>
      <c r="E16" s="51"/>
      <c r="F16" s="51"/>
      <c r="G16" s="51"/>
      <c r="H16" s="51"/>
    </row>
    <row r="17" customFormat="false" ht="18.75" hidden="false" customHeight="true" outlineLevel="0" collapsed="false">
      <c r="A17" s="51" t="s">
        <v>477</v>
      </c>
      <c r="B17" s="51"/>
      <c r="C17" s="51"/>
      <c r="D17" s="51"/>
      <c r="E17" s="51"/>
      <c r="F17" s="51"/>
      <c r="G17" s="51"/>
      <c r="H17" s="51"/>
    </row>
    <row r="18" customFormat="false" ht="18.75" hidden="false" customHeight="true" outlineLevel="0" collapsed="false">
      <c r="A18" s="51" t="s">
        <v>478</v>
      </c>
      <c r="B18" s="51"/>
      <c r="C18" s="51"/>
      <c r="D18" s="51"/>
      <c r="E18" s="51"/>
      <c r="F18" s="51"/>
      <c r="G18" s="51"/>
      <c r="H18" s="51"/>
    </row>
    <row r="19" customFormat="false" ht="18.75" hidden="false" customHeight="true" outlineLevel="0" collapsed="false">
      <c r="A19" s="51" t="s">
        <v>479</v>
      </c>
      <c r="B19" s="51"/>
      <c r="C19" s="51"/>
      <c r="D19" s="51"/>
      <c r="E19" s="51"/>
      <c r="F19" s="51"/>
      <c r="G19" s="51"/>
      <c r="H19" s="51"/>
    </row>
    <row r="20" customFormat="false" ht="31.5" hidden="false" customHeight="true" outlineLevel="0" collapsed="false">
      <c r="A20" s="51" t="s">
        <v>480</v>
      </c>
      <c r="B20" s="51"/>
      <c r="C20" s="51"/>
      <c r="D20" s="51"/>
      <c r="E20" s="51"/>
      <c r="F20" s="51"/>
      <c r="G20" s="51"/>
      <c r="H20" s="51"/>
    </row>
    <row r="22" customFormat="false" ht="21" hidden="false" customHeight="true" outlineLevel="0" collapsed="false">
      <c r="A22" s="15" t="s">
        <v>481</v>
      </c>
      <c r="B22" s="15"/>
      <c r="C22" s="15"/>
      <c r="D22" s="15"/>
      <c r="E22" s="15"/>
      <c r="F22" s="15"/>
      <c r="G22" s="15"/>
      <c r="H22" s="15"/>
    </row>
    <row r="23" customFormat="false" ht="31.5" hidden="false" customHeight="true" outlineLevel="0" collapsed="false">
      <c r="A23" s="11" t="s">
        <v>482</v>
      </c>
      <c r="B23" s="11"/>
      <c r="C23" s="11"/>
      <c r="D23" s="11"/>
      <c r="E23" s="11"/>
      <c r="F23" s="11"/>
      <c r="G23" s="11"/>
      <c r="H23" s="11"/>
    </row>
    <row r="24" customFormat="false" ht="31.5" hidden="false" customHeight="true" outlineLevel="0" collapsed="false">
      <c r="A24" s="13" t="s">
        <v>94</v>
      </c>
      <c r="B24" s="13" t="s">
        <v>483</v>
      </c>
      <c r="C24" s="13" t="s">
        <v>484</v>
      </c>
      <c r="D24" s="13" t="s">
        <v>485</v>
      </c>
      <c r="E24" s="13" t="s">
        <v>486</v>
      </c>
      <c r="F24" s="48" t="s">
        <v>457</v>
      </c>
      <c r="G24" s="13" t="s">
        <v>458</v>
      </c>
      <c r="H24" s="13" t="s">
        <v>487</v>
      </c>
    </row>
    <row r="25" customFormat="false" ht="103.5" hidden="false" customHeight="true" outlineLevel="0" collapsed="false">
      <c r="A25" s="18" t="s">
        <v>96</v>
      </c>
      <c r="B25" s="17" t="s">
        <v>488</v>
      </c>
      <c r="C25" s="20" t="s">
        <v>489</v>
      </c>
      <c r="D25" s="52" t="n">
        <v>0.240964</v>
      </c>
      <c r="E25" s="19" t="n">
        <v>163855.52</v>
      </c>
      <c r="F25" s="22" t="n">
        <f aca="false">'Build-Up'!$F$22</f>
        <v>6250</v>
      </c>
      <c r="G25" s="19" t="n">
        <f aca="false">E25-F25</f>
        <v>157605.52</v>
      </c>
      <c r="H25" s="20" t="s">
        <v>490</v>
      </c>
    </row>
    <row r="26" customFormat="false" ht="51.75" hidden="false" customHeight="true" outlineLevel="0" collapsed="false">
      <c r="A26" s="18" t="s">
        <v>100</v>
      </c>
      <c r="B26" s="17" t="s">
        <v>491</v>
      </c>
      <c r="C26" s="20" t="s">
        <v>492</v>
      </c>
      <c r="D26" s="52" t="n">
        <v>0.072289</v>
      </c>
      <c r="E26" s="19" t="n">
        <v>49156.52</v>
      </c>
      <c r="F26" s="22" t="n">
        <f aca="false">'Build-Up'!$F$14+'Build-Up'!$F$15+'Build-Up'!$F$16</f>
        <v>23370</v>
      </c>
      <c r="G26" s="19" t="n">
        <f aca="false">E26-F26</f>
        <v>25786.52</v>
      </c>
      <c r="H26" s="20" t="s">
        <v>493</v>
      </c>
    </row>
    <row r="27" customFormat="false" ht="51.75" hidden="false" customHeight="true" outlineLevel="0" collapsed="false">
      <c r="A27" s="18" t="s">
        <v>103</v>
      </c>
      <c r="B27" s="17" t="s">
        <v>494</v>
      </c>
      <c r="C27" s="20" t="s">
        <v>495</v>
      </c>
      <c r="D27" s="52" t="n">
        <v>0.096386</v>
      </c>
      <c r="E27" s="19" t="n">
        <v>65542.48</v>
      </c>
      <c r="F27" s="22" t="n">
        <f aca="false">'Build-Up'!$F$28+'Build-Up'!$F$29</f>
        <v>27755.56</v>
      </c>
      <c r="G27" s="19" t="n">
        <f aca="false">E27-F27</f>
        <v>37786.92</v>
      </c>
      <c r="H27" s="20" t="s">
        <v>496</v>
      </c>
    </row>
    <row r="28" customFormat="false" ht="64.5" hidden="false" customHeight="true" outlineLevel="0" collapsed="false">
      <c r="A28" s="18" t="s">
        <v>106</v>
      </c>
      <c r="B28" s="17" t="s">
        <v>497</v>
      </c>
      <c r="C28" s="20" t="s">
        <v>498</v>
      </c>
      <c r="D28" s="52" t="n">
        <v>0.144578</v>
      </c>
      <c r="E28" s="19" t="n">
        <v>98313.04</v>
      </c>
      <c r="F28" s="22" t="n">
        <f aca="false">'Build-Up'!$F$20</f>
        <v>16400</v>
      </c>
      <c r="G28" s="19" t="n">
        <f aca="false">E28-F28</f>
        <v>81913.04</v>
      </c>
      <c r="H28" s="20" t="s">
        <v>499</v>
      </c>
    </row>
    <row r="29" customFormat="false" ht="78" hidden="false" customHeight="true" outlineLevel="0" collapsed="false">
      <c r="A29" s="18" t="s">
        <v>109</v>
      </c>
      <c r="B29" s="17" t="s">
        <v>500</v>
      </c>
      <c r="C29" s="20" t="s">
        <v>501</v>
      </c>
      <c r="D29" s="52" t="n">
        <v>0.096386</v>
      </c>
      <c r="E29" s="19" t="n">
        <v>65542.48</v>
      </c>
      <c r="F29" s="22" t="n">
        <f aca="false">'Build-Up'!$F$17+'Build-Up'!$F$18</f>
        <v>14035</v>
      </c>
      <c r="G29" s="19" t="n">
        <f aca="false">E29-F29</f>
        <v>51507.48</v>
      </c>
      <c r="H29" s="20" t="s">
        <v>502</v>
      </c>
    </row>
    <row r="30" customFormat="false" ht="78" hidden="false" customHeight="true" outlineLevel="0" collapsed="false">
      <c r="A30" s="18" t="s">
        <v>112</v>
      </c>
      <c r="B30" s="17" t="s">
        <v>503</v>
      </c>
      <c r="C30" s="20" t="s">
        <v>504</v>
      </c>
      <c r="D30" s="52" t="n">
        <v>0.084337</v>
      </c>
      <c r="E30" s="19" t="n">
        <v>57349.16</v>
      </c>
      <c r="F30" s="22" t="n">
        <f aca="false">'Build-Up'!$F$10+'Build-Up'!$F$25+'Build-Up'!$F$26+'Build-Up'!$F$27</f>
        <v>62800</v>
      </c>
      <c r="G30" s="19" t="n">
        <f aca="false">E30-F30</f>
        <v>-5450.84</v>
      </c>
      <c r="H30" s="20" t="s">
        <v>505</v>
      </c>
    </row>
    <row r="31" customFormat="false" ht="90.75" hidden="false" customHeight="true" outlineLevel="0" collapsed="false">
      <c r="A31" s="18" t="s">
        <v>115</v>
      </c>
      <c r="B31" s="17" t="s">
        <v>506</v>
      </c>
      <c r="C31" s="20" t="s">
        <v>507</v>
      </c>
      <c r="D31" s="52" t="n">
        <v>0.120482</v>
      </c>
      <c r="E31" s="19" t="n">
        <v>81927.76</v>
      </c>
      <c r="F31" s="22" t="n">
        <f aca="false">'Build-Up'!$F$30+'Build-Up'!$F$31</f>
        <v>3650</v>
      </c>
      <c r="G31" s="19" t="n">
        <f aca="false">E31-F31</f>
        <v>78277.76</v>
      </c>
      <c r="H31" s="20" t="s">
        <v>508</v>
      </c>
    </row>
    <row r="32" customFormat="false" ht="42" hidden="false" customHeight="true" outlineLevel="0" collapsed="false">
      <c r="A32" s="18" t="s">
        <v>117</v>
      </c>
      <c r="B32" s="17" t="s">
        <v>509</v>
      </c>
      <c r="C32" s="20" t="s">
        <v>510</v>
      </c>
      <c r="D32" s="52" t="n">
        <v>0.144578</v>
      </c>
      <c r="E32" s="19" t="n">
        <v>98313.04</v>
      </c>
      <c r="F32" s="22" t="n">
        <f aca="false">'Build-Up'!$F$23+'Build-Up'!$F$24</f>
        <v>8050</v>
      </c>
      <c r="G32" s="19" t="n">
        <f aca="false">E32-F32</f>
        <v>90263.04</v>
      </c>
      <c r="H32" s="20" t="s">
        <v>511</v>
      </c>
    </row>
    <row r="33" customFormat="false" ht="78" hidden="false" customHeight="true" outlineLevel="0" collapsed="false">
      <c r="A33" s="18"/>
      <c r="B33" s="17" t="s">
        <v>512</v>
      </c>
      <c r="C33" s="20"/>
      <c r="D33" s="52"/>
      <c r="E33" s="19" t="n">
        <v>0</v>
      </c>
      <c r="F33" s="22" t="n">
        <f aca="false">'Build-Up'!$F$9+'Build-Up'!$F$11+'Build-Up'!$F$12+'Build-Up'!$F$13+'Build-Up'!$F$19+'Build-Up'!$F$21</f>
        <v>157370</v>
      </c>
      <c r="G33" s="19" t="n">
        <f aca="false">E33-F33</f>
        <v>-157370</v>
      </c>
      <c r="H33" s="20" t="s">
        <v>513</v>
      </c>
    </row>
    <row r="34" customFormat="false" ht="27" hidden="false" customHeight="true" outlineLevel="0" collapsed="false">
      <c r="A34" s="25"/>
      <c r="B34" s="25" t="s">
        <v>514</v>
      </c>
      <c r="C34" s="25"/>
      <c r="D34" s="25"/>
      <c r="E34" s="26" t="n">
        <f aca="false">SUM(E25:E33)</f>
        <v>680000</v>
      </c>
      <c r="F34" s="27" t="n">
        <f aca="false">SUM(F25:F33)</f>
        <v>319680.56</v>
      </c>
      <c r="G34" s="26" t="n">
        <f aca="false">E34-F34</f>
        <v>360319.44</v>
      </c>
      <c r="H34" s="53" t="s">
        <v>515</v>
      </c>
    </row>
    <row r="35" customFormat="false" ht="45" hidden="false" customHeight="true" outlineLevel="0" collapsed="false">
      <c r="A35" s="51" t="s">
        <v>516</v>
      </c>
      <c r="B35" s="51"/>
      <c r="C35" s="51"/>
      <c r="D35" s="51"/>
      <c r="E35" s="51"/>
      <c r="F35" s="51"/>
      <c r="G35" s="51"/>
      <c r="H35" s="51"/>
    </row>
    <row r="37" customFormat="false" ht="21" hidden="false" customHeight="true" outlineLevel="0" collapsed="false">
      <c r="A37" s="15" t="s">
        <v>517</v>
      </c>
      <c r="B37" s="15"/>
      <c r="C37" s="15"/>
      <c r="D37" s="15"/>
      <c r="E37" s="15"/>
      <c r="F37" s="15"/>
      <c r="G37" s="15"/>
      <c r="H37" s="15"/>
    </row>
    <row r="38" customFormat="false" ht="18.75" hidden="false" customHeight="true" outlineLevel="0" collapsed="false">
      <c r="A38" s="11" t="s">
        <v>518</v>
      </c>
      <c r="B38" s="11"/>
      <c r="C38" s="11"/>
      <c r="D38" s="11"/>
      <c r="E38" s="11"/>
      <c r="F38" s="11"/>
      <c r="G38" s="11"/>
      <c r="H38" s="11"/>
    </row>
    <row r="39" customFormat="false" ht="31.5" hidden="false" customHeight="true" outlineLevel="0" collapsed="false">
      <c r="A39" s="13" t="s">
        <v>94</v>
      </c>
      <c r="B39" s="13" t="s">
        <v>483</v>
      </c>
      <c r="C39" s="13" t="s">
        <v>484</v>
      </c>
      <c r="D39" s="13" t="s">
        <v>485</v>
      </c>
      <c r="E39" s="13" t="s">
        <v>486</v>
      </c>
      <c r="F39" s="48" t="s">
        <v>457</v>
      </c>
      <c r="G39" s="13" t="s">
        <v>458</v>
      </c>
      <c r="H39" s="13" t="s">
        <v>487</v>
      </c>
    </row>
    <row r="40" customFormat="false" ht="51.75" hidden="false" customHeight="true" outlineLevel="0" collapsed="false">
      <c r="A40" s="18" t="s">
        <v>238</v>
      </c>
      <c r="B40" s="17" t="s">
        <v>519</v>
      </c>
      <c r="C40" s="20" t="s">
        <v>520</v>
      </c>
      <c r="D40" s="52" t="n">
        <v>0.15</v>
      </c>
      <c r="E40" s="19" t="n">
        <v>75628.803</v>
      </c>
      <c r="F40" s="22" t="n">
        <f aca="false">'Build-Up'!$F$76+'Build-Up'!$F$77+'Build-Up'!$F$78+'Build-Up'!$F$79</f>
        <v>66520</v>
      </c>
      <c r="G40" s="19" t="n">
        <f aca="false">E40-F40</f>
        <v>9108.803</v>
      </c>
      <c r="H40" s="20" t="s">
        <v>521</v>
      </c>
    </row>
    <row r="41" customFormat="false" ht="80.25" hidden="false" customHeight="true" outlineLevel="0" collapsed="false">
      <c r="A41" s="18" t="s">
        <v>241</v>
      </c>
      <c r="B41" s="17" t="s">
        <v>522</v>
      </c>
      <c r="C41" s="20" t="s">
        <v>523</v>
      </c>
      <c r="D41" s="52" t="n">
        <v>0.25</v>
      </c>
      <c r="E41" s="19" t="n">
        <v>126048.005</v>
      </c>
      <c r="F41" s="22" t="n">
        <f aca="false">'Build-Up'!$F$75</f>
        <v>57600</v>
      </c>
      <c r="G41" s="19" t="n">
        <f aca="false">E41-F41</f>
        <v>68448.005</v>
      </c>
      <c r="H41" s="20" t="s">
        <v>524</v>
      </c>
    </row>
    <row r="42" customFormat="false" ht="42" hidden="false" customHeight="true" outlineLevel="0" collapsed="false">
      <c r="A42" s="18" t="s">
        <v>244</v>
      </c>
      <c r="B42" s="17" t="s">
        <v>525</v>
      </c>
      <c r="C42" s="20" t="s">
        <v>526</v>
      </c>
      <c r="D42" s="52" t="n">
        <v>0.12</v>
      </c>
      <c r="E42" s="19" t="n">
        <v>60503.0424</v>
      </c>
      <c r="F42" s="22" t="n">
        <f aca="false">'Build-Up'!$F$74</f>
        <v>57600</v>
      </c>
      <c r="G42" s="19" t="n">
        <f aca="false">E42-F42</f>
        <v>2903.0424</v>
      </c>
      <c r="H42" s="20" t="s">
        <v>527</v>
      </c>
    </row>
    <row r="43" customFormat="false" ht="129.75" hidden="false" customHeight="true" outlineLevel="0" collapsed="false">
      <c r="A43" s="18" t="s">
        <v>248</v>
      </c>
      <c r="B43" s="17" t="s">
        <v>528</v>
      </c>
      <c r="C43" s="20" t="s">
        <v>529</v>
      </c>
      <c r="D43" s="52" t="n">
        <v>0.1</v>
      </c>
      <c r="E43" s="19" t="n">
        <v>50419.202</v>
      </c>
      <c r="F43" s="22" t="n">
        <f aca="false">'Build-Up'!$F$80+'Build-Up'!$F$81+'Build-Up'!$F$88</f>
        <v>69200</v>
      </c>
      <c r="G43" s="19" t="n">
        <f aca="false">E43-F43</f>
        <v>-18780.798</v>
      </c>
      <c r="H43" s="20" t="s">
        <v>530</v>
      </c>
    </row>
    <row r="44" customFormat="false" ht="39" hidden="false" customHeight="true" outlineLevel="0" collapsed="false">
      <c r="A44" s="18" t="s">
        <v>252</v>
      </c>
      <c r="B44" s="17" t="s">
        <v>531</v>
      </c>
      <c r="C44" s="20" t="s">
        <v>532</v>
      </c>
      <c r="D44" s="52" t="n">
        <v>0.1</v>
      </c>
      <c r="E44" s="19" t="n">
        <v>50419.202</v>
      </c>
      <c r="F44" s="22" t="n">
        <f aca="false">'Build-Up'!$F$82</f>
        <v>12300</v>
      </c>
      <c r="G44" s="19" t="n">
        <f aca="false">E44-F44</f>
        <v>38119.202</v>
      </c>
      <c r="H44" s="20" t="s">
        <v>533</v>
      </c>
    </row>
    <row r="45" customFormat="false" ht="42" hidden="false" customHeight="true" outlineLevel="0" collapsed="false">
      <c r="A45" s="18" t="s">
        <v>254</v>
      </c>
      <c r="B45" s="17" t="s">
        <v>534</v>
      </c>
      <c r="C45" s="20" t="s">
        <v>535</v>
      </c>
      <c r="D45" s="52" t="n">
        <v>0.08</v>
      </c>
      <c r="E45" s="19" t="n">
        <v>40335.3616</v>
      </c>
      <c r="F45" s="22" t="n">
        <f aca="false">'Build-Up'!$F$84+'Build-Up'!$F$85+'Build-Up'!$F$86</f>
        <v>9750</v>
      </c>
      <c r="G45" s="19" t="n">
        <f aca="false">E45-F45</f>
        <v>30585.3616</v>
      </c>
      <c r="H45" s="20" t="s">
        <v>536</v>
      </c>
    </row>
    <row r="46" customFormat="false" ht="42" hidden="false" customHeight="true" outlineLevel="0" collapsed="false">
      <c r="A46" s="18" t="s">
        <v>258</v>
      </c>
      <c r="B46" s="17" t="s">
        <v>537</v>
      </c>
      <c r="C46" s="20" t="s">
        <v>538</v>
      </c>
      <c r="D46" s="52" t="n">
        <v>0.12</v>
      </c>
      <c r="E46" s="19" t="n">
        <v>60503.0424</v>
      </c>
      <c r="F46" s="22" t="n">
        <f aca="false">'Build-Up'!$F$87</f>
        <v>6480</v>
      </c>
      <c r="G46" s="19" t="n">
        <f aca="false">E46-F46</f>
        <v>54023.0424</v>
      </c>
      <c r="H46" s="20" t="s">
        <v>539</v>
      </c>
    </row>
    <row r="47" customFormat="false" ht="30" hidden="false" customHeight="true" outlineLevel="0" collapsed="false">
      <c r="A47" s="18" t="s">
        <v>261</v>
      </c>
      <c r="B47" s="17" t="s">
        <v>540</v>
      </c>
      <c r="C47" s="20" t="s">
        <v>541</v>
      </c>
      <c r="D47" s="52" t="n">
        <v>0.08</v>
      </c>
      <c r="E47" s="19" t="n">
        <v>40335.3616</v>
      </c>
      <c r="F47" s="22" t="n">
        <v>0</v>
      </c>
      <c r="G47" s="19" t="n">
        <f aca="false">E47-F47</f>
        <v>40335.3616</v>
      </c>
      <c r="H47" s="20" t="s">
        <v>542</v>
      </c>
    </row>
    <row r="48" customFormat="false" ht="42" hidden="false" customHeight="true" outlineLevel="0" collapsed="false">
      <c r="A48" s="18"/>
      <c r="B48" s="17" t="s">
        <v>543</v>
      </c>
      <c r="C48" s="20"/>
      <c r="D48" s="52"/>
      <c r="E48" s="19" t="n">
        <v>0</v>
      </c>
      <c r="F48" s="22" t="n">
        <f aca="false">'Build-Up'!$F$83</f>
        <v>59400</v>
      </c>
      <c r="G48" s="19" t="n">
        <f aca="false">E48-F48</f>
        <v>-59400</v>
      </c>
      <c r="H48" s="20" t="s">
        <v>544</v>
      </c>
    </row>
    <row r="49" customFormat="false" ht="27" hidden="false" customHeight="true" outlineLevel="0" collapsed="false">
      <c r="A49" s="25"/>
      <c r="B49" s="25" t="s">
        <v>514</v>
      </c>
      <c r="C49" s="25"/>
      <c r="D49" s="25"/>
      <c r="E49" s="26" t="n">
        <f aca="false">SUM(E40:E48)</f>
        <v>504192.02</v>
      </c>
      <c r="F49" s="27" t="n">
        <f aca="false">SUM(F40:F48)</f>
        <v>338850</v>
      </c>
      <c r="G49" s="26" t="n">
        <f aca="false">E49-F49</f>
        <v>165342.02</v>
      </c>
      <c r="H49" s="53" t="s">
        <v>545</v>
      </c>
    </row>
    <row r="51" customFormat="false" ht="21" hidden="false" customHeight="true" outlineLevel="0" collapsed="false">
      <c r="A51" s="15" t="s">
        <v>546</v>
      </c>
      <c r="B51" s="15"/>
      <c r="C51" s="15"/>
      <c r="D51" s="15"/>
      <c r="E51" s="15"/>
      <c r="F51" s="15"/>
      <c r="G51" s="15"/>
      <c r="H51" s="15"/>
    </row>
    <row r="52" customFormat="false" ht="31.5" hidden="false" customHeight="true" outlineLevel="0" collapsed="false">
      <c r="A52" s="11" t="s">
        <v>547</v>
      </c>
      <c r="B52" s="11"/>
      <c r="C52" s="11"/>
      <c r="D52" s="11"/>
      <c r="E52" s="11"/>
      <c r="F52" s="11"/>
      <c r="G52" s="11"/>
      <c r="H52" s="11"/>
    </row>
    <row r="53" customFormat="false" ht="31.5" hidden="false" customHeight="true" outlineLevel="0" collapsed="false">
      <c r="A53" s="13" t="s">
        <v>94</v>
      </c>
      <c r="B53" s="13" t="s">
        <v>483</v>
      </c>
      <c r="C53" s="13" t="s">
        <v>484</v>
      </c>
      <c r="D53" s="13" t="s">
        <v>485</v>
      </c>
      <c r="E53" s="13" t="s">
        <v>486</v>
      </c>
      <c r="F53" s="48" t="s">
        <v>457</v>
      </c>
      <c r="G53" s="13" t="s">
        <v>458</v>
      </c>
      <c r="H53" s="13" t="s">
        <v>487</v>
      </c>
    </row>
    <row r="54" customFormat="false" ht="78" hidden="false" customHeight="true" outlineLevel="0" collapsed="false">
      <c r="A54" s="18" t="s">
        <v>296</v>
      </c>
      <c r="B54" s="17" t="s">
        <v>548</v>
      </c>
      <c r="C54" s="20" t="s">
        <v>549</v>
      </c>
      <c r="D54" s="52" t="n">
        <v>0.3</v>
      </c>
      <c r="E54" s="19" t="n">
        <v>127920</v>
      </c>
      <c r="F54" s="22" t="n">
        <f aca="false">'Build-Up'!$F$100+'Build-Up'!$F$101+'Build-Up'!$F$102+'Build-Up'!$F$103+'Build-Up'!$F$104+'Build-Up'!$F$105+'Build-Up'!$F$106+'Build-Up'!$F$107+'Build-Up'!$F$108+'Build-Up'!$F$109+'Build-Up'!$F$110+'Build-Up'!$F$111+'Build-Up'!$F$121</f>
        <v>51056</v>
      </c>
      <c r="G54" s="19" t="n">
        <f aca="false">E54-F54</f>
        <v>76864</v>
      </c>
      <c r="H54" s="20" t="s">
        <v>550</v>
      </c>
    </row>
    <row r="55" customFormat="false" ht="54.75" hidden="false" customHeight="true" outlineLevel="0" collapsed="false">
      <c r="A55" s="18" t="s">
        <v>299</v>
      </c>
      <c r="B55" s="17" t="s">
        <v>551</v>
      </c>
      <c r="C55" s="20" t="s">
        <v>552</v>
      </c>
      <c r="D55" s="52" t="n">
        <v>0.2</v>
      </c>
      <c r="E55" s="19" t="n">
        <v>85280</v>
      </c>
      <c r="F55" s="22" t="n">
        <f aca="false">'Build-Up'!$F$114+'Build-Up'!$F$116+'Build-Up'!$F$117+'Build-Up'!$F$118</f>
        <v>12000</v>
      </c>
      <c r="G55" s="19" t="n">
        <f aca="false">E55-F55</f>
        <v>73280</v>
      </c>
      <c r="H55" s="20" t="s">
        <v>553</v>
      </c>
    </row>
    <row r="56" customFormat="false" ht="42" hidden="false" customHeight="true" outlineLevel="0" collapsed="false">
      <c r="A56" s="18" t="s">
        <v>302</v>
      </c>
      <c r="B56" s="17" t="s">
        <v>554</v>
      </c>
      <c r="C56" s="20" t="s">
        <v>555</v>
      </c>
      <c r="D56" s="52" t="n">
        <v>0.15</v>
      </c>
      <c r="E56" s="19" t="n">
        <v>63960</v>
      </c>
      <c r="F56" s="22" t="n">
        <f aca="false">'Build-Up'!$F$113+'Build-Up'!$F$115</f>
        <v>9800</v>
      </c>
      <c r="G56" s="19" t="n">
        <f aca="false">E56-F56</f>
        <v>54160</v>
      </c>
      <c r="H56" s="20" t="s">
        <v>556</v>
      </c>
    </row>
    <row r="57" customFormat="false" ht="64.5" hidden="false" customHeight="true" outlineLevel="0" collapsed="false">
      <c r="A57" s="18" t="s">
        <v>305</v>
      </c>
      <c r="B57" s="17" t="s">
        <v>557</v>
      </c>
      <c r="C57" s="20" t="s">
        <v>555</v>
      </c>
      <c r="D57" s="52" t="n">
        <v>0.2</v>
      </c>
      <c r="E57" s="19" t="n">
        <v>85280</v>
      </c>
      <c r="F57" s="22" t="n">
        <f aca="false">'Build-Up'!$F$112</f>
        <v>16000</v>
      </c>
      <c r="G57" s="19" t="n">
        <f aca="false">E57-F57</f>
        <v>69280</v>
      </c>
      <c r="H57" s="20" t="s">
        <v>558</v>
      </c>
    </row>
    <row r="58" customFormat="false" ht="50.25" hidden="false" customHeight="true" outlineLevel="0" collapsed="false">
      <c r="A58" s="18" t="s">
        <v>308</v>
      </c>
      <c r="B58" s="17" t="s">
        <v>559</v>
      </c>
      <c r="C58" s="20" t="s">
        <v>560</v>
      </c>
      <c r="D58" s="52" t="n">
        <v>0.15</v>
      </c>
      <c r="E58" s="19" t="n">
        <v>63960</v>
      </c>
      <c r="F58" s="22" t="n">
        <f aca="false">'Build-Up'!$F$119+'Build-Up'!$F$120</f>
        <v>10000</v>
      </c>
      <c r="G58" s="19" t="n">
        <f aca="false">E58-F58</f>
        <v>53960</v>
      </c>
      <c r="H58" s="20" t="s">
        <v>561</v>
      </c>
    </row>
    <row r="59" customFormat="false" ht="27" hidden="false" customHeight="true" outlineLevel="0" collapsed="false">
      <c r="A59" s="25"/>
      <c r="B59" s="25" t="s">
        <v>514</v>
      </c>
      <c r="C59" s="25"/>
      <c r="D59" s="25"/>
      <c r="E59" s="26" t="n">
        <f aca="false">SUM(E54:E58)</f>
        <v>426400</v>
      </c>
      <c r="F59" s="27" t="n">
        <f aca="false">SUM(F54:F58)</f>
        <v>98856</v>
      </c>
      <c r="G59" s="26" t="n">
        <f aca="false">E59-F59</f>
        <v>327544</v>
      </c>
      <c r="H59" s="53" t="s">
        <v>562</v>
      </c>
    </row>
    <row r="61" customFormat="false" ht="21" hidden="false" customHeight="true" outlineLevel="0" collapsed="false">
      <c r="A61" s="15" t="s">
        <v>563</v>
      </c>
      <c r="B61" s="15"/>
      <c r="C61" s="15"/>
      <c r="D61" s="15"/>
      <c r="E61" s="15"/>
      <c r="F61" s="15"/>
      <c r="G61" s="15"/>
      <c r="H61" s="15"/>
    </row>
    <row r="62" customFormat="false" ht="45" hidden="false" customHeight="true" outlineLevel="0" collapsed="false">
      <c r="A62" s="11" t="s">
        <v>564</v>
      </c>
      <c r="B62" s="11"/>
      <c r="C62" s="11"/>
      <c r="D62" s="11"/>
      <c r="E62" s="11"/>
      <c r="F62" s="11"/>
      <c r="G62" s="11"/>
      <c r="H62" s="11"/>
    </row>
    <row r="63" customFormat="false" ht="31.5" hidden="false" customHeight="true" outlineLevel="0" collapsed="false">
      <c r="A63" s="13" t="s">
        <v>94</v>
      </c>
      <c r="B63" s="13" t="s">
        <v>483</v>
      </c>
      <c r="C63" s="13" t="s">
        <v>484</v>
      </c>
      <c r="D63" s="13" t="s">
        <v>485</v>
      </c>
      <c r="E63" s="13" t="s">
        <v>486</v>
      </c>
      <c r="F63" s="48" t="s">
        <v>457</v>
      </c>
      <c r="G63" s="13" t="s">
        <v>458</v>
      </c>
      <c r="H63" s="13" t="s">
        <v>487</v>
      </c>
    </row>
    <row r="64" customFormat="false" ht="64.5" hidden="false" customHeight="true" outlineLevel="0" collapsed="false">
      <c r="A64" s="18" t="s">
        <v>370</v>
      </c>
      <c r="B64" s="17" t="s">
        <v>565</v>
      </c>
      <c r="C64" s="20" t="s">
        <v>566</v>
      </c>
      <c r="D64" s="52" t="n">
        <v>0.3</v>
      </c>
      <c r="E64" s="19" t="n">
        <v>126000</v>
      </c>
      <c r="F64" s="22" t="n">
        <f aca="false">'Build-Up'!$F$131+'Build-Up'!$F$132+'Build-Up'!$F$134+'Build-Up'!$F$135+'Build-Up'!$F$136</f>
        <v>107200</v>
      </c>
      <c r="G64" s="19" t="n">
        <f aca="false">E64-F64</f>
        <v>18800</v>
      </c>
      <c r="H64" s="20" t="s">
        <v>567</v>
      </c>
    </row>
    <row r="65" customFormat="false" ht="39" hidden="false" customHeight="true" outlineLevel="0" collapsed="false">
      <c r="A65" s="18" t="s">
        <v>374</v>
      </c>
      <c r="B65" s="17" t="s">
        <v>568</v>
      </c>
      <c r="C65" s="20" t="s">
        <v>569</v>
      </c>
      <c r="D65" s="52" t="n">
        <v>0.18</v>
      </c>
      <c r="E65" s="19" t="n">
        <v>75600</v>
      </c>
      <c r="F65" s="22" t="n">
        <f aca="false">'Build-Up'!$F$133</f>
        <v>55000</v>
      </c>
      <c r="G65" s="19" t="n">
        <f aca="false">E65-F65</f>
        <v>20600</v>
      </c>
      <c r="H65" s="20" t="s">
        <v>570</v>
      </c>
    </row>
    <row r="66" customFormat="false" ht="39" hidden="false" customHeight="true" outlineLevel="0" collapsed="false">
      <c r="A66" s="18" t="s">
        <v>377</v>
      </c>
      <c r="B66" s="17" t="s">
        <v>571</v>
      </c>
      <c r="C66" s="20" t="s">
        <v>569</v>
      </c>
      <c r="D66" s="52" t="n">
        <v>0.12</v>
      </c>
      <c r="E66" s="19" t="n">
        <v>50400</v>
      </c>
      <c r="F66" s="22" t="n">
        <f aca="false">'Build-Up'!$F$137+'Build-Up'!$F$138</f>
        <v>15000</v>
      </c>
      <c r="G66" s="19" t="n">
        <f aca="false">E66-F66</f>
        <v>35400</v>
      </c>
      <c r="H66" s="20" t="s">
        <v>572</v>
      </c>
    </row>
    <row r="67" customFormat="false" ht="64.5" hidden="false" customHeight="true" outlineLevel="0" collapsed="false">
      <c r="A67" s="18" t="s">
        <v>380</v>
      </c>
      <c r="B67" s="17" t="s">
        <v>573</v>
      </c>
      <c r="C67" s="20" t="s">
        <v>574</v>
      </c>
      <c r="D67" s="52" t="n">
        <v>0.2</v>
      </c>
      <c r="E67" s="19" t="n">
        <v>84000</v>
      </c>
      <c r="F67" s="22" t="n">
        <f aca="false">'Build-Up'!$F$144+'Build-Up'!$F$145</f>
        <v>20000</v>
      </c>
      <c r="G67" s="19" t="n">
        <f aca="false">E67-F67</f>
        <v>64000</v>
      </c>
      <c r="H67" s="20" t="s">
        <v>575</v>
      </c>
    </row>
    <row r="68" customFormat="false" ht="51.75" hidden="false" customHeight="true" outlineLevel="0" collapsed="false">
      <c r="A68" s="18" t="s">
        <v>382</v>
      </c>
      <c r="B68" s="17" t="s">
        <v>576</v>
      </c>
      <c r="C68" s="20" t="s">
        <v>577</v>
      </c>
      <c r="D68" s="52" t="n">
        <v>0.15</v>
      </c>
      <c r="E68" s="19" t="n">
        <v>63000</v>
      </c>
      <c r="F68" s="22" t="n">
        <f aca="false">'Build-Up'!$F$139+'Build-Up'!$F$140+'Build-Up'!$F$141+'Build-Up'!$F$142+'Build-Up'!$F$143+'Build-Up'!$F$146+'Build-Up'!$F$147+'Build-Up'!$F$148+'Build-Up'!$F$149</f>
        <v>40000</v>
      </c>
      <c r="G68" s="19" t="n">
        <f aca="false">E68-F68</f>
        <v>23000</v>
      </c>
      <c r="H68" s="20" t="s">
        <v>578</v>
      </c>
    </row>
    <row r="69" customFormat="false" ht="42" hidden="false" customHeight="true" outlineLevel="0" collapsed="false">
      <c r="A69" s="18" t="s">
        <v>384</v>
      </c>
      <c r="B69" s="17" t="s">
        <v>579</v>
      </c>
      <c r="C69" s="20" t="s">
        <v>569</v>
      </c>
      <c r="D69" s="52" t="n">
        <v>0.05</v>
      </c>
      <c r="E69" s="19" t="n">
        <v>21000</v>
      </c>
      <c r="F69" s="22" t="n">
        <f aca="false">'Build-Up'!$F$150+'Build-Up'!$F$151</f>
        <v>8000</v>
      </c>
      <c r="G69" s="19" t="n">
        <f aca="false">E69-F69</f>
        <v>13000</v>
      </c>
      <c r="H69" s="20" t="s">
        <v>580</v>
      </c>
    </row>
    <row r="70" customFormat="false" ht="27" hidden="false" customHeight="true" outlineLevel="0" collapsed="false">
      <c r="A70" s="25"/>
      <c r="B70" s="25" t="s">
        <v>514</v>
      </c>
      <c r="C70" s="25"/>
      <c r="D70" s="25"/>
      <c r="E70" s="26" t="n">
        <f aca="false">SUM(E64:E69)</f>
        <v>420000</v>
      </c>
      <c r="F70" s="27" t="n">
        <f aca="false">SUM(F64:F69)</f>
        <v>245200</v>
      </c>
      <c r="G70" s="26" t="n">
        <f aca="false">E70-F70</f>
        <v>174800</v>
      </c>
      <c r="H70" s="53" t="s">
        <v>581</v>
      </c>
    </row>
    <row r="72" customFormat="false" ht="21" hidden="false" customHeight="true" outlineLevel="0" collapsed="false">
      <c r="A72" s="15" t="s">
        <v>582</v>
      </c>
      <c r="B72" s="15"/>
      <c r="C72" s="15"/>
      <c r="D72" s="15"/>
      <c r="E72" s="15"/>
      <c r="F72" s="15"/>
      <c r="G72" s="15"/>
      <c r="H72" s="15"/>
    </row>
    <row r="73" customFormat="false" ht="45" hidden="false" customHeight="true" outlineLevel="0" collapsed="false">
      <c r="A73" s="11" t="s">
        <v>583</v>
      </c>
      <c r="B73" s="11"/>
      <c r="C73" s="11"/>
      <c r="D73" s="11"/>
      <c r="E73" s="11"/>
      <c r="F73" s="11"/>
      <c r="G73" s="11"/>
      <c r="H73" s="11"/>
    </row>
    <row r="74" customFormat="false" ht="31.5" hidden="false" customHeight="true" outlineLevel="0" collapsed="false">
      <c r="A74" s="13" t="s">
        <v>584</v>
      </c>
      <c r="B74" s="13" t="s">
        <v>585</v>
      </c>
      <c r="C74" s="13" t="s">
        <v>586</v>
      </c>
      <c r="D74" s="13"/>
      <c r="E74" s="13"/>
      <c r="F74" s="13"/>
      <c r="G74" s="13"/>
      <c r="H74" s="13" t="s">
        <v>587</v>
      </c>
    </row>
    <row r="75" customFormat="false" ht="30" hidden="false" customHeight="true" outlineLevel="0" collapsed="false">
      <c r="A75" s="18" t="s">
        <v>460</v>
      </c>
      <c r="B75" s="17" t="s">
        <v>588</v>
      </c>
      <c r="C75" s="54" t="s">
        <v>589</v>
      </c>
      <c r="D75" s="54"/>
      <c r="E75" s="54"/>
      <c r="F75" s="54"/>
      <c r="G75" s="54"/>
      <c r="H75" s="18" t="s">
        <v>590</v>
      </c>
    </row>
    <row r="76" customFormat="false" ht="30" hidden="false" customHeight="true" outlineLevel="0" collapsed="false">
      <c r="A76" s="18" t="s">
        <v>591</v>
      </c>
      <c r="B76" s="17" t="s">
        <v>592</v>
      </c>
      <c r="C76" s="54" t="s">
        <v>593</v>
      </c>
      <c r="D76" s="54"/>
      <c r="E76" s="54"/>
      <c r="F76" s="54"/>
      <c r="G76" s="54"/>
      <c r="H76" s="18" t="s">
        <v>594</v>
      </c>
    </row>
    <row r="77" customFormat="false" ht="30" hidden="false" customHeight="true" outlineLevel="0" collapsed="false">
      <c r="A77" s="18" t="s">
        <v>595</v>
      </c>
      <c r="B77" s="17" t="s">
        <v>596</v>
      </c>
      <c r="C77" s="54" t="s">
        <v>593</v>
      </c>
      <c r="D77" s="54"/>
      <c r="E77" s="54"/>
      <c r="F77" s="54"/>
      <c r="G77" s="54"/>
      <c r="H77" s="18" t="s">
        <v>594</v>
      </c>
    </row>
    <row r="78" customFormat="false" ht="39.75" hidden="false" customHeight="true" outlineLevel="0" collapsed="false">
      <c r="A78" s="18" t="s">
        <v>597</v>
      </c>
      <c r="B78" s="17" t="s">
        <v>598</v>
      </c>
      <c r="C78" s="54" t="s">
        <v>593</v>
      </c>
      <c r="D78" s="54"/>
      <c r="E78" s="54"/>
      <c r="F78" s="54"/>
      <c r="G78" s="54"/>
      <c r="H78" s="18" t="s">
        <v>599</v>
      </c>
    </row>
    <row r="79" customFormat="false" ht="30" hidden="false" customHeight="true" outlineLevel="0" collapsed="false">
      <c r="A79" s="18" t="s">
        <v>463</v>
      </c>
      <c r="B79" s="17" t="s">
        <v>600</v>
      </c>
      <c r="C79" s="55" t="s">
        <v>601</v>
      </c>
      <c r="D79" s="56"/>
      <c r="E79" s="56"/>
      <c r="F79" s="56"/>
      <c r="G79" s="57"/>
      <c r="H79" s="18" t="s">
        <v>590</v>
      </c>
    </row>
    <row r="80" customFormat="false" ht="30" hidden="false" customHeight="true" outlineLevel="0" collapsed="false">
      <c r="A80" s="18" t="s">
        <v>602</v>
      </c>
      <c r="B80" s="17" t="s">
        <v>603</v>
      </c>
      <c r="C80" s="55" t="s">
        <v>601</v>
      </c>
      <c r="D80" s="56"/>
      <c r="E80" s="56"/>
      <c r="F80" s="56"/>
      <c r="G80" s="57"/>
      <c r="H80" s="18" t="s">
        <v>604</v>
      </c>
    </row>
    <row r="81" customFormat="false" ht="30" hidden="false" customHeight="true" outlineLevel="0" collapsed="false">
      <c r="A81" s="18" t="s">
        <v>466</v>
      </c>
      <c r="B81" s="17" t="s">
        <v>605</v>
      </c>
      <c r="C81" s="55" t="s">
        <v>601</v>
      </c>
      <c r="D81" s="56"/>
      <c r="E81" s="56"/>
      <c r="F81" s="56"/>
      <c r="G81" s="57"/>
      <c r="H81" s="18" t="s">
        <v>604</v>
      </c>
    </row>
    <row r="82" customFormat="false" ht="30" hidden="false" customHeight="true" outlineLevel="0" collapsed="false">
      <c r="A82" s="18" t="s">
        <v>469</v>
      </c>
      <c r="B82" s="17" t="s">
        <v>606</v>
      </c>
      <c r="C82" s="55" t="s">
        <v>601</v>
      </c>
      <c r="D82" s="56"/>
      <c r="E82" s="56"/>
      <c r="F82" s="56"/>
      <c r="G82" s="57"/>
      <c r="H82" s="18" t="s">
        <v>590</v>
      </c>
    </row>
    <row r="83" customFormat="false" ht="30" hidden="false" customHeight="true" outlineLevel="0" collapsed="false">
      <c r="A83" s="18" t="s">
        <v>607</v>
      </c>
      <c r="B83" s="17" t="s">
        <v>608</v>
      </c>
      <c r="C83" s="55" t="s">
        <v>601</v>
      </c>
      <c r="D83" s="56"/>
      <c r="E83" s="56"/>
      <c r="F83" s="56"/>
      <c r="G83" s="57"/>
      <c r="H83" s="18" t="s">
        <v>609</v>
      </c>
    </row>
    <row r="84" customFormat="false" ht="54.75" hidden="false" customHeight="true" outlineLevel="0" collapsed="false">
      <c r="A84" s="18" t="n">
        <v>10</v>
      </c>
      <c r="B84" s="17" t="s">
        <v>610</v>
      </c>
      <c r="C84" s="54" t="s">
        <v>601</v>
      </c>
      <c r="D84" s="54"/>
      <c r="E84" s="54"/>
      <c r="F84" s="54"/>
      <c r="G84" s="54"/>
      <c r="H84" s="18" t="s">
        <v>611</v>
      </c>
    </row>
    <row r="85" customFormat="false" ht="54.75" hidden="false" customHeight="true" outlineLevel="0" collapsed="false">
      <c r="A85" s="18" t="n">
        <v>11</v>
      </c>
      <c r="B85" s="17" t="s">
        <v>612</v>
      </c>
      <c r="C85" s="54" t="s">
        <v>601</v>
      </c>
      <c r="D85" s="54"/>
      <c r="E85" s="54"/>
      <c r="F85" s="54"/>
      <c r="G85" s="54"/>
      <c r="H85" s="18" t="s">
        <v>611</v>
      </c>
    </row>
    <row r="86" customFormat="false" ht="67.5" hidden="false" customHeight="true" outlineLevel="0" collapsed="false">
      <c r="A86" s="18" t="n">
        <v>12</v>
      </c>
      <c r="B86" s="17" t="s">
        <v>613</v>
      </c>
      <c r="C86" s="54" t="s">
        <v>601</v>
      </c>
      <c r="D86" s="54"/>
      <c r="E86" s="54"/>
      <c r="F86" s="54"/>
      <c r="G86" s="54"/>
      <c r="H86" s="18" t="s">
        <v>611</v>
      </c>
    </row>
    <row r="87" customFormat="false" ht="67.5" hidden="false" customHeight="true" outlineLevel="0" collapsed="false">
      <c r="A87" s="18" t="n">
        <v>13</v>
      </c>
      <c r="B87" s="17" t="s">
        <v>614</v>
      </c>
      <c r="C87" s="54" t="s">
        <v>601</v>
      </c>
      <c r="D87" s="54"/>
      <c r="E87" s="54"/>
      <c r="F87" s="54"/>
      <c r="G87" s="54"/>
      <c r="H87" s="18" t="s">
        <v>611</v>
      </c>
    </row>
    <row r="88" customFormat="false" ht="118.5" hidden="false" customHeight="true" outlineLevel="0" collapsed="false">
      <c r="A88" s="18" t="n">
        <v>14</v>
      </c>
      <c r="B88" s="17" t="s">
        <v>615</v>
      </c>
      <c r="C88" s="54" t="s">
        <v>601</v>
      </c>
      <c r="D88" s="54"/>
      <c r="E88" s="54"/>
      <c r="F88" s="54"/>
      <c r="G88" s="54"/>
      <c r="H88" s="18" t="s">
        <v>611</v>
      </c>
    </row>
    <row r="90" customFormat="false" ht="30" hidden="false" customHeight="true" outlineLevel="0" collapsed="false">
      <c r="A90" s="58"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7,005,606.89 excluding VAT against the Contractor's proposal of SAR 8,110,296.62 excluding VAT.</v>
      </c>
      <c r="B90" s="58"/>
      <c r="C90" s="58"/>
      <c r="D90" s="58"/>
      <c r="E90" s="58"/>
      <c r="F90" s="58"/>
      <c r="G90" s="58"/>
      <c r="H90" s="58"/>
    </row>
    <row r="92" customFormat="false" ht="21" hidden="false" customHeight="true" outlineLevel="0" collapsed="false">
      <c r="A92" s="15" t="s">
        <v>616</v>
      </c>
      <c r="B92" s="15"/>
      <c r="C92" s="15"/>
      <c r="D92" s="15"/>
      <c r="E92" s="15"/>
      <c r="F92" s="15"/>
      <c r="G92" s="15"/>
      <c r="H92" s="15"/>
    </row>
    <row r="93" customFormat="false" ht="43.5" hidden="false" customHeight="true" outlineLevel="0" collapsed="false">
      <c r="A93" s="11" t="s">
        <v>617</v>
      </c>
      <c r="B93" s="11"/>
      <c r="C93" s="11"/>
      <c r="D93" s="11"/>
      <c r="E93" s="11"/>
      <c r="F93" s="11"/>
      <c r="G93" s="11"/>
      <c r="H93" s="11"/>
    </row>
    <row r="94" customFormat="false" ht="43.5" hidden="false" customHeight="true" outlineLevel="0" collapsed="false">
      <c r="A94" s="13" t="s">
        <v>35</v>
      </c>
      <c r="B94" s="13" t="s">
        <v>618</v>
      </c>
      <c r="C94" s="13" t="s">
        <v>619</v>
      </c>
      <c r="D94" s="13"/>
      <c r="E94" s="13" t="s">
        <v>456</v>
      </c>
      <c r="F94" s="48" t="s">
        <v>620</v>
      </c>
      <c r="G94" s="13" t="s">
        <v>621</v>
      </c>
      <c r="H94" s="13" t="s">
        <v>622</v>
      </c>
    </row>
    <row r="95" customFormat="false" ht="67.5" hidden="false" customHeight="true" outlineLevel="0" collapsed="false">
      <c r="A95" s="18" t="s">
        <v>460</v>
      </c>
      <c r="B95" s="17" t="s">
        <v>623</v>
      </c>
      <c r="C95" s="54" t="s">
        <v>624</v>
      </c>
      <c r="D95" s="54"/>
      <c r="E95" s="19" t="n">
        <f aca="false">Assessment!$F$8</f>
        <v>680000</v>
      </c>
      <c r="F95" s="22" t="n">
        <v>714000</v>
      </c>
      <c r="G95" s="19" t="n">
        <f aca="false">ROUND(F95/1.05,2)</f>
        <v>680000</v>
      </c>
      <c r="H95" s="20" t="s">
        <v>625</v>
      </c>
    </row>
    <row r="96" customFormat="false" ht="30" hidden="false" customHeight="true" outlineLevel="0" collapsed="false">
      <c r="A96" s="18" t="s">
        <v>591</v>
      </c>
      <c r="B96" s="17" t="s">
        <v>626</v>
      </c>
      <c r="C96" s="54" t="s">
        <v>627</v>
      </c>
      <c r="D96" s="54"/>
      <c r="E96" s="19" t="n">
        <f aca="false">Assessment!$F$10</f>
        <v>85000</v>
      </c>
      <c r="F96" s="22" t="n">
        <v>89250</v>
      </c>
      <c r="G96" s="19" t="n">
        <f aca="false">ROUND(F96/1.05,2)</f>
        <v>85000</v>
      </c>
      <c r="H96" s="20" t="s">
        <v>628</v>
      </c>
    </row>
    <row r="97" customFormat="false" ht="30" hidden="false" customHeight="true" outlineLevel="0" collapsed="false">
      <c r="A97" s="18" t="s">
        <v>629</v>
      </c>
      <c r="B97" s="17" t="s">
        <v>630</v>
      </c>
      <c r="C97" s="54" t="s">
        <v>631</v>
      </c>
      <c r="D97" s="54"/>
      <c r="E97" s="19" t="n">
        <f aca="false">Assessment!$F$12+Assessment!$F$13</f>
        <v>81500</v>
      </c>
      <c r="F97" s="22" t="n">
        <v>85575</v>
      </c>
      <c r="G97" s="19" t="n">
        <f aca="false">ROUND(F97/1.05,2)</f>
        <v>81500</v>
      </c>
      <c r="H97" s="20" t="s">
        <v>632</v>
      </c>
    </row>
    <row r="98" customFormat="false" ht="80.25" hidden="false" customHeight="true" outlineLevel="0" collapsed="false">
      <c r="A98" s="18" t="s">
        <v>633</v>
      </c>
      <c r="B98" s="17" t="s">
        <v>634</v>
      </c>
      <c r="C98" s="54" t="s">
        <v>635</v>
      </c>
      <c r="D98" s="54"/>
      <c r="E98" s="19" t="n">
        <f aca="false">Assessment!$F$14+Assessment!$F$16+Assessment!$F$17+Assessment!$F$18</f>
        <v>6877592.02</v>
      </c>
      <c r="F98" s="22" t="n">
        <v>7221471.62</v>
      </c>
      <c r="G98" s="19" t="n">
        <f aca="false">ROUND(F98/1.05,2)</f>
        <v>6877592.02</v>
      </c>
      <c r="H98" s="20" t="s">
        <v>636</v>
      </c>
    </row>
    <row r="99" customFormat="false" ht="80.25" hidden="false" customHeight="true" outlineLevel="0" collapsed="false">
      <c r="A99" s="18" t="s">
        <v>466</v>
      </c>
      <c r="B99" s="17" t="s">
        <v>637</v>
      </c>
      <c r="C99" s="54" t="s">
        <v>638</v>
      </c>
      <c r="D99" s="54"/>
      <c r="E99" s="19" t="n">
        <f aca="false">Assessment!$F$17</f>
        <v>426400</v>
      </c>
      <c r="F99" s="22" t="n">
        <v>200305.97</v>
      </c>
      <c r="G99" s="19" t="n">
        <f aca="false">ROUND(F99/1.05,2)</f>
        <v>190767.59</v>
      </c>
      <c r="H99" s="20" t="s">
        <v>639</v>
      </c>
    </row>
    <row r="100" customFormat="false" ht="27" hidden="false" customHeight="true" outlineLevel="0" collapsed="false">
      <c r="A100" s="25"/>
      <c r="B100" s="25" t="s">
        <v>640</v>
      </c>
      <c r="C100" s="25"/>
      <c r="D100" s="25"/>
      <c r="E100" s="26"/>
      <c r="F100" s="27" t="n">
        <f aca="false">SUM(F95:F98)</f>
        <v>8110296.62</v>
      </c>
      <c r="G100" s="26" t="n">
        <f aca="false">ROUND(F100/1.05,2)</f>
        <v>7724092.02</v>
      </c>
      <c r="H100" s="53" t="s">
        <v>641</v>
      </c>
    </row>
    <row r="102" customFormat="false" ht="57" hidden="false" customHeight="true" outlineLevel="0" collapsed="false">
      <c r="A102" s="11" t="s">
        <v>642</v>
      </c>
      <c r="B102" s="11"/>
      <c r="C102" s="11"/>
      <c r="D102" s="11"/>
      <c r="E102" s="11"/>
      <c r="F102" s="11"/>
      <c r="G102" s="11"/>
      <c r="H102" s="11"/>
    </row>
    <row r="103" customFormat="false" ht="21" hidden="false" customHeight="true" outlineLevel="0" collapsed="false">
      <c r="A103" s="13"/>
      <c r="B103" s="13" t="s">
        <v>643</v>
      </c>
      <c r="C103" s="13" t="s">
        <v>644</v>
      </c>
      <c r="D103" s="13"/>
      <c r="E103" s="13" t="s">
        <v>645</v>
      </c>
      <c r="F103" s="48"/>
      <c r="G103" s="13"/>
      <c r="H103" s="13" t="s">
        <v>622</v>
      </c>
    </row>
    <row r="104" customFormat="false" ht="18" hidden="false" customHeight="true" outlineLevel="0" collapsed="false">
      <c r="A104" s="18"/>
      <c r="B104" s="17" t="s">
        <v>646</v>
      </c>
      <c r="C104" s="19" t="n">
        <v>12035.96</v>
      </c>
      <c r="D104" s="19"/>
      <c r="E104" s="19" t="n">
        <f aca="false">SUM($C$104:C104)</f>
        <v>12035.96</v>
      </c>
      <c r="F104" s="22"/>
      <c r="G104" s="19"/>
      <c r="H104" s="20" t="s">
        <v>647</v>
      </c>
    </row>
    <row r="105" customFormat="false" ht="29.25" hidden="false" customHeight="true" outlineLevel="0" collapsed="false">
      <c r="A105" s="18"/>
      <c r="B105" s="17" t="s">
        <v>648</v>
      </c>
      <c r="C105" s="19" t="n">
        <v>1470052.21</v>
      </c>
      <c r="D105" s="19"/>
      <c r="E105" s="19" t="n">
        <f aca="false">SUM($C$104:C105)</f>
        <v>1482088.17</v>
      </c>
      <c r="F105" s="22"/>
      <c r="G105" s="19"/>
      <c r="H105" s="20" t="s">
        <v>649</v>
      </c>
    </row>
    <row r="106" customFormat="false" ht="18" hidden="false" customHeight="true" outlineLevel="0" collapsed="false">
      <c r="A106" s="18"/>
      <c r="B106" s="17" t="s">
        <v>650</v>
      </c>
      <c r="C106" s="19" t="n">
        <v>1005870.64</v>
      </c>
      <c r="D106" s="19"/>
      <c r="E106" s="19" t="n">
        <f aca="false">SUM($C$104:C106)</f>
        <v>2487958.81</v>
      </c>
      <c r="F106" s="22"/>
      <c r="G106" s="19"/>
      <c r="H106" s="20" t="s">
        <v>651</v>
      </c>
    </row>
    <row r="107" customFormat="false" ht="18" hidden="false" customHeight="true" outlineLevel="0" collapsed="false">
      <c r="A107" s="18"/>
      <c r="B107" s="17" t="s">
        <v>652</v>
      </c>
      <c r="C107" s="19" t="n">
        <v>2701160.67</v>
      </c>
      <c r="D107" s="19"/>
      <c r="E107" s="19" t="n">
        <f aca="false">SUM($C$104:C107)</f>
        <v>5189119.48</v>
      </c>
      <c r="F107" s="22"/>
      <c r="G107" s="19"/>
      <c r="H107" s="20" t="s">
        <v>653</v>
      </c>
    </row>
    <row r="108" customFormat="false" ht="18" hidden="false" customHeight="true" outlineLevel="0" collapsed="false">
      <c r="A108" s="18"/>
      <c r="B108" s="17" t="s">
        <v>654</v>
      </c>
      <c r="C108" s="19" t="n">
        <v>2417025.29</v>
      </c>
      <c r="D108" s="19"/>
      <c r="E108" s="19" t="n">
        <f aca="false">SUM($C$104:C108)</f>
        <v>7606144.77</v>
      </c>
      <c r="F108" s="22"/>
      <c r="G108" s="19"/>
      <c r="H108" s="20" t="s">
        <v>655</v>
      </c>
    </row>
    <row r="109" customFormat="false" ht="18" hidden="false" customHeight="true" outlineLevel="0" collapsed="false">
      <c r="A109" s="18"/>
      <c r="B109" s="17" t="s">
        <v>656</v>
      </c>
      <c r="C109" s="19" t="n">
        <v>504151.86</v>
      </c>
      <c r="D109" s="19"/>
      <c r="E109" s="19" t="n">
        <f aca="false">SUM($C$104:C109)</f>
        <v>8110296.63</v>
      </c>
      <c r="F109" s="22"/>
      <c r="G109" s="19"/>
      <c r="H109" s="20" t="s">
        <v>657</v>
      </c>
    </row>
    <row r="110" customFormat="false" ht="21.75" hidden="false" customHeight="true" outlineLevel="0" collapsed="false">
      <c r="A110" s="25"/>
      <c r="B110" s="25" t="s">
        <v>658</v>
      </c>
      <c r="C110" s="26" t="n">
        <f aca="false">SUM(C104:C109)</f>
        <v>8110296.63</v>
      </c>
      <c r="D110" s="26"/>
      <c r="E110" s="26"/>
      <c r="F110" s="27"/>
      <c r="G110" s="26"/>
      <c r="H110" s="53" t="s">
        <v>659</v>
      </c>
    </row>
    <row r="112" customFormat="false" ht="69.75" hidden="false" customHeight="true" outlineLevel="0" collapsed="false">
      <c r="A112" s="11" t="s">
        <v>660</v>
      </c>
      <c r="B112" s="11"/>
      <c r="C112" s="11"/>
      <c r="D112" s="11"/>
      <c r="E112" s="11"/>
      <c r="F112" s="11"/>
      <c r="G112" s="11"/>
      <c r="H112" s="11"/>
    </row>
    <row r="113" customFormat="false" ht="21" hidden="false" customHeight="true" outlineLevel="0" collapsed="false">
      <c r="A113" s="13"/>
      <c r="B113" s="13" t="s">
        <v>661</v>
      </c>
      <c r="C113" s="13" t="s">
        <v>658</v>
      </c>
      <c r="D113" s="13" t="s">
        <v>662</v>
      </c>
      <c r="E113" s="13" t="s">
        <v>663</v>
      </c>
      <c r="F113" s="48"/>
      <c r="G113" s="13"/>
      <c r="H113" s="13" t="s">
        <v>622</v>
      </c>
    </row>
    <row r="114" customFormat="false" ht="16.5" hidden="false" customHeight="true" outlineLevel="0" collapsed="false">
      <c r="A114" s="18"/>
      <c r="B114" s="17" t="s">
        <v>664</v>
      </c>
      <c r="C114" s="59" t="n">
        <v>8</v>
      </c>
      <c r="D114" s="59" t="n">
        <v>5</v>
      </c>
      <c r="E114" s="59" t="n">
        <v>3</v>
      </c>
      <c r="F114" s="22"/>
      <c r="G114" s="19"/>
      <c r="H114" s="20" t="s">
        <v>665</v>
      </c>
    </row>
    <row r="115" customFormat="false" ht="16.5" hidden="false" customHeight="true" outlineLevel="0" collapsed="false">
      <c r="A115" s="18"/>
      <c r="B115" s="17" t="s">
        <v>666</v>
      </c>
      <c r="C115" s="59" t="n">
        <v>14</v>
      </c>
      <c r="D115" s="59" t="n">
        <v>9</v>
      </c>
      <c r="E115" s="59" t="n">
        <v>5</v>
      </c>
      <c r="F115" s="22"/>
      <c r="G115" s="19"/>
      <c r="H115" s="20"/>
    </row>
    <row r="116" customFormat="false" ht="16.5" hidden="false" customHeight="true" outlineLevel="0" collapsed="false">
      <c r="A116" s="18"/>
      <c r="B116" s="17" t="s">
        <v>667</v>
      </c>
      <c r="C116" s="59" t="n">
        <v>13</v>
      </c>
      <c r="D116" s="59" t="n">
        <v>8</v>
      </c>
      <c r="E116" s="59" t="n">
        <v>5</v>
      </c>
      <c r="F116" s="22"/>
      <c r="G116" s="19"/>
      <c r="H116" s="20"/>
    </row>
    <row r="117" customFormat="false" ht="16.5" hidden="false" customHeight="true" outlineLevel="0" collapsed="false">
      <c r="A117" s="18"/>
      <c r="B117" s="17" t="s">
        <v>668</v>
      </c>
      <c r="C117" s="59" t="n">
        <v>12</v>
      </c>
      <c r="D117" s="59" t="n">
        <v>8</v>
      </c>
      <c r="E117" s="59" t="n">
        <v>4</v>
      </c>
      <c r="F117" s="22"/>
      <c r="G117" s="19"/>
      <c r="H117" s="20"/>
    </row>
    <row r="118" customFormat="false" ht="16.5" hidden="false" customHeight="true" outlineLevel="0" collapsed="false">
      <c r="A118" s="18"/>
      <c r="B118" s="17" t="s">
        <v>669</v>
      </c>
      <c r="C118" s="59" t="n">
        <v>11</v>
      </c>
      <c r="D118" s="59" t="n">
        <v>7</v>
      </c>
      <c r="E118" s="59" t="n">
        <v>4</v>
      </c>
      <c r="F118" s="22"/>
      <c r="G118" s="19"/>
      <c r="H118" s="20"/>
    </row>
    <row r="119" customFormat="false" ht="16.5" hidden="false" customHeight="true" outlineLevel="0" collapsed="false">
      <c r="A119" s="18"/>
      <c r="B119" s="17" t="s">
        <v>670</v>
      </c>
      <c r="C119" s="59" t="n">
        <v>10</v>
      </c>
      <c r="D119" s="59" t="n">
        <v>6</v>
      </c>
      <c r="E119" s="59" t="n">
        <v>4</v>
      </c>
      <c r="F119" s="22"/>
      <c r="G119" s="19"/>
      <c r="H119" s="20" t="s">
        <v>671</v>
      </c>
    </row>
    <row r="120" customFormat="false" ht="16.5" hidden="false" customHeight="true" outlineLevel="0" collapsed="false">
      <c r="A120" s="18"/>
      <c r="B120" s="17" t="s">
        <v>672</v>
      </c>
      <c r="C120" s="59" t="n">
        <v>10</v>
      </c>
      <c r="D120" s="59" t="n">
        <v>6</v>
      </c>
      <c r="E120" s="59" t="n">
        <v>4</v>
      </c>
      <c r="F120" s="22"/>
      <c r="G120" s="19"/>
      <c r="H120" s="20"/>
    </row>
    <row r="121" customFormat="false" ht="16.5" hidden="false" customHeight="true" outlineLevel="0" collapsed="false">
      <c r="A121" s="18"/>
      <c r="B121" s="17" t="s">
        <v>673</v>
      </c>
      <c r="C121" s="59" t="n">
        <v>8</v>
      </c>
      <c r="D121" s="59" t="n">
        <v>4</v>
      </c>
      <c r="E121" s="59" t="n">
        <v>4</v>
      </c>
      <c r="F121" s="22"/>
      <c r="G121" s="19"/>
      <c r="H121" s="20"/>
    </row>
    <row r="122" customFormat="false" ht="16.5" hidden="false" customHeight="true" outlineLevel="0" collapsed="false">
      <c r="A122" s="18"/>
      <c r="B122" s="17" t="s">
        <v>674</v>
      </c>
      <c r="C122" s="59" t="n">
        <v>14</v>
      </c>
      <c r="D122" s="59" t="n">
        <v>8</v>
      </c>
      <c r="E122" s="59" t="n">
        <v>6</v>
      </c>
      <c r="F122" s="22"/>
      <c r="G122" s="19"/>
      <c r="H122" s="20"/>
    </row>
    <row r="123" customFormat="false" ht="16.5" hidden="false" customHeight="true" outlineLevel="0" collapsed="false">
      <c r="A123" s="18"/>
      <c r="B123" s="17" t="s">
        <v>675</v>
      </c>
      <c r="C123" s="59" t="n">
        <v>35</v>
      </c>
      <c r="D123" s="59" t="n">
        <v>23</v>
      </c>
      <c r="E123" s="59" t="n">
        <v>12</v>
      </c>
      <c r="F123" s="22"/>
      <c r="G123" s="19"/>
      <c r="H123" s="20" t="s">
        <v>676</v>
      </c>
    </row>
    <row r="124" customFormat="false" ht="16.5" hidden="false" customHeight="true" outlineLevel="0" collapsed="false">
      <c r="A124" s="18"/>
      <c r="B124" s="17" t="s">
        <v>677</v>
      </c>
      <c r="C124" s="59" t="n">
        <v>26</v>
      </c>
      <c r="D124" s="59" t="n">
        <v>16</v>
      </c>
      <c r="E124" s="59" t="n">
        <v>10</v>
      </c>
      <c r="F124" s="22"/>
      <c r="G124" s="19"/>
      <c r="H124" s="20"/>
    </row>
    <row r="125" customFormat="false" ht="16.5" hidden="false" customHeight="true" outlineLevel="0" collapsed="false">
      <c r="A125" s="18"/>
      <c r="B125" s="17" t="s">
        <v>678</v>
      </c>
      <c r="C125" s="59" t="n">
        <v>19</v>
      </c>
      <c r="D125" s="59" t="n">
        <v>11</v>
      </c>
      <c r="E125" s="59" t="n">
        <v>8</v>
      </c>
      <c r="F125" s="22"/>
      <c r="G125" s="19"/>
      <c r="H125" s="20"/>
    </row>
    <row r="126" customFormat="false" ht="16.5" hidden="false" customHeight="true" outlineLevel="0" collapsed="false">
      <c r="A126" s="18"/>
      <c r="B126" s="17" t="s">
        <v>679</v>
      </c>
      <c r="C126" s="59" t="n">
        <v>16</v>
      </c>
      <c r="D126" s="59" t="n">
        <v>10</v>
      </c>
      <c r="E126" s="59" t="n">
        <v>6</v>
      </c>
      <c r="F126" s="22"/>
      <c r="G126" s="19"/>
      <c r="H126" s="20"/>
    </row>
    <row r="127" customFormat="false" ht="16.5" hidden="false" customHeight="true" outlineLevel="0" collapsed="false">
      <c r="A127" s="18"/>
      <c r="B127" s="17" t="s">
        <v>680</v>
      </c>
      <c r="C127" s="59" t="n">
        <v>13</v>
      </c>
      <c r="D127" s="59" t="n">
        <v>8</v>
      </c>
      <c r="E127" s="59" t="n">
        <v>5</v>
      </c>
      <c r="F127" s="22"/>
      <c r="G127" s="19"/>
      <c r="H127" s="20"/>
    </row>
    <row r="128" customFormat="false" ht="16.5" hidden="false" customHeight="true" outlineLevel="0" collapsed="false">
      <c r="A128" s="18"/>
      <c r="B128" s="17" t="s">
        <v>681</v>
      </c>
      <c r="C128" s="59" t="n">
        <v>7</v>
      </c>
      <c r="D128" s="59" t="n">
        <v>4</v>
      </c>
      <c r="E128" s="59" t="n">
        <v>3</v>
      </c>
      <c r="F128" s="22"/>
      <c r="G128" s="19"/>
      <c r="H128" s="20" t="s">
        <v>682</v>
      </c>
    </row>
    <row r="129" customFormat="false" ht="16.5" hidden="false" customHeight="true" outlineLevel="0" collapsed="false">
      <c r="A129" s="18"/>
      <c r="B129" s="17" t="s">
        <v>683</v>
      </c>
      <c r="C129" s="59" t="n">
        <v>5</v>
      </c>
      <c r="D129" s="59" t="n">
        <v>3</v>
      </c>
      <c r="E129" s="59" t="n">
        <v>2</v>
      </c>
      <c r="F129" s="22"/>
      <c r="G129" s="19"/>
      <c r="H129" s="20" t="s">
        <v>684</v>
      </c>
    </row>
    <row r="130" customFormat="false" ht="21.75" hidden="false" customHeight="true" outlineLevel="0" collapsed="false">
      <c r="A130" s="25"/>
      <c r="B130" s="25" t="s">
        <v>685</v>
      </c>
      <c r="C130" s="60" t="n">
        <f aca="false">SUM(C114:C129)</f>
        <v>221</v>
      </c>
      <c r="D130" s="60" t="n">
        <f aca="false">SUM(D114:D129)</f>
        <v>136</v>
      </c>
      <c r="E130" s="60" t="n">
        <f aca="false">SUM(E114:E129)</f>
        <v>85</v>
      </c>
      <c r="F130" s="27"/>
      <c r="G130" s="26"/>
      <c r="H130" s="53" t="s">
        <v>686</v>
      </c>
    </row>
  </sheetData>
  <mergeCells count="54">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A90:H90"/>
    <mergeCell ref="A92:H92"/>
    <mergeCell ref="A93:H93"/>
    <mergeCell ref="C94:D94"/>
    <mergeCell ref="C95:D95"/>
    <mergeCell ref="C96:D96"/>
    <mergeCell ref="C97:D97"/>
    <mergeCell ref="C98:D98"/>
    <mergeCell ref="C99:D99"/>
    <mergeCell ref="A102:H102"/>
    <mergeCell ref="C103:D103"/>
    <mergeCell ref="C104:D104"/>
    <mergeCell ref="C105:D105"/>
    <mergeCell ref="C106:D106"/>
    <mergeCell ref="C107:D107"/>
    <mergeCell ref="C108:D108"/>
    <mergeCell ref="C109:D109"/>
    <mergeCell ref="C110:D110"/>
    <mergeCell ref="A112:H112"/>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687</v>
      </c>
    </row>
    <row r="2" customFormat="false" ht="17.25" hidden="false" customHeight="true" outlineLevel="0" collapsed="false">
      <c r="A2" s="9" t="s">
        <v>30</v>
      </c>
    </row>
    <row r="3" customFormat="false" ht="15" hidden="false" customHeight="false" outlineLevel="0" collapsed="false">
      <c r="A3" s="10" t="s">
        <v>31</v>
      </c>
    </row>
    <row r="4" customFormat="false" ht="84" hidden="false" customHeight="true" outlineLevel="0" collapsed="false">
      <c r="A4" s="11" t="s">
        <v>688</v>
      </c>
      <c r="B4" s="11"/>
      <c r="C4" s="11"/>
      <c r="D4" s="11"/>
      <c r="E4" s="11"/>
      <c r="F4" s="11"/>
      <c r="G4" s="11"/>
      <c r="H4" s="11"/>
      <c r="I4" s="11"/>
      <c r="J4" s="11"/>
    </row>
    <row r="5" customFormat="false" ht="15" hidden="false" customHeight="true" outlineLevel="0" collapsed="false">
      <c r="B5" s="36" t="s">
        <v>689</v>
      </c>
      <c r="J5" s="36" t="s">
        <v>690</v>
      </c>
    </row>
    <row r="6" customFormat="false" ht="21" hidden="false" customHeight="true" outlineLevel="0" collapsed="false">
      <c r="A6" s="15" t="s">
        <v>691</v>
      </c>
      <c r="B6" s="15"/>
      <c r="C6" s="15"/>
      <c r="D6" s="15"/>
      <c r="E6" s="15"/>
      <c r="F6" s="15"/>
      <c r="G6" s="15"/>
      <c r="H6" s="15"/>
      <c r="I6" s="15"/>
      <c r="J6" s="15"/>
    </row>
    <row r="7" customFormat="false" ht="69.75" hidden="false" customHeight="true" outlineLevel="0" collapsed="false">
      <c r="A7" s="11" t="s">
        <v>692</v>
      </c>
      <c r="B7" s="11"/>
      <c r="C7" s="11"/>
      <c r="D7" s="11"/>
      <c r="E7" s="11"/>
      <c r="F7" s="11"/>
      <c r="G7" s="11"/>
      <c r="H7" s="11"/>
      <c r="I7" s="11"/>
      <c r="J7" s="11"/>
    </row>
    <row r="8" customFormat="false" ht="43.5" hidden="false" customHeight="true" outlineLevel="0" collapsed="false">
      <c r="A8" s="11" t="s">
        <v>693</v>
      </c>
      <c r="B8" s="11"/>
      <c r="C8" s="11"/>
      <c r="D8" s="11"/>
      <c r="E8" s="11"/>
      <c r="F8" s="11"/>
      <c r="G8" s="11"/>
      <c r="H8" s="11"/>
      <c r="I8" s="11"/>
      <c r="J8" s="11"/>
    </row>
    <row r="9" customFormat="false" ht="57" hidden="false" customHeight="true" outlineLevel="0" collapsed="false">
      <c r="A9" s="11" t="s">
        <v>694</v>
      </c>
      <c r="B9" s="11"/>
      <c r="C9" s="11"/>
      <c r="D9" s="11"/>
      <c r="E9" s="11"/>
      <c r="F9" s="11"/>
      <c r="G9" s="11"/>
      <c r="H9" s="11"/>
      <c r="I9" s="11"/>
      <c r="J9" s="11"/>
    </row>
    <row r="11" customFormat="false" ht="21" hidden="false" customHeight="true" outlineLevel="0" collapsed="false">
      <c r="A11" s="15" t="s">
        <v>695</v>
      </c>
      <c r="B11" s="15"/>
      <c r="C11" s="15"/>
      <c r="D11" s="15"/>
      <c r="E11" s="15"/>
      <c r="F11" s="15"/>
      <c r="G11" s="15"/>
      <c r="H11" s="15"/>
      <c r="I11" s="15"/>
      <c r="J11" s="15"/>
    </row>
    <row r="12" customFormat="false" ht="31.5" hidden="false" customHeight="true" outlineLevel="0" collapsed="false">
      <c r="A12" s="13" t="s">
        <v>94</v>
      </c>
      <c r="B12" s="13" t="s">
        <v>696</v>
      </c>
      <c r="C12" s="13" t="s">
        <v>697</v>
      </c>
      <c r="D12" s="13"/>
      <c r="E12" s="13"/>
      <c r="F12" s="13"/>
      <c r="G12" s="13"/>
      <c r="H12" s="13"/>
      <c r="I12" s="13" t="s">
        <v>698</v>
      </c>
      <c r="J12" s="13"/>
    </row>
    <row r="13" customFormat="false" ht="42" hidden="false" customHeight="true" outlineLevel="0" collapsed="false">
      <c r="A13" s="18" t="s">
        <v>699</v>
      </c>
      <c r="B13" s="17" t="s">
        <v>700</v>
      </c>
      <c r="C13" s="54" t="s">
        <v>701</v>
      </c>
      <c r="D13" s="54"/>
      <c r="E13" s="54"/>
      <c r="F13" s="54"/>
      <c r="G13" s="54"/>
      <c r="H13" s="54"/>
      <c r="I13" s="20" t="s">
        <v>702</v>
      </c>
      <c r="J13" s="20"/>
    </row>
    <row r="14" customFormat="false" ht="42" hidden="false" customHeight="true" outlineLevel="0" collapsed="false">
      <c r="A14" s="18" t="s">
        <v>703</v>
      </c>
      <c r="B14" s="17" t="s">
        <v>704</v>
      </c>
      <c r="C14" s="61" t="n">
        <v>46288</v>
      </c>
      <c r="D14" s="61"/>
      <c r="E14" s="61"/>
      <c r="F14" s="61"/>
      <c r="G14" s="61"/>
      <c r="H14" s="61"/>
      <c r="I14" s="20" t="s">
        <v>705</v>
      </c>
      <c r="J14" s="20"/>
    </row>
    <row r="15" customFormat="false" ht="30" hidden="false" customHeight="true" outlineLevel="0" collapsed="false">
      <c r="A15" s="18" t="s">
        <v>706</v>
      </c>
      <c r="B15" s="17" t="s">
        <v>707</v>
      </c>
      <c r="C15" s="62" t="n">
        <v>30.4</v>
      </c>
      <c r="D15" s="62"/>
      <c r="E15" s="62"/>
      <c r="F15" s="62"/>
      <c r="G15" s="62"/>
      <c r="H15" s="62"/>
      <c r="I15" s="20" t="s">
        <v>708</v>
      </c>
      <c r="J15" s="20"/>
    </row>
    <row r="17" customFormat="false" ht="21" hidden="false" customHeight="true" outlineLevel="0" collapsed="false">
      <c r="A17" s="15" t="s">
        <v>709</v>
      </c>
      <c r="B17" s="15"/>
      <c r="C17" s="15"/>
      <c r="D17" s="15"/>
      <c r="E17" s="15"/>
      <c r="F17" s="15"/>
      <c r="G17" s="15"/>
      <c r="H17" s="15"/>
      <c r="I17" s="15"/>
      <c r="J17" s="15"/>
    </row>
    <row r="18" customFormat="false" ht="57.75" hidden="false" customHeight="true" outlineLevel="0" collapsed="false">
      <c r="A18" s="11" t="s">
        <v>710</v>
      </c>
      <c r="B18" s="11"/>
      <c r="C18" s="11"/>
      <c r="D18" s="11"/>
      <c r="E18" s="11"/>
      <c r="F18" s="11"/>
      <c r="G18" s="11"/>
      <c r="H18" s="11"/>
      <c r="I18" s="11"/>
      <c r="J18" s="11"/>
    </row>
    <row r="19" customFormat="false" ht="54.75" hidden="false" customHeight="true" outlineLevel="0" collapsed="false">
      <c r="A19" s="13" t="s">
        <v>94</v>
      </c>
      <c r="B19" s="13" t="s">
        <v>711</v>
      </c>
      <c r="C19" s="13" t="s">
        <v>712</v>
      </c>
      <c r="D19" s="13" t="s">
        <v>713</v>
      </c>
      <c r="E19" s="13" t="s">
        <v>714</v>
      </c>
      <c r="F19" s="13" t="s">
        <v>715</v>
      </c>
      <c r="G19" s="13" t="s">
        <v>716</v>
      </c>
      <c r="H19" s="13" t="s">
        <v>717</v>
      </c>
      <c r="I19" s="13" t="s">
        <v>718</v>
      </c>
      <c r="J19" s="13"/>
    </row>
    <row r="20" customFormat="false" ht="42" hidden="false" customHeight="true" outlineLevel="0" collapsed="false">
      <c r="A20" s="18" t="s">
        <v>719</v>
      </c>
      <c r="B20" s="17" t="s">
        <v>720</v>
      </c>
      <c r="C20" s="63" t="n">
        <f aca="false">INDEX('XER WBS'!$J$69:$J$149,MATCH("QCD18TSEMOB1240",'XER WBS'!$A$69:$A$149,0))</f>
        <v>46256</v>
      </c>
      <c r="D20" s="63" t="n">
        <f aca="false">INDEX('XER WBS'!$K$69:$K$149,MATCH("QCD18TSEMOB1250",'XER WBS'!$A$69:$A$149,0))</f>
        <v>46260</v>
      </c>
      <c r="E20" s="59" t="n">
        <f aca="false">D20-C20+1</f>
        <v>5</v>
      </c>
      <c r="F20" s="64" t="n">
        <f aca="false">C20</f>
        <v>46256</v>
      </c>
      <c r="G20" s="64" t="n">
        <f aca="false">D20</f>
        <v>46260</v>
      </c>
      <c r="H20" s="59" t="n">
        <f aca="false">E20</f>
        <v>5</v>
      </c>
      <c r="I20" s="20" t="s">
        <v>721</v>
      </c>
      <c r="J20" s="20"/>
    </row>
    <row r="21" customFormat="false" ht="54.75" hidden="false" customHeight="true" outlineLevel="0" collapsed="false">
      <c r="A21" s="18" t="s">
        <v>722</v>
      </c>
      <c r="B21" s="17" t="s">
        <v>723</v>
      </c>
      <c r="C21" s="63" t="n">
        <f aca="false">INDEX('XER WBS'!$J$69:$J$149,MATCH("QCD18TSECONDSM1020",'XER WBS'!$A$69:$A$149,0))</f>
        <v>46261</v>
      </c>
      <c r="D21" s="63" t="n">
        <f aca="false">INDEX('XER WBS'!$K$69:$K$149,MATCH("QCD18TSECONDSM1030",'XER WBS'!$A$69:$A$149,0))</f>
        <v>46277</v>
      </c>
      <c r="E21" s="59" t="n">
        <f aca="false">D21-C21+1</f>
        <v>17</v>
      </c>
      <c r="F21" s="64" t="n">
        <f aca="false">C21</f>
        <v>46261</v>
      </c>
      <c r="G21" s="64" t="n">
        <f aca="false">D21</f>
        <v>46277</v>
      </c>
      <c r="H21" s="59" t="n">
        <f aca="false">E21</f>
        <v>17</v>
      </c>
      <c r="I21" s="20" t="s">
        <v>724</v>
      </c>
      <c r="J21" s="20"/>
    </row>
    <row r="22" customFormat="false" ht="54.75" hidden="false" customHeight="true" outlineLevel="0" collapsed="false">
      <c r="A22" s="13" t="s">
        <v>94</v>
      </c>
      <c r="B22" s="13" t="s">
        <v>711</v>
      </c>
      <c r="C22" s="13" t="s">
        <v>712</v>
      </c>
      <c r="D22" s="13" t="s">
        <v>713</v>
      </c>
      <c r="E22" s="13" t="s">
        <v>714</v>
      </c>
      <c r="F22" s="13" t="s">
        <v>715</v>
      </c>
      <c r="G22" s="13" t="s">
        <v>716</v>
      </c>
      <c r="H22" s="13" t="s">
        <v>717</v>
      </c>
      <c r="I22" s="13" t="s">
        <v>718</v>
      </c>
      <c r="J22" s="13"/>
    </row>
    <row r="23" customFormat="false" ht="80.25" hidden="false" customHeight="true" outlineLevel="0" collapsed="false">
      <c r="A23" s="18" t="s">
        <v>725</v>
      </c>
      <c r="B23" s="17" t="s">
        <v>726</v>
      </c>
      <c r="C23" s="63" t="n">
        <f aca="false">INDEX('XER WBS'!$J$69:$J$149,MATCH("QCD18TSECONT1INS1020",'XER WBS'!$A$69:$A$149,0))</f>
        <v>46277</v>
      </c>
      <c r="D23" s="63" t="n">
        <f aca="false">INDEX('XER WBS'!$K$69:$K$149,MATCH("QCD18TSECONT1INS1020",'XER WBS'!$A$69:$A$149,0))</f>
        <v>46300</v>
      </c>
      <c r="E23" s="59" t="n">
        <f aca="false">NETWORKDAYS.INTL(C23,D23,"0000100",$C$14)</f>
        <v>20</v>
      </c>
      <c r="F23" s="64" t="n">
        <f aca="false">C23</f>
        <v>46277</v>
      </c>
      <c r="G23" s="64" t="n">
        <f aca="false">D23</f>
        <v>46300</v>
      </c>
      <c r="H23" s="59" t="n">
        <f aca="false">E23</f>
        <v>20</v>
      </c>
      <c r="I23" s="20" t="s">
        <v>727</v>
      </c>
      <c r="J23" s="20"/>
    </row>
    <row r="24" customFormat="false" ht="54.75" hidden="false" customHeight="true" outlineLevel="0" collapsed="false">
      <c r="A24" s="18" t="s">
        <v>728</v>
      </c>
      <c r="B24" s="17" t="s">
        <v>729</v>
      </c>
      <c r="C24" s="63" t="n">
        <f aca="false">INDEX('XER WBS'!$J$69:$J$149,MATCH("QCD18TSECONT1INS1030",'XER WBS'!$A$69:$A$149,0))</f>
        <v>46301</v>
      </c>
      <c r="D24" s="63" t="n">
        <f aca="false">INDEX('XER WBS'!$K$69:$K$149,MATCH("QCD18TSECONT1INS1030",'XER WBS'!$A$69:$A$149,0))</f>
        <v>46319</v>
      </c>
      <c r="E24" s="59" t="n">
        <f aca="false">NETWORKDAYS.INTL(C24,D24,"0000100",$C$14)</f>
        <v>16</v>
      </c>
      <c r="F24" s="64" t="n">
        <f aca="false">C24</f>
        <v>46301</v>
      </c>
      <c r="G24" s="64" t="n">
        <f aca="false">D24</f>
        <v>46319</v>
      </c>
      <c r="H24" s="59" t="n">
        <f aca="false">E24</f>
        <v>16</v>
      </c>
      <c r="I24" s="20" t="s">
        <v>730</v>
      </c>
      <c r="J24" s="20"/>
    </row>
    <row r="25" customFormat="false" ht="42" hidden="false" customHeight="true" outlineLevel="0" collapsed="false">
      <c r="A25" s="18" t="s">
        <v>731</v>
      </c>
      <c r="B25" s="17" t="s">
        <v>732</v>
      </c>
      <c r="C25" s="63" t="n">
        <f aca="false">INDEX('XER WBS'!$J$69:$J$149,MATCH("QCD18TSECONT1INS1060",'XER WBS'!$A$69:$A$149,0))</f>
        <v>46303</v>
      </c>
      <c r="D25" s="63" t="n">
        <f aca="false">INDEX('XER WBS'!$K$69:$K$149,MATCH("QCD18TSECONT1INS1060",'XER WBS'!$A$69:$A$149,0))</f>
        <v>46324</v>
      </c>
      <c r="E25" s="59" t="n">
        <f aca="false">NETWORKDAYS.INTL(C25,D25,"0000100",$C$14)</f>
        <v>19</v>
      </c>
      <c r="F25" s="64" t="n">
        <f aca="false">C25</f>
        <v>46303</v>
      </c>
      <c r="G25" s="64" t="n">
        <f aca="false">D25</f>
        <v>46324</v>
      </c>
      <c r="H25" s="59" t="n">
        <f aca="false">E25</f>
        <v>19</v>
      </c>
      <c r="I25" s="20" t="s">
        <v>733</v>
      </c>
      <c r="J25" s="20"/>
    </row>
    <row r="26" customFormat="false" ht="30" hidden="false" customHeight="true" outlineLevel="0" collapsed="false">
      <c r="A26" s="18" t="s">
        <v>734</v>
      </c>
      <c r="B26" s="17" t="s">
        <v>735</v>
      </c>
      <c r="C26" s="63" t="n">
        <f aca="false">INDEX('XER WBS'!$J$69:$J$149,MATCH("QCD18TSECONT1INS1040",'XER WBS'!$A$69:$A$149,0))</f>
        <v>46326</v>
      </c>
      <c r="D26" s="63" t="n">
        <f aca="false">INDEX('XER WBS'!$K$69:$K$149,MATCH("QCD18TSECONT1INS1040",'XER WBS'!$A$69:$A$149,0))</f>
        <v>46330</v>
      </c>
      <c r="E26" s="59" t="n">
        <f aca="false">NETWORKDAYS.INTL(C26,D26,"0000100",$C$14)</f>
        <v>5</v>
      </c>
      <c r="F26" s="64" t="n">
        <f aca="false">C26</f>
        <v>46326</v>
      </c>
      <c r="G26" s="64" t="n">
        <f aca="false">D26</f>
        <v>46330</v>
      </c>
      <c r="H26" s="59" t="n">
        <f aca="false">E26</f>
        <v>5</v>
      </c>
      <c r="I26" s="20" t="s">
        <v>736</v>
      </c>
      <c r="J26" s="20"/>
    </row>
    <row r="27" customFormat="false" ht="30" hidden="false" customHeight="true" outlineLevel="0" collapsed="false">
      <c r="A27" s="18" t="s">
        <v>737</v>
      </c>
      <c r="B27" s="17" t="s">
        <v>738</v>
      </c>
      <c r="C27" s="63" t="n">
        <f aca="false">INDEX('XER WBS'!$J$69:$J$149,MATCH("QCD18TSECONT1INS1050",'XER WBS'!$A$69:$A$149,0))</f>
        <v>46331</v>
      </c>
      <c r="D27" s="63" t="n">
        <f aca="false">INDEX('XER WBS'!$K$69:$K$149,MATCH("QCD18TSECONT1INS1050",'XER WBS'!$A$69:$A$149,0))</f>
        <v>46337</v>
      </c>
      <c r="E27" s="59" t="n">
        <f aca="false">NETWORKDAYS.INTL(C27,D27,"0000100",$C$14)</f>
        <v>6</v>
      </c>
      <c r="F27" s="64" t="n">
        <f aca="false">C27</f>
        <v>46331</v>
      </c>
      <c r="G27" s="64" t="n">
        <f aca="false">D27</f>
        <v>46337</v>
      </c>
      <c r="H27" s="59" t="n">
        <f aca="false">E27</f>
        <v>6</v>
      </c>
      <c r="I27" s="20" t="s">
        <v>739</v>
      </c>
      <c r="J27" s="20"/>
    </row>
    <row r="28" customFormat="false" ht="42" hidden="false" customHeight="true" outlineLevel="0" collapsed="false">
      <c r="A28" s="18" t="s">
        <v>740</v>
      </c>
      <c r="B28" s="17" t="s">
        <v>741</v>
      </c>
      <c r="C28" s="63" t="n">
        <f aca="false">INDEX('XER WBS'!$J$69:$J$149,MATCH("QCD18TSECONT1MW2050",'XER WBS'!$A$69:$A$149,0))</f>
        <v>46335</v>
      </c>
      <c r="D28" s="63" t="n">
        <f aca="false">INDEX('XER WBS'!$K$69:$K$149,MATCH("QCD18TSECONT1MW2055",'XER WBS'!$A$69:$A$149,0))</f>
        <v>46342</v>
      </c>
      <c r="E28" s="59" t="n">
        <f aca="false">NETWORKDAYS.INTL(C28,D28,"0000100",$C$14)</f>
        <v>7</v>
      </c>
      <c r="F28" s="64" t="n">
        <f aca="false">C28</f>
        <v>46335</v>
      </c>
      <c r="G28" s="64" t="n">
        <f aca="false">D28</f>
        <v>46342</v>
      </c>
      <c r="H28" s="59" t="n">
        <f aca="false">E28</f>
        <v>7</v>
      </c>
      <c r="I28" s="20" t="s">
        <v>742</v>
      </c>
      <c r="J28" s="20"/>
    </row>
    <row r="29" customFormat="false" ht="54.75" hidden="false" customHeight="true" outlineLevel="0" collapsed="false">
      <c r="A29" s="18" t="s">
        <v>743</v>
      </c>
      <c r="B29" s="17" t="s">
        <v>744</v>
      </c>
      <c r="C29" s="63" t="n">
        <f aca="false">INDEX('XER WBS'!$J$69:$J$149,MATCH("QCD18TSECONT2INS1020",'XER WBS'!$A$69:$A$149,0))</f>
        <v>46317</v>
      </c>
      <c r="D29" s="63" t="n">
        <f aca="false">INDEX('XER WBS'!$K$69:$K$149,MATCH("QCD18TSECONT2INS1020",'XER WBS'!$A$69:$A$149,0))</f>
        <v>46323</v>
      </c>
      <c r="E29" s="59" t="n">
        <f aca="false">NETWORKDAYS.INTL(C29,D29,"0000100",$C$14)</f>
        <v>6</v>
      </c>
      <c r="F29" s="64" t="n">
        <f aca="false">C29</f>
        <v>46317</v>
      </c>
      <c r="G29" s="64" t="n">
        <f aca="false">D29</f>
        <v>46323</v>
      </c>
      <c r="H29" s="59" t="n">
        <f aca="false">E29</f>
        <v>6</v>
      </c>
      <c r="I29" s="20" t="s">
        <v>745</v>
      </c>
      <c r="J29" s="20"/>
    </row>
    <row r="30" customFormat="false" ht="30" hidden="false" customHeight="true" outlineLevel="0" collapsed="false">
      <c r="A30" s="18" t="s">
        <v>746</v>
      </c>
      <c r="B30" s="17" t="s">
        <v>747</v>
      </c>
      <c r="C30" s="63" t="n">
        <f aca="false">INDEX('XER WBS'!$J$69:$J$149,MATCH("QCD18TSECONT2INS1030",'XER WBS'!$A$69:$A$149,0))</f>
        <v>46324</v>
      </c>
      <c r="D30" s="63" t="n">
        <f aca="false">INDEX('XER WBS'!$K$69:$K$149,MATCH("QCD18TSECONT2INS1030",'XER WBS'!$A$69:$A$149,0))</f>
        <v>46337</v>
      </c>
      <c r="E30" s="59" t="n">
        <f aca="false">NETWORKDAYS.INTL(C30,D30,"0000100",$C$14)</f>
        <v>12</v>
      </c>
      <c r="F30" s="64" t="n">
        <f aca="false">C30</f>
        <v>46324</v>
      </c>
      <c r="G30" s="64" t="n">
        <f aca="false">D30</f>
        <v>46337</v>
      </c>
      <c r="H30" s="59" t="n">
        <f aca="false">E30</f>
        <v>12</v>
      </c>
      <c r="I30" s="20" t="s">
        <v>748</v>
      </c>
      <c r="J30" s="20"/>
    </row>
    <row r="31" customFormat="false" ht="30" hidden="false" customHeight="true" outlineLevel="0" collapsed="false">
      <c r="A31" s="18" t="s">
        <v>749</v>
      </c>
      <c r="B31" s="17" t="s">
        <v>750</v>
      </c>
      <c r="C31" s="63" t="n">
        <f aca="false">INDEX('XER WBS'!$J$69:$J$149,MATCH("QCD18TSECONT2INS1060",'XER WBS'!$A$69:$A$149,0))</f>
        <v>46327</v>
      </c>
      <c r="D31" s="63" t="n">
        <f aca="false">INDEX('XER WBS'!$K$69:$K$149,MATCH("QCD18TSECONT2INS1060",'XER WBS'!$A$69:$A$149,0))</f>
        <v>46343</v>
      </c>
      <c r="E31" s="59" t="n">
        <f aca="false">NETWORKDAYS.INTL(C31,D31,"0000100",$C$14)</f>
        <v>15</v>
      </c>
      <c r="F31" s="64" t="n">
        <f aca="false">C31</f>
        <v>46327</v>
      </c>
      <c r="G31" s="64" t="n">
        <f aca="false">D31</f>
        <v>46343</v>
      </c>
      <c r="H31" s="59" t="n">
        <f aca="false">E31</f>
        <v>15</v>
      </c>
      <c r="I31" s="20" t="s">
        <v>751</v>
      </c>
      <c r="J31" s="20"/>
    </row>
    <row r="32" customFormat="false" ht="30" hidden="false" customHeight="true" outlineLevel="0" collapsed="false">
      <c r="A32" s="18" t="s">
        <v>752</v>
      </c>
      <c r="B32" s="17" t="s">
        <v>753</v>
      </c>
      <c r="C32" s="63" t="n">
        <f aca="false">INDEX('XER WBS'!$J$69:$J$149,MATCH("QCD18TSECONT2INS1040",'XER WBS'!$A$69:$A$149,0))</f>
        <v>46344</v>
      </c>
      <c r="D32" s="63" t="n">
        <f aca="false">INDEX('XER WBS'!$K$69:$K$149,MATCH("QCD18TSECONT2INS1040",'XER WBS'!$A$69:$A$149,0))</f>
        <v>46349</v>
      </c>
      <c r="E32" s="59" t="n">
        <f aca="false">NETWORKDAYS.INTL(C32,D32,"0000100",$C$14)</f>
        <v>5</v>
      </c>
      <c r="F32" s="64" t="n">
        <f aca="false">C32</f>
        <v>46344</v>
      </c>
      <c r="G32" s="64" t="n">
        <f aca="false">D32</f>
        <v>46349</v>
      </c>
      <c r="H32" s="59" t="n">
        <f aca="false">E32</f>
        <v>5</v>
      </c>
      <c r="I32" s="20" t="s">
        <v>754</v>
      </c>
      <c r="J32" s="20"/>
    </row>
    <row r="33" customFormat="false" ht="30" hidden="false" customHeight="true" outlineLevel="0" collapsed="false">
      <c r="A33" s="18" t="s">
        <v>755</v>
      </c>
      <c r="B33" s="17" t="s">
        <v>756</v>
      </c>
      <c r="C33" s="63" t="n">
        <f aca="false">INDEX('XER WBS'!$J$69:$J$149,MATCH("QCD18TSECONT2INS1050",'XER WBS'!$A$69:$A$149,0))</f>
        <v>46350</v>
      </c>
      <c r="D33" s="63" t="n">
        <f aca="false">INDEX('XER WBS'!$K$69:$K$149,MATCH("QCD18TSECONT2INS1050",'XER WBS'!$A$69:$A$149,0))</f>
        <v>46356</v>
      </c>
      <c r="E33" s="59" t="n">
        <f aca="false">NETWORKDAYS.INTL(C33,D33,"0000100",$C$14)</f>
        <v>6</v>
      </c>
      <c r="F33" s="64" t="n">
        <f aca="false">C33</f>
        <v>46350</v>
      </c>
      <c r="G33" s="64" t="n">
        <f aca="false">D33</f>
        <v>46356</v>
      </c>
      <c r="H33" s="59" t="n">
        <f aca="false">E33</f>
        <v>6</v>
      </c>
      <c r="I33" s="20" t="s">
        <v>757</v>
      </c>
      <c r="J33" s="20"/>
    </row>
    <row r="34" customFormat="false" ht="30" hidden="false" customHeight="true" outlineLevel="0" collapsed="false">
      <c r="A34" s="18" t="s">
        <v>758</v>
      </c>
      <c r="B34" s="17" t="s">
        <v>759</v>
      </c>
      <c r="C34" s="63" t="n">
        <f aca="false">INDEX('XER WBS'!$J$69:$J$149,MATCH("QCD18TSECONT2MW2030",'XER WBS'!$A$69:$A$149,0))</f>
        <v>46354</v>
      </c>
      <c r="D34" s="63" t="n">
        <f aca="false">INDEX('XER WBS'!$K$69:$K$149,MATCH("QCD18TSECONT2MW2020",'XER WBS'!$A$69:$A$149,0))</f>
        <v>46359</v>
      </c>
      <c r="E34" s="59" t="n">
        <f aca="false">NETWORKDAYS.INTL(C34,D34,"0000100",$C$14)</f>
        <v>6</v>
      </c>
      <c r="F34" s="64" t="n">
        <f aca="false">C34</f>
        <v>46354</v>
      </c>
      <c r="G34" s="64" t="n">
        <f aca="false">D34</f>
        <v>46359</v>
      </c>
      <c r="H34" s="59" t="n">
        <f aca="false">E34</f>
        <v>6</v>
      </c>
      <c r="I34" s="20" t="s">
        <v>760</v>
      </c>
      <c r="J34" s="20"/>
    </row>
    <row r="35" customFormat="false" ht="54.75" hidden="false" customHeight="true" outlineLevel="0" collapsed="false">
      <c r="A35" s="18" t="s">
        <v>761</v>
      </c>
      <c r="B35" s="17" t="s">
        <v>762</v>
      </c>
      <c r="C35" s="63" t="n">
        <f aca="false">INDEX('XER WBS'!$J$69:$J$149,MATCH("QCD18TSECONIF2050",'XER WBS'!$A$69:$A$149,0))</f>
        <v>46359</v>
      </c>
      <c r="D35" s="63" t="n">
        <f aca="false">INDEX('XER WBS'!$K$69:$K$149,MATCH("QCD18TSECONIF2050",'XER WBS'!$A$69:$A$149,0))</f>
        <v>46359</v>
      </c>
      <c r="E35" s="59" t="s">
        <v>763</v>
      </c>
      <c r="F35" s="64" t="n">
        <f aca="false">C35</f>
        <v>46359</v>
      </c>
      <c r="G35" s="64" t="n">
        <f aca="false">D35</f>
        <v>46359</v>
      </c>
      <c r="H35" s="59" t="s">
        <v>763</v>
      </c>
      <c r="I35" s="20" t="s">
        <v>764</v>
      </c>
      <c r="J35" s="20"/>
    </row>
    <row r="36" customFormat="false" ht="30" hidden="false" customHeight="true" outlineLevel="0" collapsed="false">
      <c r="A36" s="18" t="s">
        <v>765</v>
      </c>
      <c r="B36" s="17" t="s">
        <v>766</v>
      </c>
      <c r="C36" s="63" t="n">
        <f aca="false">INDEX('XER WBS'!$J$69:$J$149,MATCH("QCD18TSECONTC2040",'XER WBS'!$A$69:$A$149,0))</f>
        <v>46361</v>
      </c>
      <c r="D36" s="63" t="n">
        <f aca="false">INDEX('XER WBS'!$K$69:$K$149,MATCH("QCD18TSECONTC2040",'XER WBS'!$A$69:$A$149,0))</f>
        <v>46364</v>
      </c>
      <c r="E36" s="59" t="n">
        <f aca="false">NETWORKDAYS.INTL(C36,D36,"0000100",$C$14)</f>
        <v>4</v>
      </c>
      <c r="F36" s="64" t="n">
        <f aca="false">C36</f>
        <v>46361</v>
      </c>
      <c r="G36" s="64" t="n">
        <f aca="false">D36</f>
        <v>46364</v>
      </c>
      <c r="H36" s="59" t="n">
        <f aca="false">E36</f>
        <v>4</v>
      </c>
      <c r="I36" s="20" t="s">
        <v>767</v>
      </c>
      <c r="J36" s="20"/>
    </row>
    <row r="37" customFormat="false" ht="80.25" hidden="false" customHeight="true" outlineLevel="0" collapsed="false">
      <c r="A37" s="18" t="s">
        <v>768</v>
      </c>
      <c r="B37" s="17" t="s">
        <v>769</v>
      </c>
      <c r="C37" s="63" t="n">
        <f aca="false">INDEX('XER WBS'!$J$69:$J$149,MATCH("QCD18TSECONTCT12050",'XER WBS'!$A$69:$A$149,0))</f>
        <v>46365</v>
      </c>
      <c r="D37" s="63" t="n">
        <f aca="false">INDEX('XER WBS'!$K$69:$K$149,MATCH("QCD18TSECONTCT22030",'XER WBS'!$A$69:$A$149,0))</f>
        <v>46372</v>
      </c>
      <c r="E37" s="59" t="n">
        <f aca="false">NETWORKDAYS.INTL(C37,D37,"0000100",$C$14)</f>
        <v>7</v>
      </c>
      <c r="F37" s="64" t="s">
        <v>763</v>
      </c>
      <c r="G37" s="64" t="s">
        <v>763</v>
      </c>
      <c r="H37" s="59" t="s">
        <v>763</v>
      </c>
      <c r="I37" s="20" t="s">
        <v>770</v>
      </c>
      <c r="J37" s="20"/>
    </row>
    <row r="38" customFormat="false" ht="54.75" hidden="false" customHeight="true" outlineLevel="0" collapsed="false">
      <c r="A38" s="13" t="s">
        <v>94</v>
      </c>
      <c r="B38" s="13" t="s">
        <v>711</v>
      </c>
      <c r="C38" s="13" t="s">
        <v>712</v>
      </c>
      <c r="D38" s="13" t="s">
        <v>713</v>
      </c>
      <c r="E38" s="13" t="s">
        <v>714</v>
      </c>
      <c r="F38" s="13" t="s">
        <v>715</v>
      </c>
      <c r="G38" s="13" t="s">
        <v>716</v>
      </c>
      <c r="H38" s="13" t="s">
        <v>717</v>
      </c>
      <c r="I38" s="13" t="s">
        <v>718</v>
      </c>
      <c r="J38" s="13"/>
    </row>
    <row r="39" customFormat="false" ht="208.5" hidden="false" customHeight="true" outlineLevel="0" collapsed="false">
      <c r="A39" s="18" t="s">
        <v>771</v>
      </c>
      <c r="B39" s="17" t="s">
        <v>772</v>
      </c>
      <c r="C39" s="64" t="str">
        <f aca="false">G37</f>
        <v>-</v>
      </c>
      <c r="D39" s="64" t="str">
        <f aca="false">G37</f>
        <v>-</v>
      </c>
      <c r="E39" s="59" t="str">
        <f aca="false">G37</f>
        <v>-</v>
      </c>
      <c r="F39" s="64" t="n">
        <f aca="false">WORKDAY.INTL(D28,1,"0000100",$C$14)</f>
        <v>46343</v>
      </c>
      <c r="G39" s="64" t="n">
        <f aca="false">WORKDAY.INTL(F39,H39-1,"0000100",$C$14)</f>
        <v>46350</v>
      </c>
      <c r="H39" s="65" t="n">
        <f aca="false">INDEX('XER WBS'!$I$69:$I$149,MATCH("QCD18TSECONTCT12050",'XER WBS'!$A$69:$A$149,0))</f>
        <v>7</v>
      </c>
      <c r="I39" s="20" t="s">
        <v>773</v>
      </c>
      <c r="J39" s="20"/>
    </row>
    <row r="40" customFormat="false" ht="105.75" hidden="false" customHeight="true" outlineLevel="0" collapsed="false">
      <c r="A40" s="18" t="s">
        <v>774</v>
      </c>
      <c r="B40" s="17" t="s">
        <v>775</v>
      </c>
      <c r="C40" s="64" t="str">
        <f aca="false">G37</f>
        <v>-</v>
      </c>
      <c r="D40" s="64" t="str">
        <f aca="false">G37</f>
        <v>-</v>
      </c>
      <c r="E40" s="59" t="str">
        <f aca="false">G37</f>
        <v>-</v>
      </c>
      <c r="F40" s="64" t="n">
        <f aca="false">WORKDAY.INTL(MAX(G39,G34),1,"0000100",$C$14)</f>
        <v>46361</v>
      </c>
      <c r="G40" s="64" t="n">
        <f aca="false">WORKDAY.INTL(F40,H40-1,"0000100",$C$14)</f>
        <v>46363</v>
      </c>
      <c r="H40" s="59" t="n">
        <v>3</v>
      </c>
      <c r="I40" s="20" t="s">
        <v>776</v>
      </c>
      <c r="J40" s="20"/>
    </row>
    <row r="41" customFormat="false" ht="105.75" hidden="false" customHeight="true" outlineLevel="0" collapsed="false">
      <c r="A41" s="18" t="s">
        <v>777</v>
      </c>
      <c r="B41" s="17" t="s">
        <v>778</v>
      </c>
      <c r="C41" s="64" t="str">
        <f aca="false">G37</f>
        <v>-</v>
      </c>
      <c r="D41" s="64" t="str">
        <f aca="false">G37</f>
        <v>-</v>
      </c>
      <c r="E41" s="59" t="str">
        <f aca="false">G37</f>
        <v>-</v>
      </c>
      <c r="F41" s="64" t="n">
        <f aca="false">WORKDAY.INTL(G40,1,"0000100",$C$14)</f>
        <v>46364</v>
      </c>
      <c r="G41" s="64" t="n">
        <f aca="false">WORKDAY.INTL(F41,H41-1,"0000100",$C$14)</f>
        <v>46368</v>
      </c>
      <c r="H41" s="59" t="n">
        <v>4</v>
      </c>
      <c r="I41" s="20" t="s">
        <v>779</v>
      </c>
      <c r="J41" s="20"/>
    </row>
    <row r="42" customFormat="false" ht="118.5" hidden="false" customHeight="true" outlineLevel="0" collapsed="false">
      <c r="A42" s="18" t="s">
        <v>780</v>
      </c>
      <c r="B42" s="17" t="s">
        <v>781</v>
      </c>
      <c r="C42" s="64" t="str">
        <f aca="false">G37</f>
        <v>-</v>
      </c>
      <c r="D42" s="64" t="str">
        <f aca="false">G37</f>
        <v>-</v>
      </c>
      <c r="E42" s="59" t="str">
        <f aca="false">G37</f>
        <v>-</v>
      </c>
      <c r="F42" s="64" t="n">
        <f aca="false">WORKDAY.INTL(MAX(G40,G36),1,"0000100",$C$14)</f>
        <v>46365</v>
      </c>
      <c r="G42" s="64" t="n">
        <f aca="false">WORKDAY.INTL(F42,H42-1,"0000100",$C$14)</f>
        <v>46366</v>
      </c>
      <c r="H42" s="59" t="n">
        <v>2</v>
      </c>
      <c r="I42" s="20" t="s">
        <v>782</v>
      </c>
      <c r="J42" s="20"/>
    </row>
    <row r="43" customFormat="false" ht="93" hidden="false" customHeight="true" outlineLevel="0" collapsed="false">
      <c r="A43" s="18" t="s">
        <v>783</v>
      </c>
      <c r="B43" s="17" t="s">
        <v>784</v>
      </c>
      <c r="C43" s="64" t="str">
        <f aca="false">G37</f>
        <v>-</v>
      </c>
      <c r="D43" s="64" t="str">
        <f aca="false">G37</f>
        <v>-</v>
      </c>
      <c r="E43" s="59" t="str">
        <f aca="false">G37</f>
        <v>-</v>
      </c>
      <c r="F43" s="64" t="n">
        <f aca="false">WORKDAY.INTL(G36,1,"0000100",$C$14)</f>
        <v>46365</v>
      </c>
      <c r="G43" s="64" t="n">
        <f aca="false">WORKDAY.INTL(F43,H43-1,"0000100",$C$14)</f>
        <v>46368</v>
      </c>
      <c r="H43" s="59" t="n">
        <v>3</v>
      </c>
      <c r="I43" s="20" t="s">
        <v>785</v>
      </c>
      <c r="J43" s="20"/>
    </row>
    <row r="44" customFormat="false" ht="54.75" hidden="false" customHeight="true" outlineLevel="0" collapsed="false">
      <c r="A44" s="13" t="s">
        <v>94</v>
      </c>
      <c r="B44" s="13" t="s">
        <v>711</v>
      </c>
      <c r="C44" s="13" t="s">
        <v>712</v>
      </c>
      <c r="D44" s="13" t="s">
        <v>713</v>
      </c>
      <c r="E44" s="13" t="s">
        <v>714</v>
      </c>
      <c r="F44" s="13" t="s">
        <v>715</v>
      </c>
      <c r="G44" s="13" t="s">
        <v>716</v>
      </c>
      <c r="H44" s="13" t="s">
        <v>717</v>
      </c>
      <c r="I44" s="13" t="s">
        <v>718</v>
      </c>
      <c r="J44" s="13"/>
    </row>
    <row r="45" customFormat="false" ht="118.5" hidden="false" customHeight="true" outlineLevel="0" collapsed="false">
      <c r="A45" s="18" t="s">
        <v>786</v>
      </c>
      <c r="B45" s="17" t="s">
        <v>787</v>
      </c>
      <c r="C45" s="64" t="str">
        <f aca="false">G37</f>
        <v>-</v>
      </c>
      <c r="D45" s="64" t="str">
        <f aca="false">G37</f>
        <v>-</v>
      </c>
      <c r="E45" s="59" t="str">
        <f aca="false">G37</f>
        <v>-</v>
      </c>
      <c r="F45" s="64" t="n">
        <f aca="false">WORKDAY.INTL(MAX(G36,G41,G43,G42),1,"0000100",$C$14)</f>
        <v>46369</v>
      </c>
      <c r="G45" s="64" t="n">
        <f aca="false">WORKDAY.INTL(F45,H45-1,"0000100",$C$14)</f>
        <v>46371</v>
      </c>
      <c r="H45" s="59" t="n">
        <v>3</v>
      </c>
      <c r="I45" s="20" t="s">
        <v>788</v>
      </c>
      <c r="J45" s="20"/>
    </row>
    <row r="46" customFormat="false" ht="54.75" hidden="false" customHeight="true" outlineLevel="0" collapsed="false">
      <c r="A46" s="18" t="s">
        <v>789</v>
      </c>
      <c r="B46" s="17" t="s">
        <v>790</v>
      </c>
      <c r="C46" s="63" t="n">
        <f aca="false">INDEX('XER WBS'!$K$69:$K$149,MATCH("QCD18TSEOMS1040",'XER WBS'!$A$69:$A$149,0))</f>
        <v>46372</v>
      </c>
      <c r="D46" s="64" t="n">
        <f aca="false">C46</f>
        <v>46372</v>
      </c>
      <c r="E46" s="59" t="s">
        <v>763</v>
      </c>
      <c r="F46" s="64" t="n">
        <f aca="false">G45</f>
        <v>46371</v>
      </c>
      <c r="G46" s="64" t="n">
        <f aca="false">F46</f>
        <v>46371</v>
      </c>
      <c r="H46" s="59" t="s">
        <v>763</v>
      </c>
      <c r="I46" s="20" t="s">
        <v>791</v>
      </c>
      <c r="J46" s="20"/>
    </row>
    <row r="47" customFormat="false" ht="30" hidden="false" customHeight="true" outlineLevel="0" collapsed="false">
      <c r="A47" s="18" t="s">
        <v>792</v>
      </c>
      <c r="B47" s="17" t="s">
        <v>793</v>
      </c>
      <c r="C47" s="63" t="n">
        <f aca="false">INDEX('XER WBS'!$J$69:$J$149,MATCH("QCD18TSEDMOB1020",'XER WBS'!$A$69:$A$149,0))</f>
        <v>46373</v>
      </c>
      <c r="D47" s="63" t="n">
        <f aca="false">INDEX('XER WBS'!$K$69:$K$149,MATCH("QCD18TSEDMOB1020",'XER WBS'!$A$69:$A$149,0))</f>
        <v>46380</v>
      </c>
      <c r="E47" s="59" t="n">
        <f aca="false">NETWORKDAYS.INTL(C47,D47,"0000100",$C$14)</f>
        <v>7</v>
      </c>
      <c r="F47" s="64" t="n">
        <f aca="false">WORKDAY.INTL(G46,1,"0000100",$C$14)</f>
        <v>46372</v>
      </c>
      <c r="G47" s="64" t="n">
        <f aca="false">WORKDAY.INTL(F47,H47-1,"0000100",$C$14)</f>
        <v>46379</v>
      </c>
      <c r="H47" s="59" t="n">
        <f aca="false">E47</f>
        <v>7</v>
      </c>
      <c r="I47" s="20" t="s">
        <v>794</v>
      </c>
      <c r="J47" s="20"/>
    </row>
    <row r="48" customFormat="false" ht="19.5" hidden="false" customHeight="true" outlineLevel="0" collapsed="false">
      <c r="A48" s="25"/>
      <c r="B48" s="25" t="s">
        <v>795</v>
      </c>
      <c r="C48" s="25"/>
      <c r="D48" s="25"/>
      <c r="E48" s="25"/>
      <c r="F48" s="25"/>
      <c r="G48" s="25"/>
      <c r="H48" s="25"/>
      <c r="I48" s="25"/>
      <c r="J48" s="25"/>
    </row>
    <row r="49" customFormat="false" ht="118.5" hidden="false" customHeight="true" outlineLevel="0" collapsed="false">
      <c r="A49" s="18" t="s">
        <v>796</v>
      </c>
      <c r="B49" s="17" t="s">
        <v>797</v>
      </c>
      <c r="C49" s="64" t="n">
        <f aca="false">C20</f>
        <v>46256</v>
      </c>
      <c r="D49" s="64" t="n">
        <f aca="false">D47</f>
        <v>46380</v>
      </c>
      <c r="E49" s="59" t="n">
        <f aca="false">D49-C49+1</f>
        <v>125</v>
      </c>
      <c r="F49" s="64" t="n">
        <f aca="false">F20</f>
        <v>46256</v>
      </c>
      <c r="G49" s="64" t="n">
        <f aca="false">G47</f>
        <v>46379</v>
      </c>
      <c r="H49" s="59" t="n">
        <f aca="false">G49-F49+1</f>
        <v>124</v>
      </c>
      <c r="I49" s="20" t="s">
        <v>798</v>
      </c>
      <c r="J49" s="20"/>
    </row>
    <row r="50" customFormat="false" ht="30" hidden="false" customHeight="true" outlineLevel="0" collapsed="false">
      <c r="A50" s="18" t="s">
        <v>799</v>
      </c>
      <c r="B50" s="17" t="s">
        <v>800</v>
      </c>
      <c r="C50" s="64" t="n">
        <f aca="false">C20</f>
        <v>46256</v>
      </c>
      <c r="D50" s="64" t="n">
        <f aca="false">D46</f>
        <v>46372</v>
      </c>
      <c r="E50" s="59" t="n">
        <f aca="false">D50-C50+1</f>
        <v>117</v>
      </c>
      <c r="F50" s="64" t="n">
        <f aca="false">F20</f>
        <v>46256</v>
      </c>
      <c r="G50" s="64" t="n">
        <f aca="false">G46</f>
        <v>46371</v>
      </c>
      <c r="H50" s="59" t="n">
        <f aca="false">G50-F50+1</f>
        <v>116</v>
      </c>
      <c r="I50" s="20" t="s">
        <v>801</v>
      </c>
      <c r="J50" s="20"/>
    </row>
    <row r="51" customFormat="false" ht="42" hidden="false" customHeight="true" outlineLevel="0" collapsed="false">
      <c r="A51" s="18" t="s">
        <v>802</v>
      </c>
      <c r="B51" s="17" t="s">
        <v>803</v>
      </c>
      <c r="C51" s="64" t="n">
        <f aca="false">C23</f>
        <v>46277</v>
      </c>
      <c r="D51" s="64" t="n">
        <f aca="false">D34</f>
        <v>46359</v>
      </c>
      <c r="E51" s="59" t="n">
        <f aca="false">D51-C51+1</f>
        <v>83</v>
      </c>
      <c r="F51" s="64" t="n">
        <f aca="false">C51</f>
        <v>46277</v>
      </c>
      <c r="G51" s="64" t="n">
        <f aca="false">D51</f>
        <v>46359</v>
      </c>
      <c r="H51" s="59" t="n">
        <f aca="false">E51</f>
        <v>83</v>
      </c>
      <c r="I51" s="20" t="s">
        <v>804</v>
      </c>
      <c r="J51" s="20"/>
    </row>
    <row r="52" customFormat="false" ht="42" hidden="false" customHeight="true" outlineLevel="0" collapsed="false">
      <c r="A52" s="18" t="s">
        <v>805</v>
      </c>
      <c r="B52" s="17" t="s">
        <v>806</v>
      </c>
      <c r="C52" s="64" t="n">
        <f aca="false">C24</f>
        <v>46301</v>
      </c>
      <c r="D52" s="64" t="n">
        <f aca="false">D33</f>
        <v>46356</v>
      </c>
      <c r="E52" s="59" t="n">
        <f aca="false">D52-C52+1</f>
        <v>56</v>
      </c>
      <c r="F52" s="64" t="n">
        <f aca="false">C52</f>
        <v>46301</v>
      </c>
      <c r="G52" s="64" t="n">
        <f aca="false">D52</f>
        <v>46356</v>
      </c>
      <c r="H52" s="59" t="n">
        <f aca="false">E52</f>
        <v>56</v>
      </c>
      <c r="I52" s="20" t="s">
        <v>807</v>
      </c>
      <c r="J52" s="20"/>
    </row>
    <row r="53" customFormat="false" ht="54.75" hidden="false" customHeight="true" outlineLevel="0" collapsed="false">
      <c r="A53" s="18" t="s">
        <v>808</v>
      </c>
      <c r="B53" s="17" t="s">
        <v>809</v>
      </c>
      <c r="C53" s="63" t="n">
        <f aca="false">INDEX('XER WBS'!$J$69:$J$149,MATCH("QCD18TSEPRC1120",'XER WBS'!$A$69:$A$149,0))</f>
        <v>46273</v>
      </c>
      <c r="D53" s="64" t="n">
        <f aca="false">D33</f>
        <v>46356</v>
      </c>
      <c r="E53" s="59" t="n">
        <f aca="false">D53-C53+1</f>
        <v>84</v>
      </c>
      <c r="F53" s="64" t="n">
        <f aca="false">C53</f>
        <v>46273</v>
      </c>
      <c r="G53" s="64" t="n">
        <f aca="false">D53</f>
        <v>46356</v>
      </c>
      <c r="H53" s="59" t="n">
        <f aca="false">E53</f>
        <v>84</v>
      </c>
      <c r="I53" s="20" t="s">
        <v>810</v>
      </c>
      <c r="J53" s="20"/>
    </row>
    <row r="54" customFormat="false" ht="169.5" hidden="false" customHeight="true" outlineLevel="0" collapsed="false">
      <c r="A54" s="11" t="s">
        <v>811</v>
      </c>
      <c r="B54" s="11"/>
      <c r="C54" s="11"/>
      <c r="D54" s="11"/>
      <c r="E54" s="11"/>
      <c r="F54" s="11"/>
      <c r="G54" s="11"/>
      <c r="H54" s="11"/>
      <c r="I54" s="11"/>
      <c r="J54" s="11"/>
    </row>
    <row r="55" customFormat="false" ht="54.75" hidden="false" customHeight="true" outlineLevel="0" collapsed="false">
      <c r="A55" s="13" t="s">
        <v>94</v>
      </c>
      <c r="B55" s="13" t="s">
        <v>711</v>
      </c>
      <c r="C55" s="13" t="s">
        <v>712</v>
      </c>
      <c r="D55" s="13" t="s">
        <v>713</v>
      </c>
      <c r="E55" s="13" t="s">
        <v>714</v>
      </c>
      <c r="F55" s="13" t="s">
        <v>715</v>
      </c>
      <c r="G55" s="13" t="s">
        <v>716</v>
      </c>
      <c r="H55" s="13" t="s">
        <v>717</v>
      </c>
      <c r="I55" s="13" t="s">
        <v>718</v>
      </c>
      <c r="J55" s="13"/>
    </row>
    <row r="56" customFormat="false" ht="19.5" hidden="false" customHeight="true" outlineLevel="0" collapsed="false">
      <c r="A56" s="25"/>
      <c r="B56" s="25" t="s">
        <v>812</v>
      </c>
      <c r="C56" s="25"/>
      <c r="D56" s="25"/>
      <c r="E56" s="25"/>
      <c r="F56" s="25"/>
      <c r="G56" s="25"/>
      <c r="H56" s="25"/>
      <c r="I56" s="25"/>
      <c r="J56" s="25"/>
    </row>
    <row r="57" customFormat="false" ht="67.5" hidden="false" customHeight="true" outlineLevel="0" collapsed="false">
      <c r="A57" s="18" t="s">
        <v>813</v>
      </c>
      <c r="B57" s="17" t="s">
        <v>814</v>
      </c>
      <c r="C57" s="64" t="n">
        <f aca="false">F20</f>
        <v>46256</v>
      </c>
      <c r="D57" s="64"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1,"0000100",$C$14),7-1,"0000100",$C$14)</f>
        <v>46392</v>
      </c>
      <c r="E57" s="59" t="n">
        <f aca="false">D57-C57+1</f>
        <v>137</v>
      </c>
      <c r="F57" s="64" t="s">
        <v>763</v>
      </c>
      <c r="G57" s="64" t="s">
        <v>763</v>
      </c>
      <c r="H57" s="59" t="s">
        <v>763</v>
      </c>
      <c r="I57" s="20" t="s">
        <v>815</v>
      </c>
      <c r="J57" s="20"/>
    </row>
    <row r="58" customFormat="false" ht="105.75" hidden="false" customHeight="true" outlineLevel="0" collapsed="false">
      <c r="A58" s="18" t="s">
        <v>816</v>
      </c>
      <c r="B58" s="17" t="s">
        <v>817</v>
      </c>
      <c r="C58" s="66" t="n">
        <f aca="false">E57-H49</f>
        <v>13</v>
      </c>
      <c r="D58" s="64" t="s">
        <v>763</v>
      </c>
      <c r="E58" s="21" t="n">
        <f aca="false">D165*(ROUND((H49+C58)/$C$15,1)-G165)+D166*(ROUND((H49+C58)/$C$15,1)-G166)+D167*(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21+1)/$C$15,1)-G167)+D168*(ROUND((H49+C58)/$C$15,1)-G168)+D169*(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INDEX('XER WBS'!$J$69:$J$149,MATCH("QCD18TSEPRC1120",'XER WBS'!$A$69:$A$149,0))+1)/$C$15,1)-G169)+D170*(ROUND((H49+C58)/$C$15,1)-G170)+D171*(ROUND((H49+C58)/$C$15,1)-G171)+D172*(ROUND((H49+C58)/$C$15,1)-G172)+D174*(ROUND((H49+C58)/$C$15,1)-G174)+D177*(ROUND((H49+C58)/$C$15,1)-G177)+D178*(ROUND((H49+C58)/$C$15,1)-G178)+D183*(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20+1)/$C$15,1)-G183)+D184*(ROUND((H49+C58)/$C$15,1)-G184)+D185*(ROUND((H49+C58)/$C$15,1)-G185)+D173*(2*ROUNDUP((H49+C58)/7,0)-G173)</f>
        <v>32820</v>
      </c>
      <c r="F58" s="64" t="s">
        <v>763</v>
      </c>
      <c r="G58" s="64" t="s">
        <v>763</v>
      </c>
      <c r="H58" s="59" t="s">
        <v>763</v>
      </c>
      <c r="I58" s="20" t="s">
        <v>818</v>
      </c>
      <c r="J58" s="20"/>
    </row>
    <row r="59" customFormat="false" ht="42" hidden="false" customHeight="true" outlineLevel="0" collapsed="false">
      <c r="A59" s="18" t="s">
        <v>819</v>
      </c>
      <c r="B59" s="17" t="s">
        <v>820</v>
      </c>
      <c r="C59" s="67" t="n">
        <f aca="false">ROUND(E58*0.05,2)</f>
        <v>1641</v>
      </c>
      <c r="D59" s="64" t="s">
        <v>763</v>
      </c>
      <c r="E59" s="19" t="n">
        <f aca="false">E58+C59</f>
        <v>34461</v>
      </c>
      <c r="F59" s="64" t="s">
        <v>763</v>
      </c>
      <c r="G59" s="64" t="s">
        <v>763</v>
      </c>
      <c r="H59" s="59" t="s">
        <v>763</v>
      </c>
      <c r="I59" s="20" t="s">
        <v>821</v>
      </c>
      <c r="J59" s="20"/>
    </row>
    <row r="61" customFormat="false" ht="21" hidden="false" customHeight="true" outlineLevel="0" collapsed="false">
      <c r="A61" s="15" t="s">
        <v>822</v>
      </c>
      <c r="B61" s="15"/>
      <c r="C61" s="15"/>
      <c r="D61" s="15"/>
      <c r="E61" s="15"/>
      <c r="F61" s="15"/>
      <c r="G61" s="15"/>
      <c r="H61" s="15"/>
      <c r="I61" s="15"/>
      <c r="J61" s="15"/>
    </row>
    <row r="62" customFormat="false" ht="57" hidden="false" customHeight="true" outlineLevel="0" collapsed="false">
      <c r="A62" s="11" t="s">
        <v>823</v>
      </c>
      <c r="B62" s="11"/>
      <c r="C62" s="11"/>
      <c r="D62" s="11"/>
      <c r="E62" s="11"/>
      <c r="F62" s="11"/>
      <c r="G62" s="11"/>
      <c r="H62" s="11"/>
      <c r="I62" s="11"/>
      <c r="J62" s="11"/>
    </row>
    <row r="63" customFormat="false" ht="57" hidden="false" customHeight="true" outlineLevel="0" collapsed="false">
      <c r="A63" s="11" t="s">
        <v>824</v>
      </c>
      <c r="B63" s="11"/>
      <c r="C63" s="11"/>
      <c r="D63" s="11"/>
      <c r="E63" s="11"/>
      <c r="F63" s="11"/>
      <c r="G63" s="11"/>
      <c r="H63" s="11"/>
      <c r="I63" s="11"/>
      <c r="J63" s="11"/>
    </row>
    <row r="64" customFormat="false" ht="57" hidden="false" customHeight="true" outlineLevel="0" collapsed="false">
      <c r="A64" s="11" t="s">
        <v>825</v>
      </c>
      <c r="B64" s="11"/>
      <c r="C64" s="11"/>
      <c r="D64" s="11"/>
      <c r="E64" s="11"/>
      <c r="F64" s="11"/>
      <c r="G64" s="11"/>
      <c r="H64" s="11"/>
      <c r="I64" s="11"/>
      <c r="J64" s="11"/>
    </row>
    <row r="65" customFormat="false" ht="82.5" hidden="false" customHeight="true" outlineLevel="0" collapsed="false">
      <c r="A65" s="11" t="s">
        <v>826</v>
      </c>
      <c r="B65" s="11"/>
      <c r="C65" s="11"/>
      <c r="D65" s="11"/>
      <c r="E65" s="11"/>
      <c r="F65" s="11"/>
      <c r="G65" s="11"/>
      <c r="H65" s="11"/>
      <c r="I65" s="11"/>
      <c r="J65" s="11"/>
    </row>
    <row r="66" customFormat="false" ht="54.75" hidden="false" customHeight="true" outlineLevel="0" collapsed="false">
      <c r="A66" s="13" t="s">
        <v>94</v>
      </c>
      <c r="B66" s="13" t="s">
        <v>827</v>
      </c>
      <c r="C66" s="13" t="s">
        <v>828</v>
      </c>
      <c r="D66" s="13" t="s">
        <v>829</v>
      </c>
      <c r="E66" s="13" t="s">
        <v>830</v>
      </c>
      <c r="F66" s="13" t="s">
        <v>831</v>
      </c>
      <c r="G66" s="13" t="s">
        <v>832</v>
      </c>
      <c r="H66" s="13" t="s">
        <v>833</v>
      </c>
      <c r="I66" s="13" t="s">
        <v>834</v>
      </c>
      <c r="J66" s="13" t="s">
        <v>835</v>
      </c>
    </row>
    <row r="67" customFormat="false" ht="54.75" hidden="false" customHeight="true" outlineLevel="0" collapsed="false">
      <c r="A67" s="18" t="s">
        <v>836</v>
      </c>
      <c r="B67" s="17" t="s">
        <v>837</v>
      </c>
      <c r="C67" s="65" t="n">
        <f aca="false">SUMPRODUCT(('XER WBS'!$J$69:$J$149&lt;=DATE(2026,8,28))*('XER WBS'!$K$69:$K$149&gt;=DATE(2026,8,22))*ISNUMBER(SEARCH("Tank Installation",'XER WBS'!$C$69:$C$149)))</f>
        <v>0</v>
      </c>
      <c r="D67" s="59" t="n">
        <f aca="false">NETWORKDAYS.INTL(DATE(2026,8,22),DATE(2026,8,28),"0000100",$C$14)</f>
        <v>6</v>
      </c>
      <c r="E67" s="59" t="n">
        <v>8</v>
      </c>
      <c r="F67" s="59" t="n">
        <v>5</v>
      </c>
      <c r="G67" s="59" t="n">
        <v>3</v>
      </c>
      <c r="H67" s="59" t="n">
        <f aca="false">G67*D67</f>
        <v>18</v>
      </c>
      <c r="I67" s="68" t="n">
        <f aca="false">H67</f>
        <v>18</v>
      </c>
      <c r="J67" s="20" t="s">
        <v>838</v>
      </c>
    </row>
    <row r="68" customFormat="false" ht="42" hidden="false" customHeight="true" outlineLevel="0" collapsed="false">
      <c r="A68" s="18" t="s">
        <v>839</v>
      </c>
      <c r="B68" s="17" t="s">
        <v>840</v>
      </c>
      <c r="C68" s="65" t="n">
        <f aca="false">SUMPRODUCT(('XER WBS'!$J$69:$J$149&lt;=DATE(2026,9,4))*('XER WBS'!$K$69:$K$149&gt;=DATE(2026,8,29))*ISNUMBER(SEARCH("Tank Installation",'XER WBS'!$C$69:$C$149)))</f>
        <v>0</v>
      </c>
      <c r="D68" s="59" t="n">
        <f aca="false">NETWORKDAYS.INTL(DATE(2026,8,29),DATE(2026,9,4),"0000100",$C$14)</f>
        <v>6</v>
      </c>
      <c r="E68" s="59" t="n">
        <v>14</v>
      </c>
      <c r="F68" s="59" t="n">
        <v>9</v>
      </c>
      <c r="G68" s="59" t="n">
        <v>5</v>
      </c>
      <c r="H68" s="59" t="n">
        <f aca="false">G68*D68</f>
        <v>30</v>
      </c>
      <c r="I68" s="68" t="n">
        <f aca="false">H68</f>
        <v>30</v>
      </c>
      <c r="J68" s="20" t="s">
        <v>841</v>
      </c>
    </row>
    <row r="69" customFormat="false" ht="42" hidden="false" customHeight="true" outlineLevel="0" collapsed="false">
      <c r="A69" s="18" t="s">
        <v>842</v>
      </c>
      <c r="B69" s="17" t="s">
        <v>843</v>
      </c>
      <c r="C69" s="65" t="n">
        <f aca="false">SUMPRODUCT(('XER WBS'!$J$69:$J$149&lt;=DATE(2026,9,11))*('XER WBS'!$K$69:$K$149&gt;=DATE(2026,9,5))*ISNUMBER(SEARCH("Tank Installation",'XER WBS'!$C$69:$C$149)))</f>
        <v>0</v>
      </c>
      <c r="D69" s="59" t="n">
        <f aca="false">NETWORKDAYS.INTL(DATE(2026,9,5),DATE(2026,9,11),"0000100",$C$14)</f>
        <v>6</v>
      </c>
      <c r="E69" s="59" t="n">
        <v>13</v>
      </c>
      <c r="F69" s="59" t="n">
        <v>8</v>
      </c>
      <c r="G69" s="59" t="n">
        <v>5</v>
      </c>
      <c r="H69" s="59" t="n">
        <f aca="false">G69*D69</f>
        <v>30</v>
      </c>
      <c r="I69" s="68" t="n">
        <f aca="false">H69</f>
        <v>30</v>
      </c>
      <c r="J69" s="20" t="s">
        <v>844</v>
      </c>
    </row>
    <row r="70" customFormat="false" ht="30" hidden="false" customHeight="true" outlineLevel="0" collapsed="false">
      <c r="A70" s="18" t="s">
        <v>845</v>
      </c>
      <c r="B70" s="17" t="s">
        <v>846</v>
      </c>
      <c r="C70" s="65" t="n">
        <f aca="false">SUMPRODUCT(('XER WBS'!$J$69:$J$149&lt;=DATE(2026,9,18))*('XER WBS'!$K$69:$K$149&gt;=DATE(2026,9,12))*ISNUMBER(SEARCH("Tank Installation",'XER WBS'!$C$69:$C$149)))</f>
        <v>1</v>
      </c>
      <c r="D70" s="59" t="n">
        <f aca="false">NETWORKDAYS.INTL(DATE(2026,9,12),DATE(2026,9,18),"0000100",$C$14)</f>
        <v>6</v>
      </c>
      <c r="E70" s="59" t="n">
        <v>12</v>
      </c>
      <c r="F70" s="59" t="n">
        <v>8</v>
      </c>
      <c r="G70" s="59" t="n">
        <v>4</v>
      </c>
      <c r="H70" s="59" t="n">
        <f aca="false">G70*D70</f>
        <v>24</v>
      </c>
      <c r="I70" s="68" t="n">
        <f aca="false">H70</f>
        <v>24</v>
      </c>
      <c r="J70" s="20" t="s">
        <v>847</v>
      </c>
    </row>
    <row r="71" customFormat="false" ht="30" hidden="false" customHeight="true" outlineLevel="0" collapsed="false">
      <c r="A71" s="18" t="s">
        <v>848</v>
      </c>
      <c r="B71" s="17" t="s">
        <v>849</v>
      </c>
      <c r="C71" s="65" t="n">
        <f aca="false">SUMPRODUCT(('XER WBS'!$J$69:$J$149&lt;=DATE(2026,9,25))*('XER WBS'!$K$69:$K$149&gt;=DATE(2026,9,19))*ISNUMBER(SEARCH("Tank Installation",'XER WBS'!$C$69:$C$149)))</f>
        <v>1</v>
      </c>
      <c r="D71" s="59" t="n">
        <f aca="false">NETWORKDAYS.INTL(DATE(2026,9,19),DATE(2026,9,25),"0000100",$C$14)</f>
        <v>5</v>
      </c>
      <c r="E71" s="59" t="n">
        <v>11</v>
      </c>
      <c r="F71" s="59" t="n">
        <v>7</v>
      </c>
      <c r="G71" s="59" t="n">
        <v>4</v>
      </c>
      <c r="H71" s="59" t="n">
        <f aca="false">G71*D71</f>
        <v>20</v>
      </c>
      <c r="I71" s="68" t="n">
        <f aca="false">H71</f>
        <v>20</v>
      </c>
      <c r="J71" s="20" t="s">
        <v>850</v>
      </c>
    </row>
    <row r="72" customFormat="false" ht="30" hidden="false" customHeight="true" outlineLevel="0" collapsed="false">
      <c r="A72" s="18" t="s">
        <v>851</v>
      </c>
      <c r="B72" s="17" t="s">
        <v>852</v>
      </c>
      <c r="C72" s="65" t="n">
        <f aca="false">SUMPRODUCT(('XER WBS'!$J$69:$J$149&lt;=DATE(2026,10,2))*('XER WBS'!$K$69:$K$149&gt;=DATE(2026,9,26))*ISNUMBER(SEARCH("Tank Installation",'XER WBS'!$C$69:$C$149)))</f>
        <v>1</v>
      </c>
      <c r="D72" s="59" t="n">
        <f aca="false">NETWORKDAYS.INTL(DATE(2026,9,26),DATE(2026,10,2),"0000100",$C$14)</f>
        <v>6</v>
      </c>
      <c r="E72" s="59" t="n">
        <v>10</v>
      </c>
      <c r="F72" s="59" t="n">
        <v>6</v>
      </c>
      <c r="G72" s="59" t="n">
        <v>4</v>
      </c>
      <c r="H72" s="59" t="n">
        <f aca="false">G72*D72</f>
        <v>24</v>
      </c>
      <c r="I72" s="68" t="n">
        <f aca="false">H72</f>
        <v>24</v>
      </c>
      <c r="J72" s="20" t="s">
        <v>850</v>
      </c>
    </row>
    <row r="73" customFormat="false" ht="30" hidden="false" customHeight="true" outlineLevel="0" collapsed="false">
      <c r="A73" s="18" t="s">
        <v>853</v>
      </c>
      <c r="B73" s="17" t="s">
        <v>854</v>
      </c>
      <c r="C73" s="65" t="n">
        <f aca="false">SUMPRODUCT(('XER WBS'!$J$69:$J$149&lt;=DATE(2026,10,9))*('XER WBS'!$K$69:$K$149&gt;=DATE(2026,10,3))*ISNUMBER(SEARCH("Tank Installation",'XER WBS'!$C$69:$C$149)))</f>
        <v>3</v>
      </c>
      <c r="D73" s="59" t="n">
        <f aca="false">NETWORKDAYS.INTL(DATE(2026,10,3),DATE(2026,10,9),"0000100",$C$14)</f>
        <v>6</v>
      </c>
      <c r="E73" s="59" t="n">
        <v>10</v>
      </c>
      <c r="F73" s="59" t="n">
        <v>6</v>
      </c>
      <c r="G73" s="59" t="n">
        <v>4</v>
      </c>
      <c r="H73" s="59" t="n">
        <f aca="false">G73*D73</f>
        <v>24</v>
      </c>
      <c r="I73" s="68" t="n">
        <f aca="false">H73</f>
        <v>24</v>
      </c>
      <c r="J73" s="20" t="s">
        <v>855</v>
      </c>
    </row>
    <row r="74" customFormat="false" ht="30" hidden="false" customHeight="true" outlineLevel="0" collapsed="false">
      <c r="A74" s="18" t="s">
        <v>856</v>
      </c>
      <c r="B74" s="17" t="s">
        <v>857</v>
      </c>
      <c r="C74" s="65" t="n">
        <f aca="false">SUMPRODUCT(('XER WBS'!$J$69:$J$149&lt;=DATE(2026,10,16))*('XER WBS'!$K$69:$K$149&gt;=DATE(2026,10,10))*ISNUMBER(SEARCH("Tank Installation",'XER WBS'!$C$69:$C$149)))</f>
        <v>2</v>
      </c>
      <c r="D74" s="59" t="n">
        <f aca="false">NETWORKDAYS.INTL(DATE(2026,10,10),DATE(2026,10,16),"0000100",$C$14)</f>
        <v>6</v>
      </c>
      <c r="E74" s="59" t="n">
        <v>8</v>
      </c>
      <c r="F74" s="59" t="n">
        <v>4</v>
      </c>
      <c r="G74" s="59" t="n">
        <v>4</v>
      </c>
      <c r="H74" s="59" t="n">
        <f aca="false">G74*D74</f>
        <v>24</v>
      </c>
      <c r="I74" s="68" t="n">
        <f aca="false">H74</f>
        <v>24</v>
      </c>
      <c r="J74" s="20" t="s">
        <v>850</v>
      </c>
    </row>
    <row r="75" customFormat="false" ht="30" hidden="false" customHeight="true" outlineLevel="0" collapsed="false">
      <c r="A75" s="18" t="s">
        <v>858</v>
      </c>
      <c r="B75" s="17" t="s">
        <v>859</v>
      </c>
      <c r="C75" s="65" t="n">
        <f aca="false">SUMPRODUCT(('XER WBS'!$J$69:$J$149&lt;=DATE(2026,10,23))*('XER WBS'!$K$69:$K$149&gt;=DATE(2026,10,17))*ISNUMBER(SEARCH("Tank Installation",'XER WBS'!$C$69:$C$149)))</f>
        <v>3</v>
      </c>
      <c r="D75" s="59" t="n">
        <f aca="false">NETWORKDAYS.INTL(DATE(2026,10,17),DATE(2026,10,23),"0000100",$C$14)</f>
        <v>6</v>
      </c>
      <c r="E75" s="59" t="n">
        <v>14</v>
      </c>
      <c r="F75" s="59" t="n">
        <v>8</v>
      </c>
      <c r="G75" s="59" t="n">
        <v>6</v>
      </c>
      <c r="H75" s="59" t="n">
        <f aca="false">G75*D75</f>
        <v>36</v>
      </c>
      <c r="I75" s="68" t="n">
        <f aca="false">H75</f>
        <v>36</v>
      </c>
      <c r="J75" s="20" t="s">
        <v>860</v>
      </c>
    </row>
    <row r="76" customFormat="false" ht="30" hidden="false" customHeight="true" outlineLevel="0" collapsed="false">
      <c r="A76" s="18" t="s">
        <v>861</v>
      </c>
      <c r="B76" s="17" t="s">
        <v>862</v>
      </c>
      <c r="C76" s="65" t="n">
        <f aca="false">SUMPRODUCT(('XER WBS'!$J$69:$J$149&lt;=DATE(2026,10,30))*('XER WBS'!$K$69:$K$149&gt;=DATE(2026,10,24))*ISNUMBER(SEARCH("Tank Installation",'XER WBS'!$C$69:$C$149)))</f>
        <v>4</v>
      </c>
      <c r="D76" s="59" t="n">
        <f aca="false">NETWORKDAYS.INTL(DATE(2026,10,24),DATE(2026,10,30),"0000100",$C$14)</f>
        <v>6</v>
      </c>
      <c r="E76" s="59" t="n">
        <v>35</v>
      </c>
      <c r="F76" s="59" t="n">
        <v>23</v>
      </c>
      <c r="G76" s="59" t="n">
        <v>12</v>
      </c>
      <c r="H76" s="59" t="n">
        <f aca="false">G76*D76</f>
        <v>72</v>
      </c>
      <c r="I76" s="68" t="n">
        <f aca="false">H76</f>
        <v>72</v>
      </c>
      <c r="J76" s="20" t="s">
        <v>863</v>
      </c>
    </row>
    <row r="77" customFormat="false" ht="30" hidden="false" customHeight="true" outlineLevel="0" collapsed="false">
      <c r="A77" s="18" t="s">
        <v>864</v>
      </c>
      <c r="B77" s="17" t="s">
        <v>865</v>
      </c>
      <c r="C77" s="65" t="n">
        <f aca="false">SUMPRODUCT(('XER WBS'!$J$69:$J$149&lt;=DATE(2026,11,6))*('XER WBS'!$K$69:$K$149&gt;=DATE(2026,10,31))*ISNUMBER(SEARCH("Tank Installation",'XER WBS'!$C$69:$C$149)))</f>
        <v>4</v>
      </c>
      <c r="D77" s="59" t="n">
        <f aca="false">NETWORKDAYS.INTL(DATE(2026,10,31),DATE(2026,11,6),"0000100",$C$14)</f>
        <v>6</v>
      </c>
      <c r="E77" s="59" t="n">
        <v>26</v>
      </c>
      <c r="F77" s="59" t="n">
        <v>16</v>
      </c>
      <c r="G77" s="59" t="n">
        <v>10</v>
      </c>
      <c r="H77" s="59" t="n">
        <f aca="false">G77*D77</f>
        <v>60</v>
      </c>
      <c r="I77" s="68" t="n">
        <f aca="false">H77</f>
        <v>60</v>
      </c>
      <c r="J77" s="20" t="s">
        <v>850</v>
      </c>
    </row>
    <row r="78" customFormat="false" ht="42" hidden="false" customHeight="true" outlineLevel="0" collapsed="false">
      <c r="A78" s="18" t="s">
        <v>866</v>
      </c>
      <c r="B78" s="17" t="s">
        <v>867</v>
      </c>
      <c r="C78" s="65" t="n">
        <f aca="false">SUMPRODUCT(('XER WBS'!$J$69:$J$149&lt;=DATE(2026,11,13))*('XER WBS'!$K$69:$K$149&gt;=DATE(2026,11,7))*ISNUMBER(SEARCH("Tank Installation",'XER WBS'!$C$69:$C$149)))</f>
        <v>3</v>
      </c>
      <c r="D78" s="59" t="n">
        <f aca="false">NETWORKDAYS.INTL(DATE(2026,11,7),DATE(2026,11,13),"0000100",$C$14)</f>
        <v>6</v>
      </c>
      <c r="E78" s="59" t="n">
        <v>19</v>
      </c>
      <c r="F78" s="59" t="n">
        <v>11</v>
      </c>
      <c r="G78" s="59" t="n">
        <v>8</v>
      </c>
      <c r="H78" s="59" t="n">
        <f aca="false">G78*D78</f>
        <v>48</v>
      </c>
      <c r="I78" s="68" t="n">
        <f aca="false">H78</f>
        <v>48</v>
      </c>
      <c r="J78" s="20" t="s">
        <v>868</v>
      </c>
    </row>
    <row r="79" customFormat="false" ht="42" hidden="false" customHeight="true" outlineLevel="0" collapsed="false">
      <c r="A79" s="18" t="s">
        <v>869</v>
      </c>
      <c r="B79" s="17" t="s">
        <v>870</v>
      </c>
      <c r="C79" s="65" t="n">
        <f aca="false">SUMPRODUCT(('XER WBS'!$J$69:$J$149&lt;=DATE(2026,11,20))*('XER WBS'!$K$69:$K$149&gt;=DATE(2026,11,14))*ISNUMBER(SEARCH("Tank Installation",'XER WBS'!$C$69:$C$149)))</f>
        <v>2</v>
      </c>
      <c r="D79" s="59" t="n">
        <f aca="false">NETWORKDAYS.INTL(DATE(2026,11,14),DATE(2026,11,20),"0000100",$C$14)</f>
        <v>6</v>
      </c>
      <c r="E79" s="59" t="n">
        <v>16</v>
      </c>
      <c r="F79" s="59" t="n">
        <v>10</v>
      </c>
      <c r="G79" s="59" t="n">
        <v>6</v>
      </c>
      <c r="H79" s="59" t="n">
        <f aca="false">G79*D79</f>
        <v>36</v>
      </c>
      <c r="I79" s="68" t="n">
        <f aca="false">H79</f>
        <v>36</v>
      </c>
      <c r="J79" s="20" t="s">
        <v>871</v>
      </c>
    </row>
    <row r="80" customFormat="false" ht="30" hidden="false" customHeight="true" outlineLevel="0" collapsed="false">
      <c r="A80" s="18" t="s">
        <v>872</v>
      </c>
      <c r="B80" s="17" t="s">
        <v>873</v>
      </c>
      <c r="C80" s="65" t="n">
        <f aca="false">SUMPRODUCT(('XER WBS'!$J$69:$J$149&lt;=DATE(2026,11,27))*('XER WBS'!$K$69:$K$149&gt;=DATE(2026,11,21))*ISNUMBER(SEARCH("Tank Installation",'XER WBS'!$C$69:$C$149)))</f>
        <v>2</v>
      </c>
      <c r="D80" s="59" t="n">
        <f aca="false">NETWORKDAYS.INTL(DATE(2026,11,21),DATE(2026,11,27),"0000100",$C$14)</f>
        <v>6</v>
      </c>
      <c r="E80" s="59" t="n">
        <v>13</v>
      </c>
      <c r="F80" s="59" t="n">
        <v>8</v>
      </c>
      <c r="G80" s="59" t="n">
        <v>5</v>
      </c>
      <c r="H80" s="59" t="n">
        <f aca="false">G80*D80</f>
        <v>30</v>
      </c>
      <c r="I80" s="68" t="n">
        <f aca="false">H80</f>
        <v>30</v>
      </c>
      <c r="J80" s="20" t="s">
        <v>850</v>
      </c>
    </row>
    <row r="81" customFormat="false" ht="42" hidden="false" customHeight="true" outlineLevel="0" collapsed="false">
      <c r="A81" s="18" t="s">
        <v>874</v>
      </c>
      <c r="B81" s="17" t="s">
        <v>875</v>
      </c>
      <c r="C81" s="65" t="n">
        <f aca="false">SUMPRODUCT(('XER WBS'!$J$69:$J$149&lt;=DATE(2026,12,4))*('XER WBS'!$K$69:$K$149&gt;=DATE(2026,11,28))*ISNUMBER(SEARCH("Tank Installation",'XER WBS'!$C$69:$C$149)))</f>
        <v>1</v>
      </c>
      <c r="D81" s="59" t="n">
        <f aca="false">NETWORKDAYS.INTL(DATE(2026,11,28),DATE(2026,12,4),"0000100",$C$14)</f>
        <v>6</v>
      </c>
      <c r="E81" s="59" t="n">
        <v>7</v>
      </c>
      <c r="F81" s="59" t="n">
        <v>4</v>
      </c>
      <c r="G81" s="59" t="n">
        <v>3</v>
      </c>
      <c r="H81" s="59" t="n">
        <f aca="false">G81*D81</f>
        <v>18</v>
      </c>
      <c r="I81" s="68" t="n">
        <f aca="false">H81</f>
        <v>18</v>
      </c>
      <c r="J81" s="20" t="s">
        <v>876</v>
      </c>
    </row>
    <row r="82" customFormat="false" ht="42" hidden="false" customHeight="true" outlineLevel="0" collapsed="false">
      <c r="A82" s="18" t="s">
        <v>877</v>
      </c>
      <c r="B82" s="17" t="s">
        <v>878</v>
      </c>
      <c r="C82" s="65" t="n">
        <f aca="false">SUMPRODUCT(('XER WBS'!$J$69:$J$149&lt;=DATE(2026,12,11))*('XER WBS'!$K$69:$K$149&gt;=DATE(2026,12,5))*ISNUMBER(SEARCH("Tank Installation",'XER WBS'!$C$69:$C$149)))</f>
        <v>0</v>
      </c>
      <c r="D82" s="59" t="n">
        <f aca="false">NETWORKDAYS.INTL(DATE(2026,12,5),DATE(2026,12,11),"0000100",$C$14)</f>
        <v>6</v>
      </c>
      <c r="E82" s="59" t="n">
        <v>5</v>
      </c>
      <c r="F82" s="59" t="n">
        <v>3</v>
      </c>
      <c r="G82" s="59" t="n">
        <v>2</v>
      </c>
      <c r="H82" s="59" t="n">
        <f aca="false">G82*D82</f>
        <v>12</v>
      </c>
      <c r="I82" s="68" t="n">
        <f aca="false">H82</f>
        <v>12</v>
      </c>
      <c r="J82" s="20" t="s">
        <v>879</v>
      </c>
    </row>
    <row r="83" customFormat="false" ht="42" hidden="false" customHeight="true" outlineLevel="0" collapsed="false">
      <c r="A83" s="18" t="s">
        <v>880</v>
      </c>
      <c r="B83" s="17" t="s">
        <v>881</v>
      </c>
      <c r="C83" s="65" t="n">
        <f aca="false">SUMPRODUCT(('XER WBS'!$J$69:$J$149&lt;=DATE(2026,12,18))*('XER WBS'!$K$69:$K$149&gt;=DATE(2026,12,12))*ISNUMBER(SEARCH("Tank Installation",'XER WBS'!$C$69:$C$149)))</f>
        <v>0</v>
      </c>
      <c r="D83" s="59" t="n">
        <f aca="false">NETWORKDAYS.INTL(DATE(2026,12,12),DATE(2026,12,18),"0000100",$C$14)</f>
        <v>6</v>
      </c>
      <c r="E83" s="59" t="n">
        <v>0</v>
      </c>
      <c r="F83" s="59" t="n">
        <v>0</v>
      </c>
      <c r="G83" s="59" t="n">
        <v>0</v>
      </c>
      <c r="H83" s="59" t="n">
        <f aca="false">G83*D83</f>
        <v>0</v>
      </c>
      <c r="I83" s="68" t="n">
        <f aca="false">H83</f>
        <v>0</v>
      </c>
      <c r="J83" s="20" t="s">
        <v>882</v>
      </c>
    </row>
    <row r="84" customFormat="false" ht="30" hidden="false" customHeight="true" outlineLevel="0" collapsed="false">
      <c r="A84" s="18" t="s">
        <v>883</v>
      </c>
      <c r="B84" s="17" t="s">
        <v>884</v>
      </c>
      <c r="C84" s="65" t="n">
        <f aca="false">SUMPRODUCT(('XER WBS'!$J$69:$J$149&lt;=DATE(2026,12,25))*('XER WBS'!$K$69:$K$149&gt;=DATE(2026,12,19))*ISNUMBER(SEARCH("Tank Installation",'XER WBS'!$C$69:$C$149)))</f>
        <v>0</v>
      </c>
      <c r="D84" s="59" t="n">
        <f aca="false">NETWORKDAYS.INTL(DATE(2026,12,19),DATE(2026,12,25),"0000100",$C$14)</f>
        <v>6</v>
      </c>
      <c r="E84" s="59" t="n">
        <v>0</v>
      </c>
      <c r="F84" s="59" t="n">
        <v>0</v>
      </c>
      <c r="G84" s="59" t="n">
        <v>0</v>
      </c>
      <c r="H84" s="59" t="n">
        <f aca="false">G84*D84</f>
        <v>0</v>
      </c>
      <c r="I84" s="68" t="n">
        <f aca="false">H84</f>
        <v>0</v>
      </c>
      <c r="J84" s="20" t="s">
        <v>885</v>
      </c>
    </row>
    <row r="85" customFormat="false" ht="42" hidden="false" customHeight="true" outlineLevel="0" collapsed="false">
      <c r="A85" s="25"/>
      <c r="B85" s="25" t="s">
        <v>886</v>
      </c>
      <c r="C85" s="25"/>
      <c r="D85" s="25"/>
      <c r="E85" s="69" t="n">
        <f aca="false">SUM(E67:E84)</f>
        <v>221</v>
      </c>
      <c r="F85" s="69" t="n">
        <f aca="false">SUM(F67:F84)</f>
        <v>136</v>
      </c>
      <c r="G85" s="69" t="n">
        <f aca="false">SUM(G67:G84)</f>
        <v>85</v>
      </c>
      <c r="H85" s="69" t="n">
        <f aca="false">SUM(H67:H84)</f>
        <v>506</v>
      </c>
      <c r="I85" s="69" t="n">
        <f aca="false">SUM(I67:I84)</f>
        <v>506</v>
      </c>
      <c r="J85" s="20" t="s">
        <v>887</v>
      </c>
    </row>
    <row r="86" customFormat="false" ht="54.75" hidden="false" customHeight="true" outlineLevel="0" collapsed="false">
      <c r="A86" s="13" t="s">
        <v>94</v>
      </c>
      <c r="B86" s="13" t="s">
        <v>827</v>
      </c>
      <c r="C86" s="13" t="s">
        <v>828</v>
      </c>
      <c r="D86" s="13" t="s">
        <v>829</v>
      </c>
      <c r="E86" s="13" t="s">
        <v>830</v>
      </c>
      <c r="F86" s="13" t="s">
        <v>831</v>
      </c>
      <c r="G86" s="13" t="s">
        <v>832</v>
      </c>
      <c r="H86" s="13" t="s">
        <v>833</v>
      </c>
      <c r="I86" s="13" t="s">
        <v>834</v>
      </c>
      <c r="J86" s="13" t="s">
        <v>835</v>
      </c>
    </row>
    <row r="87" customFormat="false" ht="42" hidden="false" customHeight="true" outlineLevel="0" collapsed="false">
      <c r="A87" s="25"/>
      <c r="B87" s="25" t="s">
        <v>888</v>
      </c>
      <c r="C87" s="25"/>
      <c r="D87" s="25"/>
      <c r="E87" s="25"/>
      <c r="F87" s="25"/>
      <c r="G87" s="25"/>
      <c r="H87" s="25"/>
      <c r="I87" s="70" t="n">
        <f aca="false">ROUND((I85+H106)/26,1)</f>
        <v>19.8</v>
      </c>
      <c r="J87" s="20" t="s">
        <v>889</v>
      </c>
    </row>
    <row r="89" customFormat="false" ht="57" hidden="false" customHeight="true" outlineLevel="0" collapsed="false">
      <c r="A89" s="11" t="s">
        <v>890</v>
      </c>
      <c r="B89" s="11"/>
      <c r="C89" s="11"/>
      <c r="D89" s="11"/>
      <c r="E89" s="11"/>
      <c r="F89" s="11"/>
      <c r="G89" s="11"/>
      <c r="H89" s="11"/>
      <c r="I89" s="11"/>
      <c r="J89" s="11"/>
    </row>
    <row r="90" customFormat="false" ht="42" hidden="false" customHeight="true" outlineLevel="0" collapsed="false">
      <c r="A90" s="13" t="s">
        <v>94</v>
      </c>
      <c r="B90" s="13" t="s">
        <v>891</v>
      </c>
      <c r="C90" s="13" t="s">
        <v>892</v>
      </c>
      <c r="D90" s="13" t="s">
        <v>893</v>
      </c>
      <c r="E90" s="13" t="s">
        <v>894</v>
      </c>
      <c r="F90" s="13" t="s">
        <v>895</v>
      </c>
      <c r="G90" s="13" t="s">
        <v>896</v>
      </c>
      <c r="H90" s="13" t="s">
        <v>897</v>
      </c>
      <c r="I90" s="13" t="s">
        <v>898</v>
      </c>
      <c r="J90" s="13" t="s">
        <v>899</v>
      </c>
    </row>
    <row r="91" customFormat="false" ht="30" hidden="false" customHeight="true" outlineLevel="0" collapsed="false">
      <c r="A91" s="18" t="s">
        <v>900</v>
      </c>
      <c r="B91" s="17" t="s">
        <v>901</v>
      </c>
      <c r="C91" s="59" t="n">
        <v>12</v>
      </c>
      <c r="D91" s="59" t="n">
        <v>0</v>
      </c>
      <c r="E91" s="59" t="n">
        <v>0</v>
      </c>
      <c r="F91" s="59" t="n">
        <v>0</v>
      </c>
      <c r="G91" s="59" t="n">
        <v>0</v>
      </c>
      <c r="H91" s="59" t="n">
        <f aca="false">SUM(C91:G91)</f>
        <v>12</v>
      </c>
      <c r="I91" s="23" t="s">
        <v>267</v>
      </c>
      <c r="J91" s="20" t="s">
        <v>902</v>
      </c>
    </row>
    <row r="92" customFormat="false" ht="30" hidden="false" customHeight="true" outlineLevel="0" collapsed="false">
      <c r="A92" s="18" t="s">
        <v>903</v>
      </c>
      <c r="B92" s="17" t="s">
        <v>904</v>
      </c>
      <c r="C92" s="59" t="n">
        <v>6</v>
      </c>
      <c r="D92" s="59" t="n">
        <v>9</v>
      </c>
      <c r="E92" s="59" t="n">
        <v>0</v>
      </c>
      <c r="F92" s="59" t="n">
        <v>0</v>
      </c>
      <c r="G92" s="59" t="n">
        <v>0</v>
      </c>
      <c r="H92" s="59" t="n">
        <f aca="false">SUM(C92:G92)</f>
        <v>15</v>
      </c>
      <c r="I92" s="23" t="s">
        <v>267</v>
      </c>
      <c r="J92" s="20" t="s">
        <v>905</v>
      </c>
    </row>
    <row r="93" customFormat="false" ht="54.75" hidden="false" customHeight="true" outlineLevel="0" collapsed="false">
      <c r="A93" s="18" t="s">
        <v>906</v>
      </c>
      <c r="B93" s="17" t="s">
        <v>907</v>
      </c>
      <c r="C93" s="59" t="n">
        <v>6</v>
      </c>
      <c r="D93" s="59" t="n">
        <v>4</v>
      </c>
      <c r="E93" s="59" t="n">
        <v>0</v>
      </c>
      <c r="F93" s="59" t="n">
        <v>0</v>
      </c>
      <c r="G93" s="59" t="n">
        <v>0</v>
      </c>
      <c r="H93" s="59" t="n">
        <f aca="false">SUM(C93:G93)</f>
        <v>10</v>
      </c>
      <c r="I93" s="23" t="s">
        <v>267</v>
      </c>
      <c r="J93" s="20" t="s">
        <v>908</v>
      </c>
    </row>
    <row r="94" customFormat="false" ht="42" hidden="false" customHeight="true" outlineLevel="0" collapsed="false">
      <c r="A94" s="18" t="s">
        <v>909</v>
      </c>
      <c r="B94" s="17" t="s">
        <v>910</v>
      </c>
      <c r="C94" s="59" t="n">
        <v>0</v>
      </c>
      <c r="D94" s="59" t="n">
        <v>15</v>
      </c>
      <c r="E94" s="59" t="n">
        <v>15</v>
      </c>
      <c r="F94" s="59" t="n">
        <v>0</v>
      </c>
      <c r="G94" s="59" t="n">
        <v>0</v>
      </c>
      <c r="H94" s="59" t="n">
        <f aca="false">SUM(C94:G94)</f>
        <v>30</v>
      </c>
      <c r="I94" s="23" t="s">
        <v>267</v>
      </c>
      <c r="J94" s="20" t="s">
        <v>911</v>
      </c>
    </row>
    <row r="95" customFormat="false" ht="42" hidden="false" customHeight="true" outlineLevel="0" collapsed="false">
      <c r="A95" s="18" t="s">
        <v>912</v>
      </c>
      <c r="B95" s="17" t="s">
        <v>913</v>
      </c>
      <c r="C95" s="59" t="n">
        <v>0</v>
      </c>
      <c r="D95" s="59" t="n">
        <v>0</v>
      </c>
      <c r="E95" s="59" t="n">
        <v>5</v>
      </c>
      <c r="F95" s="59" t="n">
        <v>0</v>
      </c>
      <c r="G95" s="59" t="n">
        <v>0</v>
      </c>
      <c r="H95" s="59" t="n">
        <f aca="false">SUM(C95:G95)</f>
        <v>5</v>
      </c>
      <c r="I95" s="23" t="s">
        <v>267</v>
      </c>
      <c r="J95" s="20" t="s">
        <v>914</v>
      </c>
    </row>
    <row r="96" customFormat="false" ht="42" hidden="false" customHeight="true" outlineLevel="0" collapsed="false">
      <c r="A96" s="18" t="s">
        <v>915</v>
      </c>
      <c r="B96" s="17" t="s">
        <v>916</v>
      </c>
      <c r="C96" s="59" t="n">
        <v>0</v>
      </c>
      <c r="D96" s="59" t="n">
        <v>0</v>
      </c>
      <c r="E96" s="59" t="n">
        <v>5</v>
      </c>
      <c r="F96" s="59" t="n">
        <v>0</v>
      </c>
      <c r="G96" s="59" t="n">
        <v>0</v>
      </c>
      <c r="H96" s="59" t="n">
        <f aca="false">SUM(C96:G96)</f>
        <v>5</v>
      </c>
      <c r="I96" s="23" t="s">
        <v>267</v>
      </c>
      <c r="J96" s="20" t="s">
        <v>917</v>
      </c>
    </row>
    <row r="97" customFormat="false" ht="30" hidden="false" customHeight="true" outlineLevel="0" collapsed="false">
      <c r="A97" s="18" t="s">
        <v>918</v>
      </c>
      <c r="B97" s="17" t="s">
        <v>919</v>
      </c>
      <c r="C97" s="59" t="n">
        <v>0</v>
      </c>
      <c r="D97" s="59" t="n">
        <v>0</v>
      </c>
      <c r="E97" s="59" t="n">
        <v>0</v>
      </c>
      <c r="F97" s="59" t="n">
        <v>6</v>
      </c>
      <c r="G97" s="59" t="n">
        <v>0</v>
      </c>
      <c r="H97" s="59" t="n">
        <f aca="false">SUM(C97:G97)</f>
        <v>6</v>
      </c>
      <c r="I97" s="23" t="s">
        <v>267</v>
      </c>
      <c r="J97" s="20" t="s">
        <v>920</v>
      </c>
    </row>
    <row r="98" customFormat="false" ht="54.75" hidden="false" customHeight="true" outlineLevel="0" collapsed="false">
      <c r="A98" s="18" t="s">
        <v>921</v>
      </c>
      <c r="B98" s="17" t="s">
        <v>922</v>
      </c>
      <c r="C98" s="59" t="n">
        <v>0</v>
      </c>
      <c r="D98" s="59" t="n">
        <v>0</v>
      </c>
      <c r="E98" s="59" t="n">
        <v>0</v>
      </c>
      <c r="F98" s="59" t="n">
        <v>2</v>
      </c>
      <c r="G98" s="59" t="n">
        <v>2</v>
      </c>
      <c r="H98" s="59" t="n">
        <f aca="false">SUM(C98:G98)</f>
        <v>4</v>
      </c>
      <c r="I98" s="23" t="s">
        <v>923</v>
      </c>
      <c r="J98" s="20" t="s">
        <v>924</v>
      </c>
    </row>
    <row r="99" customFormat="false" ht="42" hidden="false" customHeight="true" outlineLevel="0" collapsed="false">
      <c r="A99" s="18" t="s">
        <v>925</v>
      </c>
      <c r="B99" s="17" t="s">
        <v>926</v>
      </c>
      <c r="C99" s="59" t="n">
        <v>0</v>
      </c>
      <c r="D99" s="59" t="n">
        <v>0</v>
      </c>
      <c r="E99" s="59" t="n">
        <v>0</v>
      </c>
      <c r="F99" s="59" t="n">
        <v>0</v>
      </c>
      <c r="G99" s="59" t="n">
        <v>1</v>
      </c>
      <c r="H99" s="59" t="n">
        <f aca="false">SUM(C99:G99)</f>
        <v>1</v>
      </c>
      <c r="I99" s="23" t="s">
        <v>316</v>
      </c>
      <c r="J99" s="20" t="s">
        <v>927</v>
      </c>
    </row>
    <row r="100" customFormat="false" ht="42" hidden="false" customHeight="true" outlineLevel="0" collapsed="false">
      <c r="A100" s="18" t="s">
        <v>928</v>
      </c>
      <c r="B100" s="17" t="s">
        <v>929</v>
      </c>
      <c r="C100" s="59" t="n">
        <v>0</v>
      </c>
      <c r="D100" s="59" t="n">
        <v>0</v>
      </c>
      <c r="E100" s="59" t="n">
        <v>0</v>
      </c>
      <c r="F100" s="59" t="n">
        <v>2</v>
      </c>
      <c r="G100" s="59" t="n">
        <v>0</v>
      </c>
      <c r="H100" s="59" t="n">
        <f aca="false">SUM(C100:G100)</f>
        <v>2</v>
      </c>
      <c r="I100" s="23" t="s">
        <v>267</v>
      </c>
      <c r="J100" s="20" t="s">
        <v>930</v>
      </c>
    </row>
    <row r="101" customFormat="false" ht="42" hidden="false" customHeight="true" outlineLevel="0" collapsed="false">
      <c r="A101" s="18" t="s">
        <v>931</v>
      </c>
      <c r="B101" s="17" t="s">
        <v>932</v>
      </c>
      <c r="C101" s="59" t="n">
        <v>0</v>
      </c>
      <c r="D101" s="59" t="n">
        <v>0</v>
      </c>
      <c r="E101" s="59" t="n">
        <v>0</v>
      </c>
      <c r="F101" s="59" t="n">
        <v>0</v>
      </c>
      <c r="G101" s="59" t="n">
        <v>0</v>
      </c>
      <c r="H101" s="59" t="n">
        <f aca="false">SUM(C101:G101)</f>
        <v>0</v>
      </c>
      <c r="I101" s="23" t="s">
        <v>933</v>
      </c>
      <c r="J101" s="20" t="s">
        <v>934</v>
      </c>
    </row>
    <row r="102" customFormat="false" ht="42" hidden="false" customHeight="true" outlineLevel="0" collapsed="false">
      <c r="A102" s="13" t="s">
        <v>94</v>
      </c>
      <c r="B102" s="13" t="s">
        <v>891</v>
      </c>
      <c r="C102" s="13" t="s">
        <v>892</v>
      </c>
      <c r="D102" s="13" t="s">
        <v>893</v>
      </c>
      <c r="E102" s="13" t="s">
        <v>894</v>
      </c>
      <c r="F102" s="13" t="s">
        <v>895</v>
      </c>
      <c r="G102" s="13" t="s">
        <v>896</v>
      </c>
      <c r="H102" s="13" t="s">
        <v>897</v>
      </c>
      <c r="I102" s="13" t="s">
        <v>898</v>
      </c>
      <c r="J102" s="13" t="s">
        <v>899</v>
      </c>
    </row>
    <row r="103" customFormat="false" ht="19.5" hidden="false" customHeight="true" outlineLevel="0" collapsed="false">
      <c r="A103" s="25"/>
      <c r="B103" s="25" t="s">
        <v>935</v>
      </c>
      <c r="C103" s="69" t="n">
        <f aca="false">SUM(C91:C101)</f>
        <v>24</v>
      </c>
      <c r="D103" s="69" t="n">
        <f aca="false">SUM(D91:D101)</f>
        <v>28</v>
      </c>
      <c r="E103" s="69" t="n">
        <f aca="false">SUM(E91:E101)</f>
        <v>25</v>
      </c>
      <c r="F103" s="69" t="n">
        <f aca="false">SUM(F91:F101)</f>
        <v>10</v>
      </c>
      <c r="G103" s="69" t="n">
        <f aca="false">SUM(G91:G101)</f>
        <v>3</v>
      </c>
      <c r="H103" s="69" t="n">
        <f aca="false">SUM(H91:H101)</f>
        <v>90</v>
      </c>
      <c r="I103" s="25"/>
      <c r="J103" s="20" t="s">
        <v>936</v>
      </c>
    </row>
    <row r="104" customFormat="false" ht="30" hidden="false" customHeight="true" outlineLevel="0" collapsed="false">
      <c r="A104" s="25"/>
      <c r="B104" s="25" t="s">
        <v>937</v>
      </c>
      <c r="C104" s="69" t="n">
        <f aca="false">H79</f>
        <v>36</v>
      </c>
      <c r="D104" s="69" t="n">
        <f aca="false">H80</f>
        <v>30</v>
      </c>
      <c r="E104" s="69" t="n">
        <f aca="false">H81</f>
        <v>18</v>
      </c>
      <c r="F104" s="69" t="n">
        <f aca="false">H82</f>
        <v>12</v>
      </c>
      <c r="G104" s="39" t="n">
        <v>0</v>
      </c>
      <c r="H104" s="69" t="n">
        <f aca="false">SUM(C104:G104)</f>
        <v>96</v>
      </c>
      <c r="I104" s="25"/>
      <c r="J104" s="20" t="s">
        <v>938</v>
      </c>
    </row>
    <row r="105" customFormat="false" ht="54.75" hidden="false" customHeight="true" outlineLevel="0" collapsed="false">
      <c r="A105" s="25"/>
      <c r="B105" s="25" t="s">
        <v>939</v>
      </c>
      <c r="C105" s="71" t="n">
        <f aca="false">C104-C103</f>
        <v>12</v>
      </c>
      <c r="D105" s="71" t="n">
        <f aca="false">D104-D103</f>
        <v>2</v>
      </c>
      <c r="E105" s="71" t="n">
        <f aca="false">E104-E103</f>
        <v>-7</v>
      </c>
      <c r="F105" s="71" t="n">
        <f aca="false">F104-F103</f>
        <v>2</v>
      </c>
      <c r="G105" s="71" t="n">
        <f aca="false">G104-G103</f>
        <v>-3</v>
      </c>
      <c r="H105" s="71" t="n">
        <f aca="false">H104-H103</f>
        <v>6</v>
      </c>
      <c r="I105" s="25"/>
      <c r="J105" s="20" t="s">
        <v>940</v>
      </c>
    </row>
    <row r="106" customFormat="false" ht="93" hidden="false" customHeight="true" outlineLevel="0" collapsed="false">
      <c r="A106" s="25"/>
      <c r="B106" s="25" t="s">
        <v>941</v>
      </c>
      <c r="C106" s="25"/>
      <c r="D106" s="25"/>
      <c r="E106" s="25"/>
      <c r="F106" s="25"/>
      <c r="G106" s="25"/>
      <c r="H106" s="69" t="n">
        <f aca="false">E135</f>
        <v>9</v>
      </c>
      <c r="I106" s="25"/>
      <c r="J106" s="20" t="s">
        <v>942</v>
      </c>
    </row>
    <row r="108" customFormat="false" ht="30" hidden="false" customHeight="true" outlineLevel="0" collapsed="false">
      <c r="A108" s="11" t="s">
        <v>943</v>
      </c>
      <c r="B108" s="11"/>
      <c r="C108" s="11"/>
      <c r="D108" s="11"/>
      <c r="E108" s="11"/>
      <c r="F108" s="11"/>
      <c r="G108" s="11"/>
      <c r="H108" s="11"/>
      <c r="I108" s="11"/>
      <c r="J108" s="11"/>
    </row>
    <row r="109" customFormat="false" ht="31.5" hidden="false" customHeight="true" outlineLevel="0" collapsed="false">
      <c r="A109" s="13" t="s">
        <v>94</v>
      </c>
      <c r="B109" s="13" t="s">
        <v>944</v>
      </c>
      <c r="C109" s="13" t="s">
        <v>945</v>
      </c>
      <c r="D109" s="13" t="s">
        <v>946</v>
      </c>
      <c r="E109" s="13" t="s">
        <v>947</v>
      </c>
      <c r="F109" s="13"/>
      <c r="G109" s="13"/>
      <c r="H109" s="13"/>
      <c r="I109" s="13"/>
      <c r="J109" s="13" t="s">
        <v>622</v>
      </c>
    </row>
    <row r="110" customFormat="false" ht="16.5" hidden="false" customHeight="true" outlineLevel="0" collapsed="false">
      <c r="A110" s="18" t="s">
        <v>948</v>
      </c>
      <c r="B110" s="17" t="s">
        <v>949</v>
      </c>
      <c r="C110" s="59" t="n">
        <v>3</v>
      </c>
      <c r="D110" s="59" t="n">
        <f aca="false">G79</f>
        <v>6</v>
      </c>
      <c r="E110" s="72" t="n">
        <f aca="false">D110-C110</f>
        <v>3</v>
      </c>
      <c r="F110" s="18"/>
      <c r="G110" s="18"/>
      <c r="H110" s="18"/>
      <c r="I110" s="18"/>
      <c r="J110" s="20"/>
    </row>
    <row r="111" customFormat="false" ht="16.5" hidden="false" customHeight="true" outlineLevel="0" collapsed="false">
      <c r="A111" s="18" t="s">
        <v>950</v>
      </c>
      <c r="B111" s="17" t="s">
        <v>951</v>
      </c>
      <c r="C111" s="59" t="n">
        <v>3</v>
      </c>
      <c r="D111" s="59" t="n">
        <f aca="false">G79</f>
        <v>6</v>
      </c>
      <c r="E111" s="72" t="n">
        <f aca="false">D111-C111</f>
        <v>3</v>
      </c>
      <c r="F111" s="18"/>
      <c r="G111" s="18"/>
      <c r="H111" s="18"/>
      <c r="I111" s="18"/>
      <c r="J111" s="20"/>
    </row>
    <row r="112" customFormat="false" ht="16.5" hidden="false" customHeight="true" outlineLevel="0" collapsed="false">
      <c r="A112" s="18" t="s">
        <v>952</v>
      </c>
      <c r="B112" s="17" t="s">
        <v>953</v>
      </c>
      <c r="C112" s="59" t="n">
        <v>3</v>
      </c>
      <c r="D112" s="59" t="n">
        <f aca="false">G79</f>
        <v>6</v>
      </c>
      <c r="E112" s="72" t="n">
        <f aca="false">D112-C112</f>
        <v>3</v>
      </c>
      <c r="F112" s="18"/>
      <c r="G112" s="18"/>
      <c r="H112" s="18"/>
      <c r="I112" s="18"/>
      <c r="J112" s="20"/>
    </row>
    <row r="113" customFormat="false" ht="16.5" hidden="false" customHeight="true" outlineLevel="0" collapsed="false">
      <c r="A113" s="18" t="s">
        <v>954</v>
      </c>
      <c r="B113" s="17" t="s">
        <v>955</v>
      </c>
      <c r="C113" s="59" t="n">
        <v>5</v>
      </c>
      <c r="D113" s="59" t="n">
        <f aca="false">G79</f>
        <v>6</v>
      </c>
      <c r="E113" s="72" t="n">
        <f aca="false">D113-C113</f>
        <v>1</v>
      </c>
      <c r="F113" s="18"/>
      <c r="G113" s="18"/>
      <c r="H113" s="18"/>
      <c r="I113" s="18"/>
      <c r="J113" s="20"/>
    </row>
    <row r="114" customFormat="false" ht="16.5" hidden="false" customHeight="true" outlineLevel="0" collapsed="false">
      <c r="A114" s="18" t="s">
        <v>956</v>
      </c>
      <c r="B114" s="17" t="s">
        <v>957</v>
      </c>
      <c r="C114" s="59" t="n">
        <v>5</v>
      </c>
      <c r="D114" s="59" t="n">
        <f aca="false">G79</f>
        <v>6</v>
      </c>
      <c r="E114" s="72" t="n">
        <f aca="false">D114-C114</f>
        <v>1</v>
      </c>
      <c r="F114" s="18"/>
      <c r="G114" s="18"/>
      <c r="H114" s="18"/>
      <c r="I114" s="18"/>
      <c r="J114" s="20"/>
    </row>
    <row r="115" customFormat="false" ht="16.5" hidden="false" customHeight="true" outlineLevel="0" collapsed="false">
      <c r="A115" s="18" t="s">
        <v>958</v>
      </c>
      <c r="B115" s="17" t="s">
        <v>959</v>
      </c>
      <c r="C115" s="59" t="n">
        <v>5</v>
      </c>
      <c r="D115" s="59" t="n">
        <f aca="false">G79</f>
        <v>6</v>
      </c>
      <c r="E115" s="72" t="n">
        <f aca="false">D115-C115</f>
        <v>1</v>
      </c>
      <c r="F115" s="18"/>
      <c r="G115" s="18"/>
      <c r="H115" s="18"/>
      <c r="I115" s="18"/>
      <c r="J115" s="20"/>
    </row>
    <row r="116" customFormat="false" ht="16.5" hidden="false" customHeight="true" outlineLevel="0" collapsed="false">
      <c r="A116" s="18" t="s">
        <v>960</v>
      </c>
      <c r="B116" s="17" t="s">
        <v>961</v>
      </c>
      <c r="C116" s="59" t="n">
        <v>5</v>
      </c>
      <c r="D116" s="59" t="n">
        <f aca="false">G80</f>
        <v>5</v>
      </c>
      <c r="E116" s="72" t="n">
        <f aca="false">D116-C116</f>
        <v>0</v>
      </c>
      <c r="F116" s="18"/>
      <c r="G116" s="18"/>
      <c r="H116" s="18"/>
      <c r="I116" s="18"/>
      <c r="J116" s="20"/>
    </row>
    <row r="117" customFormat="false" ht="16.5" hidden="false" customHeight="true" outlineLevel="0" collapsed="false">
      <c r="A117" s="18" t="s">
        <v>962</v>
      </c>
      <c r="B117" s="17" t="s">
        <v>963</v>
      </c>
      <c r="C117" s="59" t="n">
        <v>5</v>
      </c>
      <c r="D117" s="59" t="n">
        <f aca="false">G80</f>
        <v>5</v>
      </c>
      <c r="E117" s="72" t="n">
        <f aca="false">D117-C117</f>
        <v>0</v>
      </c>
      <c r="F117" s="18"/>
      <c r="G117" s="18"/>
      <c r="H117" s="18"/>
      <c r="I117" s="18"/>
      <c r="J117" s="20"/>
    </row>
    <row r="118" customFormat="false" ht="16.5" hidden="false" customHeight="true" outlineLevel="0" collapsed="false">
      <c r="A118" s="18" t="s">
        <v>964</v>
      </c>
      <c r="B118" s="17" t="s">
        <v>965</v>
      </c>
      <c r="C118" s="59" t="n">
        <v>3</v>
      </c>
      <c r="D118" s="59" t="n">
        <f aca="false">G80</f>
        <v>5</v>
      </c>
      <c r="E118" s="72" t="n">
        <f aca="false">D118-C118</f>
        <v>2</v>
      </c>
      <c r="F118" s="18"/>
      <c r="G118" s="18"/>
      <c r="H118" s="18"/>
      <c r="I118" s="18"/>
      <c r="J118" s="20"/>
    </row>
    <row r="119" customFormat="false" ht="29.25" hidden="false" customHeight="true" outlineLevel="0" collapsed="false">
      <c r="A119" s="18" t="s">
        <v>966</v>
      </c>
      <c r="B119" s="17" t="s">
        <v>967</v>
      </c>
      <c r="C119" s="59" t="n">
        <v>5</v>
      </c>
      <c r="D119" s="59" t="n">
        <f aca="false">G80</f>
        <v>5</v>
      </c>
      <c r="E119" s="72" t="n">
        <f aca="false">D119-C119</f>
        <v>0</v>
      </c>
      <c r="F119" s="18"/>
      <c r="G119" s="18"/>
      <c r="H119" s="18"/>
      <c r="I119" s="18"/>
      <c r="J119" s="20"/>
    </row>
    <row r="120" customFormat="false" ht="16.5" hidden="false" customHeight="true" outlineLevel="0" collapsed="false">
      <c r="A120" s="18" t="s">
        <v>968</v>
      </c>
      <c r="B120" s="17" t="s">
        <v>969</v>
      </c>
      <c r="C120" s="59" t="n">
        <v>5</v>
      </c>
      <c r="D120" s="59" t="n">
        <f aca="false">G80</f>
        <v>5</v>
      </c>
      <c r="E120" s="72" t="n">
        <f aca="false">D120-C120</f>
        <v>0</v>
      </c>
      <c r="F120" s="18"/>
      <c r="G120" s="18"/>
      <c r="H120" s="18"/>
      <c r="I120" s="18"/>
      <c r="J120" s="20"/>
    </row>
    <row r="121" customFormat="false" ht="16.5" hidden="false" customHeight="true" outlineLevel="0" collapsed="false">
      <c r="A121" s="18" t="s">
        <v>970</v>
      </c>
      <c r="B121" s="17" t="s">
        <v>971</v>
      </c>
      <c r="C121" s="59" t="n">
        <v>5</v>
      </c>
      <c r="D121" s="59" t="n">
        <f aca="false">G80</f>
        <v>5</v>
      </c>
      <c r="E121" s="72" t="n">
        <f aca="false">D121-C121</f>
        <v>0</v>
      </c>
      <c r="F121" s="18"/>
      <c r="G121" s="18"/>
      <c r="H121" s="18"/>
      <c r="I121" s="18"/>
      <c r="J121" s="20"/>
    </row>
    <row r="122" customFormat="false" ht="16.5" hidden="false" customHeight="true" outlineLevel="0" collapsed="false">
      <c r="A122" s="18" t="s">
        <v>972</v>
      </c>
      <c r="B122" s="17" t="s">
        <v>973</v>
      </c>
      <c r="C122" s="59" t="n">
        <v>6</v>
      </c>
      <c r="D122" s="59" t="n">
        <f aca="false">G81</f>
        <v>3</v>
      </c>
      <c r="E122" s="72" t="n">
        <f aca="false">D122-C122</f>
        <v>-3</v>
      </c>
      <c r="F122" s="18"/>
      <c r="G122" s="18"/>
      <c r="H122" s="18"/>
      <c r="I122" s="18"/>
      <c r="J122" s="20" t="s">
        <v>974</v>
      </c>
    </row>
    <row r="123" customFormat="false" ht="16.5" hidden="false" customHeight="true" outlineLevel="0" collapsed="false">
      <c r="A123" s="18" t="s">
        <v>975</v>
      </c>
      <c r="B123" s="17" t="s">
        <v>976</v>
      </c>
      <c r="C123" s="59" t="n">
        <v>6</v>
      </c>
      <c r="D123" s="59" t="n">
        <f aca="false">G81</f>
        <v>3</v>
      </c>
      <c r="E123" s="72" t="n">
        <f aca="false">D123-C123</f>
        <v>-3</v>
      </c>
      <c r="F123" s="18"/>
      <c r="G123" s="18"/>
      <c r="H123" s="18"/>
      <c r="I123" s="18"/>
      <c r="J123" s="20" t="s">
        <v>974</v>
      </c>
    </row>
    <row r="124" customFormat="false" ht="16.5" hidden="false" customHeight="true" outlineLevel="0" collapsed="false">
      <c r="A124" s="18" t="s">
        <v>977</v>
      </c>
      <c r="B124" s="17" t="s">
        <v>978</v>
      </c>
      <c r="C124" s="59" t="n">
        <v>6</v>
      </c>
      <c r="D124" s="59" t="n">
        <f aca="false">G81</f>
        <v>3</v>
      </c>
      <c r="E124" s="72" t="n">
        <f aca="false">D124-C124</f>
        <v>-3</v>
      </c>
      <c r="F124" s="18"/>
      <c r="G124" s="18"/>
      <c r="H124" s="18"/>
      <c r="I124" s="18"/>
      <c r="J124" s="20" t="s">
        <v>974</v>
      </c>
    </row>
    <row r="125" customFormat="false" ht="16.5" hidden="false" customHeight="true" outlineLevel="0" collapsed="false">
      <c r="A125" s="18" t="s">
        <v>979</v>
      </c>
      <c r="B125" s="17" t="s">
        <v>980</v>
      </c>
      <c r="C125" s="59" t="n">
        <v>3</v>
      </c>
      <c r="D125" s="59" t="n">
        <f aca="false">G81</f>
        <v>3</v>
      </c>
      <c r="E125" s="72" t="n">
        <f aca="false">D125-C125</f>
        <v>0</v>
      </c>
      <c r="F125" s="18"/>
      <c r="G125" s="18"/>
      <c r="H125" s="18"/>
      <c r="I125" s="18"/>
      <c r="J125" s="20"/>
    </row>
    <row r="126" customFormat="false" ht="16.5" hidden="false" customHeight="true" outlineLevel="0" collapsed="false">
      <c r="A126" s="18" t="s">
        <v>981</v>
      </c>
      <c r="B126" s="17" t="s">
        <v>982</v>
      </c>
      <c r="C126" s="59" t="n">
        <v>3</v>
      </c>
      <c r="D126" s="59" t="n">
        <f aca="false">G81</f>
        <v>3</v>
      </c>
      <c r="E126" s="72" t="n">
        <f aca="false">D126-C126</f>
        <v>0</v>
      </c>
      <c r="F126" s="18"/>
      <c r="G126" s="18"/>
      <c r="H126" s="18"/>
      <c r="I126" s="18"/>
      <c r="J126" s="20"/>
    </row>
    <row r="127" customFormat="false" ht="16.5" hidden="false" customHeight="true" outlineLevel="0" collapsed="false">
      <c r="A127" s="18" t="s">
        <v>983</v>
      </c>
      <c r="B127" s="17" t="s">
        <v>984</v>
      </c>
      <c r="C127" s="59" t="n">
        <v>1</v>
      </c>
      <c r="D127" s="59" t="n">
        <f aca="false">G81</f>
        <v>3</v>
      </c>
      <c r="E127" s="72" t="n">
        <f aca="false">D127-C127</f>
        <v>2</v>
      </c>
      <c r="F127" s="18"/>
      <c r="G127" s="18"/>
      <c r="H127" s="18"/>
      <c r="I127" s="18"/>
      <c r="J127" s="20"/>
    </row>
    <row r="128" customFormat="false" ht="16.5" hidden="false" customHeight="true" outlineLevel="0" collapsed="false">
      <c r="A128" s="18" t="s">
        <v>985</v>
      </c>
      <c r="B128" s="17" t="s">
        <v>986</v>
      </c>
      <c r="C128" s="59" t="n">
        <v>2</v>
      </c>
      <c r="D128" s="59" t="n">
        <f aca="false">G82</f>
        <v>2</v>
      </c>
      <c r="E128" s="72" t="n">
        <f aca="false">D128-C128</f>
        <v>0</v>
      </c>
      <c r="F128" s="18"/>
      <c r="G128" s="18"/>
      <c r="H128" s="18"/>
      <c r="I128" s="18"/>
      <c r="J128" s="20"/>
    </row>
    <row r="129" customFormat="false" ht="16.5" hidden="false" customHeight="true" outlineLevel="0" collapsed="false">
      <c r="A129" s="18" t="s">
        <v>987</v>
      </c>
      <c r="B129" s="17" t="s">
        <v>988</v>
      </c>
      <c r="C129" s="59" t="n">
        <v>2</v>
      </c>
      <c r="D129" s="59" t="n">
        <f aca="false">G82</f>
        <v>2</v>
      </c>
      <c r="E129" s="72" t="n">
        <f aca="false">D129-C129</f>
        <v>0</v>
      </c>
      <c r="F129" s="18"/>
      <c r="G129" s="18"/>
      <c r="H129" s="18"/>
      <c r="I129" s="18"/>
      <c r="J129" s="20"/>
    </row>
    <row r="130" customFormat="false" ht="16.5" hidden="false" customHeight="true" outlineLevel="0" collapsed="false">
      <c r="A130" s="18" t="s">
        <v>989</v>
      </c>
      <c r="B130" s="17" t="s">
        <v>990</v>
      </c>
      <c r="C130" s="59" t="n">
        <v>2</v>
      </c>
      <c r="D130" s="59" t="n">
        <f aca="false">G82</f>
        <v>2</v>
      </c>
      <c r="E130" s="72" t="n">
        <f aca="false">D130-C130</f>
        <v>0</v>
      </c>
      <c r="F130" s="18"/>
      <c r="G130" s="18"/>
      <c r="H130" s="18"/>
      <c r="I130" s="18"/>
      <c r="J130" s="20"/>
    </row>
    <row r="131" customFormat="false" ht="16.5" hidden="false" customHeight="true" outlineLevel="0" collapsed="false">
      <c r="A131" s="18" t="s">
        <v>991</v>
      </c>
      <c r="B131" s="17" t="s">
        <v>992</v>
      </c>
      <c r="C131" s="59" t="n">
        <v>1</v>
      </c>
      <c r="D131" s="59" t="n">
        <f aca="false">G82</f>
        <v>2</v>
      </c>
      <c r="E131" s="72" t="n">
        <f aca="false">D131-C131</f>
        <v>1</v>
      </c>
      <c r="F131" s="18"/>
      <c r="G131" s="18"/>
      <c r="H131" s="18"/>
      <c r="I131" s="18"/>
      <c r="J131" s="20"/>
    </row>
    <row r="132" customFormat="false" ht="29.25" hidden="false" customHeight="true" outlineLevel="0" collapsed="false">
      <c r="A132" s="18" t="s">
        <v>993</v>
      </c>
      <c r="B132" s="17" t="s">
        <v>994</v>
      </c>
      <c r="C132" s="59" t="n">
        <v>1</v>
      </c>
      <c r="D132" s="59" t="n">
        <f aca="false">G82</f>
        <v>2</v>
      </c>
      <c r="E132" s="72" t="n">
        <f aca="false">D132-C132</f>
        <v>1</v>
      </c>
      <c r="F132" s="18"/>
      <c r="G132" s="18"/>
      <c r="H132" s="18"/>
      <c r="I132" s="18"/>
      <c r="J132" s="20"/>
    </row>
    <row r="133" customFormat="false" ht="29.25" hidden="false" customHeight="true" outlineLevel="0" collapsed="false">
      <c r="A133" s="18" t="s">
        <v>995</v>
      </c>
      <c r="B133" s="17" t="s">
        <v>996</v>
      </c>
      <c r="C133" s="59" t="n">
        <v>2</v>
      </c>
      <c r="D133" s="59" t="n">
        <f aca="false">G82</f>
        <v>2</v>
      </c>
      <c r="E133" s="72" t="n">
        <f aca="false">D133-C133</f>
        <v>0</v>
      </c>
      <c r="F133" s="18"/>
      <c r="G133" s="18"/>
      <c r="H133" s="18"/>
      <c r="I133" s="18"/>
      <c r="J133" s="20" t="s">
        <v>997</v>
      </c>
    </row>
    <row r="134" customFormat="false" ht="31.5" hidden="false" customHeight="true" outlineLevel="0" collapsed="false">
      <c r="A134" s="13" t="s">
        <v>94</v>
      </c>
      <c r="B134" s="13" t="s">
        <v>944</v>
      </c>
      <c r="C134" s="13" t="s">
        <v>945</v>
      </c>
      <c r="D134" s="13" t="s">
        <v>946</v>
      </c>
      <c r="E134" s="13" t="s">
        <v>947</v>
      </c>
      <c r="F134" s="13"/>
      <c r="G134" s="13"/>
      <c r="H134" s="13"/>
      <c r="I134" s="13"/>
      <c r="J134" s="13" t="s">
        <v>622</v>
      </c>
    </row>
    <row r="135" customFormat="false" ht="29.25" hidden="false" customHeight="true" outlineLevel="0" collapsed="false">
      <c r="A135" s="25"/>
      <c r="B135" s="25" t="s">
        <v>998</v>
      </c>
      <c r="C135" s="25"/>
      <c r="D135" s="25"/>
      <c r="E135" s="69" t="n">
        <f aca="false">-SUMIF(E110:E133,"&lt;0")</f>
        <v>9</v>
      </c>
      <c r="F135" s="25"/>
      <c r="G135" s="25"/>
      <c r="H135" s="25"/>
      <c r="I135" s="25"/>
      <c r="J135" s="20" t="s">
        <v>999</v>
      </c>
    </row>
    <row r="137" customFormat="false" ht="31.5" hidden="false" customHeight="true" outlineLevel="0" collapsed="false">
      <c r="A137" s="13" t="s">
        <v>94</v>
      </c>
      <c r="B137" s="13" t="s">
        <v>1000</v>
      </c>
      <c r="C137" s="13" t="s">
        <v>1001</v>
      </c>
      <c r="D137" s="13"/>
      <c r="E137" s="13" t="s">
        <v>1002</v>
      </c>
      <c r="F137" s="13" t="s">
        <v>1003</v>
      </c>
      <c r="G137" s="13"/>
      <c r="H137" s="13"/>
      <c r="I137" s="13"/>
      <c r="J137" s="13" t="s">
        <v>1004</v>
      </c>
    </row>
    <row r="138" customFormat="false" ht="30" hidden="false" customHeight="true" outlineLevel="0" collapsed="false">
      <c r="A138" s="18" t="s">
        <v>1005</v>
      </c>
      <c r="B138" s="17" t="s">
        <v>1006</v>
      </c>
      <c r="C138" s="18" t="s">
        <v>836</v>
      </c>
      <c r="D138" s="18"/>
      <c r="E138" s="59" t="n">
        <f aca="false">F67</f>
        <v>5</v>
      </c>
      <c r="F138" s="20" t="s">
        <v>1007</v>
      </c>
      <c r="G138" s="20"/>
      <c r="H138" s="20"/>
      <c r="I138" s="20"/>
      <c r="J138" s="20" t="s">
        <v>1008</v>
      </c>
    </row>
    <row r="139" customFormat="false" ht="30" hidden="false" customHeight="true" outlineLevel="0" collapsed="false">
      <c r="A139" s="18" t="s">
        <v>1009</v>
      </c>
      <c r="B139" s="17" t="s">
        <v>1010</v>
      </c>
      <c r="C139" s="18" t="s">
        <v>1011</v>
      </c>
      <c r="D139" s="18"/>
      <c r="E139" s="59" t="n">
        <f aca="false">F68+F69</f>
        <v>17</v>
      </c>
      <c r="F139" s="20" t="s">
        <v>1012</v>
      </c>
      <c r="G139" s="20"/>
      <c r="H139" s="20"/>
      <c r="I139" s="20"/>
      <c r="J139" s="20" t="s">
        <v>1013</v>
      </c>
    </row>
    <row r="140" customFormat="false" ht="42" hidden="false" customHeight="true" outlineLevel="0" collapsed="false">
      <c r="A140" s="18" t="s">
        <v>1014</v>
      </c>
      <c r="B140" s="17" t="s">
        <v>1015</v>
      </c>
      <c r="C140" s="18" t="s">
        <v>1016</v>
      </c>
      <c r="D140" s="18"/>
      <c r="E140" s="59" t="n">
        <f aca="false">SUM(F70:F75)</f>
        <v>39</v>
      </c>
      <c r="F140" s="20" t="s">
        <v>1017</v>
      </c>
      <c r="G140" s="20"/>
      <c r="H140" s="20"/>
      <c r="I140" s="20"/>
      <c r="J140" s="20" t="s">
        <v>1018</v>
      </c>
    </row>
    <row r="141" customFormat="false" ht="30" hidden="false" customHeight="true" outlineLevel="0" collapsed="false">
      <c r="A141" s="18" t="s">
        <v>1019</v>
      </c>
      <c r="B141" s="17" t="s">
        <v>1020</v>
      </c>
      <c r="C141" s="18" t="s">
        <v>1021</v>
      </c>
      <c r="D141" s="18"/>
      <c r="E141" s="59" t="n">
        <f aca="false">F76+F77</f>
        <v>39</v>
      </c>
      <c r="F141" s="20" t="s">
        <v>1022</v>
      </c>
      <c r="G141" s="20"/>
      <c r="H141" s="20"/>
      <c r="I141" s="20"/>
      <c r="J141" s="20" t="s">
        <v>1023</v>
      </c>
    </row>
    <row r="142" customFormat="false" ht="42" hidden="false" customHeight="true" outlineLevel="0" collapsed="false">
      <c r="A142" s="18" t="s">
        <v>1024</v>
      </c>
      <c r="B142" s="17" t="s">
        <v>1025</v>
      </c>
      <c r="C142" s="18" t="s">
        <v>1026</v>
      </c>
      <c r="D142" s="18"/>
      <c r="E142" s="59" t="n">
        <f aca="false">SUM(F78:F81)</f>
        <v>33</v>
      </c>
      <c r="F142" s="20" t="s">
        <v>1027</v>
      </c>
      <c r="G142" s="20"/>
      <c r="H142" s="20"/>
      <c r="I142" s="20"/>
      <c r="J142" s="20" t="s">
        <v>1028</v>
      </c>
    </row>
    <row r="143" customFormat="false" ht="30" hidden="false" customHeight="true" outlineLevel="0" collapsed="false">
      <c r="A143" s="18" t="s">
        <v>1029</v>
      </c>
      <c r="B143" s="17" t="s">
        <v>1030</v>
      </c>
      <c r="C143" s="18" t="s">
        <v>877</v>
      </c>
      <c r="D143" s="18"/>
      <c r="E143" s="59" t="n">
        <f aca="false">F82</f>
        <v>3</v>
      </c>
      <c r="F143" s="20" t="s">
        <v>1031</v>
      </c>
      <c r="G143" s="20"/>
      <c r="H143" s="20"/>
      <c r="I143" s="20"/>
      <c r="J143" s="20" t="s">
        <v>1032</v>
      </c>
    </row>
    <row r="144" customFormat="false" ht="42" hidden="false" customHeight="true" outlineLevel="0" collapsed="false">
      <c r="A144" s="25"/>
      <c r="B144" s="25" t="s">
        <v>1033</v>
      </c>
      <c r="C144" s="25"/>
      <c r="D144" s="25"/>
      <c r="E144" s="69" t="n">
        <f aca="false">SUM(E138:E143)</f>
        <v>136</v>
      </c>
      <c r="F144" s="25"/>
      <c r="G144" s="25"/>
      <c r="H144" s="25"/>
      <c r="I144" s="25"/>
      <c r="J144" s="20" t="s">
        <v>1034</v>
      </c>
    </row>
    <row r="146" customFormat="false" ht="31.5" hidden="false" customHeight="true" outlineLevel="0" collapsed="false">
      <c r="A146" s="13" t="s">
        <v>94</v>
      </c>
      <c r="B146" s="13" t="s">
        <v>1035</v>
      </c>
      <c r="C146" s="13" t="s">
        <v>1036</v>
      </c>
      <c r="D146" s="13" t="s">
        <v>1037</v>
      </c>
      <c r="E146" s="13" t="s">
        <v>1038</v>
      </c>
      <c r="F146" s="13" t="s">
        <v>1039</v>
      </c>
      <c r="G146" s="13"/>
      <c r="H146" s="13"/>
      <c r="I146" s="13"/>
      <c r="J146" s="13" t="s">
        <v>1040</v>
      </c>
    </row>
    <row r="147" customFormat="false" ht="67.5" hidden="false" customHeight="true" outlineLevel="0" collapsed="false">
      <c r="A147" s="18" t="s">
        <v>1041</v>
      </c>
      <c r="B147" s="17" t="s">
        <v>1042</v>
      </c>
      <c r="C147" s="63" t="n">
        <f aca="false">INDEX('XER WBS'!$J$69:$J$149,MATCH("QCD18TSEPRC1120",'XER WBS'!$A$69:$A$149,0))</f>
        <v>46273</v>
      </c>
      <c r="D147" s="63" t="n">
        <f aca="false">INDEX('XER WBS'!$K$69:$K$149,MATCH("QCD18TSECONT2INS1030",'XER WBS'!$A$69:$A$149,0))</f>
        <v>46337</v>
      </c>
      <c r="E147" s="59" t="n">
        <f aca="false">NETWORKDAYS.INTL(C147,D147,"0000100",$C$14)</f>
        <v>55</v>
      </c>
      <c r="F147" s="59" t="n">
        <f aca="false">E147</f>
        <v>55</v>
      </c>
      <c r="G147" s="18"/>
      <c r="H147" s="18"/>
      <c r="I147" s="18"/>
      <c r="J147" s="20" t="s">
        <v>1043</v>
      </c>
    </row>
    <row r="148" customFormat="false" ht="30" hidden="false" customHeight="true" outlineLevel="0" collapsed="false">
      <c r="A148" s="18" t="s">
        <v>1044</v>
      </c>
      <c r="B148" s="17" t="s">
        <v>1045</v>
      </c>
      <c r="C148" s="63" t="n">
        <f aca="false">INDEX('XER WBS'!$J$69:$J$149,MATCH("QCD18TSECONT2INS1040",'XER WBS'!$A$69:$A$149,0))</f>
        <v>46344</v>
      </c>
      <c r="D148" s="63" t="n">
        <f aca="false">INDEX('XER WBS'!$K$69:$K$149,MATCH("QCD18TSECONT2INS1050",'XER WBS'!$A$69:$A$149,0))</f>
        <v>46356</v>
      </c>
      <c r="E148" s="59" t="n">
        <f aca="false">NETWORKDAYS.INTL(C148,D148,"0000100",$C$14)</f>
        <v>11</v>
      </c>
      <c r="F148" s="65" t="n">
        <f aca="false">ROUND(INDEX('XER WBS'!$I$69:$I$149,MATCH("QCD18TSECONT2INS1040",'XER WBS'!$A$69:$A$149,0))/2,0)+INDEX('XER WBS'!$I$69:$I$149,MATCH("QCD18TSECONT2INS1050",'XER WBS'!$A$69:$A$149,0))</f>
        <v>9</v>
      </c>
      <c r="G148" s="18"/>
      <c r="H148" s="18"/>
      <c r="I148" s="18"/>
      <c r="J148" s="20" t="s">
        <v>1046</v>
      </c>
    </row>
    <row r="149" customFormat="false" ht="30" hidden="false" customHeight="true" outlineLevel="0" collapsed="false">
      <c r="A149" s="18" t="s">
        <v>1047</v>
      </c>
      <c r="B149" s="17" t="s">
        <v>1048</v>
      </c>
      <c r="C149" s="64" t="s">
        <v>763</v>
      </c>
      <c r="D149" s="64" t="s">
        <v>763</v>
      </c>
      <c r="E149" s="59" t="s">
        <v>763</v>
      </c>
      <c r="F149" s="59" t="n">
        <f aca="false">F147+F148</f>
        <v>64</v>
      </c>
      <c r="G149" s="18"/>
      <c r="H149" s="18"/>
      <c r="I149" s="18"/>
      <c r="J149" s="20" t="s">
        <v>1049</v>
      </c>
    </row>
    <row r="150" customFormat="false" ht="42" hidden="false" customHeight="true" outlineLevel="0" collapsed="false">
      <c r="A150" s="18" t="s">
        <v>1050</v>
      </c>
      <c r="B150" s="17" t="s">
        <v>1051</v>
      </c>
      <c r="C150" s="63" t="n">
        <f aca="false">INDEX('XER WBS'!$J$69:$J$149,MATCH("QCD18TSECONT1INS1030",'XER WBS'!$A$69:$A$149,0))</f>
        <v>46301</v>
      </c>
      <c r="D150" s="63" t="n">
        <f aca="false">INDEX('XER WBS'!$K$69:$K$149,MATCH("QCD18TSECONT2INS1060",'XER WBS'!$A$69:$A$149,0))</f>
        <v>46343</v>
      </c>
      <c r="E150" s="65"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50" s="65"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50" s="18"/>
      <c r="H150" s="18"/>
      <c r="I150" s="18"/>
      <c r="J150" s="20" t="s">
        <v>1052</v>
      </c>
    </row>
    <row r="151" customFormat="false" ht="30" hidden="false" customHeight="true" outlineLevel="0" collapsed="false">
      <c r="A151" s="18" t="s">
        <v>1053</v>
      </c>
      <c r="B151" s="17" t="s">
        <v>1054</v>
      </c>
      <c r="C151" s="63" t="n">
        <f aca="false">INDEX('XER WBS'!$J$69:$J$149,MATCH("QCD18TSECONT1INS1040",'XER WBS'!$A$69:$A$149,0))</f>
        <v>46326</v>
      </c>
      <c r="D151" s="63" t="n">
        <f aca="false">INDEX('XER WBS'!$K$69:$K$149,MATCH("QCD18TSECONT2INS1050",'XER WBS'!$A$69:$A$149,0))</f>
        <v>46356</v>
      </c>
      <c r="E151" s="65" t="n">
        <f aca="false">INDEX('XER WBS'!$I$69:$I$149,MATCH("QCD18TSECONT1INS1040",'XER WBS'!$A$69:$A$149,0))+INDEX('XER WBS'!$I$69:$I$149,MATCH("QCD18TSECONT1INS1050",'XER WBS'!$A$69:$A$149,0))+INDEX('XER WBS'!$I$69:$I$149,MATCH("QCD18TSECONT2INS1040",'XER WBS'!$A$69:$A$149,0))+INDEX('XER WBS'!$I$69:$I$149,MATCH("QCD18TSECONT2INS1050",'XER WBS'!$A$69:$A$149,0))</f>
        <v>22</v>
      </c>
      <c r="F151" s="59" t="n">
        <f aca="false">E151</f>
        <v>22</v>
      </c>
      <c r="G151" s="18"/>
      <c r="H151" s="18"/>
      <c r="I151" s="18"/>
      <c r="J151" s="20" t="s">
        <v>1055</v>
      </c>
    </row>
    <row r="152" customFormat="false" ht="30" hidden="false" customHeight="true" outlineLevel="0" collapsed="false">
      <c r="A152" s="18" t="s">
        <v>1056</v>
      </c>
      <c r="B152" s="17" t="s">
        <v>1057</v>
      </c>
      <c r="C152" s="63" t="n">
        <f aca="false">MAX(INDEX('XER WBS'!$J$69:$J$149,MATCH("QCD18TSECONT1INS1040",'XER WBS'!$A$69:$A$149,0)),INDEX('XER WBS'!$J$69:$J$149,MATCH("QCD18TSECONT2INS1030",'XER WBS'!$A$69:$A$149,0)))</f>
        <v>46326</v>
      </c>
      <c r="D152" s="63" t="n">
        <f aca="false">MIN(INDEX('XER WBS'!$K$69:$K$149,MATCH("QCD18TSECONT1INS1050",'XER WBS'!$A$69:$A$149,0)),INDEX('XER WBS'!$K$69:$K$149,MATCH("QCD18TSECONT2INS1060",'XER WBS'!$A$69:$A$149,0)))</f>
        <v>46337</v>
      </c>
      <c r="E152" s="59" t="n">
        <f aca="false">NETWORKDAYS.INTL(C152,D152,"0000100",$C$14)</f>
        <v>11</v>
      </c>
      <c r="F152" s="59" t="n">
        <f aca="false">-ROUND(E152/2,0)</f>
        <v>-6</v>
      </c>
      <c r="G152" s="18"/>
      <c r="H152" s="18"/>
      <c r="I152" s="18"/>
      <c r="J152" s="20" t="s">
        <v>1058</v>
      </c>
    </row>
    <row r="153" customFormat="false" ht="54.75" hidden="false" customHeight="true" outlineLevel="0" collapsed="false">
      <c r="A153" s="18" t="s">
        <v>1059</v>
      </c>
      <c r="B153" s="17" t="s">
        <v>1060</v>
      </c>
      <c r="C153" s="64" t="s">
        <v>763</v>
      </c>
      <c r="D153" s="64" t="s">
        <v>763</v>
      </c>
      <c r="E153" s="59" t="n">
        <v>12</v>
      </c>
      <c r="F153" s="59" t="n">
        <f aca="false">E153</f>
        <v>12</v>
      </c>
      <c r="G153" s="18"/>
      <c r="H153" s="18"/>
      <c r="I153" s="18"/>
      <c r="J153" s="20" t="s">
        <v>1061</v>
      </c>
    </row>
    <row r="154" customFormat="false" ht="30" hidden="false" customHeight="true" outlineLevel="0" collapsed="false">
      <c r="A154" s="18" t="s">
        <v>1062</v>
      </c>
      <c r="B154" s="17" t="s">
        <v>1063</v>
      </c>
      <c r="C154" s="64" t="s">
        <v>763</v>
      </c>
      <c r="D154" s="64" t="s">
        <v>763</v>
      </c>
      <c r="E154" s="59" t="s">
        <v>763</v>
      </c>
      <c r="F154" s="59" t="n">
        <f aca="false">F150+F151+F152+F153</f>
        <v>48</v>
      </c>
      <c r="G154" s="18"/>
      <c r="H154" s="18"/>
      <c r="I154" s="18"/>
      <c r="J154" s="20" t="s">
        <v>1064</v>
      </c>
    </row>
    <row r="155" customFormat="false" ht="31.5" hidden="false" customHeight="true" outlineLevel="0" collapsed="false">
      <c r="A155" s="13" t="s">
        <v>94</v>
      </c>
      <c r="B155" s="13" t="s">
        <v>1065</v>
      </c>
      <c r="C155" s="13" t="s">
        <v>1066</v>
      </c>
      <c r="D155" s="13" t="s">
        <v>1067</v>
      </c>
      <c r="E155" s="13" t="s">
        <v>1068</v>
      </c>
      <c r="F155" s="13" t="s">
        <v>1069</v>
      </c>
      <c r="G155" s="13"/>
      <c r="H155" s="13"/>
      <c r="I155" s="13"/>
      <c r="J155" s="13" t="s">
        <v>1070</v>
      </c>
    </row>
    <row r="156" customFormat="false" ht="80.25" hidden="false" customHeight="true" outlineLevel="0" collapsed="false">
      <c r="A156" s="18" t="s">
        <v>1071</v>
      </c>
      <c r="B156" s="17" t="s">
        <v>1072</v>
      </c>
      <c r="C156" s="63" t="n">
        <f aca="false">F49</f>
        <v>46256</v>
      </c>
      <c r="D156" s="63" t="n">
        <f aca="false">G49</f>
        <v>46379</v>
      </c>
      <c r="E156" s="59" t="n">
        <f aca="false">D156-C156+1</f>
        <v>124</v>
      </c>
      <c r="F156" s="73" t="n">
        <f aca="false">ROUND(E156/$C$15,1)</f>
        <v>4.1</v>
      </c>
      <c r="G156" s="18"/>
      <c r="H156" s="18"/>
      <c r="I156" s="18"/>
      <c r="J156" s="20" t="s">
        <v>1073</v>
      </c>
    </row>
    <row r="157" customFormat="false" ht="54.75" hidden="false" customHeight="true" outlineLevel="0" collapsed="false">
      <c r="A157" s="18" t="s">
        <v>1074</v>
      </c>
      <c r="B157" s="17" t="s">
        <v>1075</v>
      </c>
      <c r="C157" s="63" t="n">
        <f aca="false">F49</f>
        <v>46256</v>
      </c>
      <c r="D157" s="63" t="n">
        <f aca="false">G49</f>
        <v>46379</v>
      </c>
      <c r="E157" s="59" t="n">
        <f aca="false">D157-C157+1</f>
        <v>124</v>
      </c>
      <c r="F157" s="73" t="n">
        <f aca="false">ROUND(E157/$C$15,1)</f>
        <v>4.1</v>
      </c>
      <c r="G157" s="18"/>
      <c r="H157" s="18"/>
      <c r="I157" s="18"/>
      <c r="J157" s="20" t="s">
        <v>1076</v>
      </c>
    </row>
    <row r="158" customFormat="false" ht="42" hidden="false" customHeight="true" outlineLevel="0" collapsed="false">
      <c r="A158" s="18" t="s">
        <v>1077</v>
      </c>
      <c r="B158" s="17" t="s">
        <v>1078</v>
      </c>
      <c r="C158" s="63" t="n">
        <f aca="false">F21</f>
        <v>46261</v>
      </c>
      <c r="D158" s="63" t="n">
        <f aca="false">G46</f>
        <v>46371</v>
      </c>
      <c r="E158" s="59" t="n">
        <f aca="false">D158-C158+1</f>
        <v>111</v>
      </c>
      <c r="F158" s="73" t="n">
        <f aca="false">ROUND(E158/$C$15,1)</f>
        <v>3.7</v>
      </c>
      <c r="G158" s="18"/>
      <c r="H158" s="18"/>
      <c r="I158" s="18"/>
      <c r="J158" s="20" t="s">
        <v>1079</v>
      </c>
    </row>
    <row r="159" customFormat="false" ht="42" hidden="false" customHeight="true" outlineLevel="0" collapsed="false">
      <c r="A159" s="18" t="s">
        <v>1080</v>
      </c>
      <c r="B159" s="17" t="s">
        <v>1081</v>
      </c>
      <c r="C159" s="63" t="n">
        <f aca="false">F49</f>
        <v>46256</v>
      </c>
      <c r="D159" s="63" t="n">
        <f aca="false">G49</f>
        <v>46379</v>
      </c>
      <c r="E159" s="59" t="n">
        <f aca="false">D159-C159+1</f>
        <v>124</v>
      </c>
      <c r="F159" s="73" t="n">
        <f aca="false">ROUND(E159/$C$15,1)</f>
        <v>4.1</v>
      </c>
      <c r="G159" s="18"/>
      <c r="H159" s="18"/>
      <c r="I159" s="18"/>
      <c r="J159" s="20" t="s">
        <v>1082</v>
      </c>
    </row>
    <row r="160" customFormat="false" ht="42" hidden="false" customHeight="true" outlineLevel="0" collapsed="false">
      <c r="A160" s="18" t="s">
        <v>1083</v>
      </c>
      <c r="B160" s="17" t="s">
        <v>1084</v>
      </c>
      <c r="C160" s="63" t="n">
        <f aca="false">INDEX('XER WBS'!$J$69:$J$149,MATCH("QCD18TSEPRC1120",'XER WBS'!$A$69:$A$149,0))</f>
        <v>46273</v>
      </c>
      <c r="D160" s="63" t="n">
        <f aca="false">G46</f>
        <v>46371</v>
      </c>
      <c r="E160" s="59" t="n">
        <f aca="false">D160-C160+1</f>
        <v>99</v>
      </c>
      <c r="F160" s="73" t="n">
        <f aca="false">ROUND(E160/$C$15,1)</f>
        <v>3.3</v>
      </c>
      <c r="G160" s="18"/>
      <c r="H160" s="18"/>
      <c r="I160" s="18"/>
      <c r="J160" s="20" t="s">
        <v>1085</v>
      </c>
    </row>
    <row r="162" customFormat="false" ht="21" hidden="false" customHeight="true" outlineLevel="0" collapsed="false">
      <c r="A162" s="15" t="s">
        <v>1086</v>
      </c>
      <c r="B162" s="15"/>
      <c r="C162" s="15"/>
      <c r="D162" s="15"/>
      <c r="E162" s="15"/>
      <c r="F162" s="15"/>
      <c r="G162" s="15"/>
      <c r="H162" s="15"/>
      <c r="I162" s="15"/>
      <c r="J162" s="15"/>
    </row>
    <row r="163" customFormat="false" ht="57.75" hidden="false" customHeight="true" outlineLevel="0" collapsed="false">
      <c r="A163" s="11" t="s">
        <v>1087</v>
      </c>
      <c r="B163" s="11"/>
      <c r="C163" s="11"/>
      <c r="D163" s="11"/>
      <c r="E163" s="11"/>
      <c r="F163" s="11"/>
      <c r="G163" s="11"/>
      <c r="H163" s="11"/>
      <c r="I163" s="11"/>
      <c r="J163" s="11"/>
    </row>
    <row r="164" customFormat="false" ht="54.75" hidden="false" customHeight="true" outlineLevel="0" collapsed="false">
      <c r="A164" s="13" t="s">
        <v>94</v>
      </c>
      <c r="B164" s="13" t="s">
        <v>1088</v>
      </c>
      <c r="C164" s="13" t="s">
        <v>37</v>
      </c>
      <c r="D164" s="13" t="s">
        <v>39</v>
      </c>
      <c r="E164" s="13" t="s">
        <v>1089</v>
      </c>
      <c r="F164" s="13" t="s">
        <v>1090</v>
      </c>
      <c r="G164" s="13" t="s">
        <v>1091</v>
      </c>
      <c r="H164" s="13" t="s">
        <v>1092</v>
      </c>
      <c r="I164" s="13" t="s">
        <v>1093</v>
      </c>
      <c r="J164" s="13" t="s">
        <v>1094</v>
      </c>
    </row>
    <row r="165" customFormat="false" ht="30" hidden="false" customHeight="true" outlineLevel="0" collapsed="false">
      <c r="A165" s="16" t="s">
        <v>96</v>
      </c>
      <c r="B165" s="17" t="str">
        <f aca="false">'Build-Up'!B9</f>
        <v>Site engineer - dedicated to the tank site</v>
      </c>
      <c r="C165" s="18" t="str">
        <f aca="false">'Build-Up'!C9</f>
        <v>month</v>
      </c>
      <c r="D165" s="19" t="n">
        <f aca="false">'Build-Up'!E9</f>
        <v>12000</v>
      </c>
      <c r="E165" s="74" t="n">
        <v>3</v>
      </c>
      <c r="F165" s="74" t="n">
        <f aca="false">ROUND(E49/$C$15,1)</f>
        <v>4.1</v>
      </c>
      <c r="G165" s="75" t="n">
        <f aca="false">F156</f>
        <v>4.1</v>
      </c>
      <c r="H165" s="74" t="n">
        <f aca="false">ROUND(F165*D165,2)</f>
        <v>49200</v>
      </c>
      <c r="I165" s="19" t="n">
        <f aca="false">ROUND(G165*D165,2)</f>
        <v>49200</v>
      </c>
      <c r="J165" s="20" t="s">
        <v>1095</v>
      </c>
    </row>
    <row r="166" customFormat="false" ht="30" hidden="false" customHeight="true" outlineLevel="0" collapsed="false">
      <c r="A166" s="16" t="s">
        <v>100</v>
      </c>
      <c r="B166" s="17" t="str">
        <f aca="false">'Build-Up'!B10</f>
        <v>HSE officer - dedicated</v>
      </c>
      <c r="C166" s="18" t="str">
        <f aca="false">'Build-Up'!C10</f>
        <v>month</v>
      </c>
      <c r="D166" s="19" t="n">
        <f aca="false">'Build-Up'!E10</f>
        <v>10000</v>
      </c>
      <c r="E166" s="74" t="n">
        <v>3</v>
      </c>
      <c r="F166" s="74" t="n">
        <f aca="false">ROUND(E49/$C$15,1)</f>
        <v>4.1</v>
      </c>
      <c r="G166" s="75" t="n">
        <f aca="false">F157</f>
        <v>4.1</v>
      </c>
      <c r="H166" s="74" t="n">
        <f aca="false">ROUND(F166*D166,2)</f>
        <v>41000</v>
      </c>
      <c r="I166" s="19" t="n">
        <f aca="false">ROUND(G166*D166,2)</f>
        <v>41000</v>
      </c>
      <c r="J166" s="20" t="s">
        <v>1096</v>
      </c>
    </row>
    <row r="167" customFormat="false" ht="30" hidden="false" customHeight="true" outlineLevel="0" collapsed="false">
      <c r="A167" s="16" t="s">
        <v>103</v>
      </c>
      <c r="B167" s="17" t="str">
        <f aca="false">'Build-Up'!B11</f>
        <v>QA/QC inspector - dedicated (daily inspections, ITPs and WIRs during erection)</v>
      </c>
      <c r="C167" s="18" t="str">
        <f aca="false">'Build-Up'!C11</f>
        <v>month</v>
      </c>
      <c r="D167" s="19" t="n">
        <f aca="false">'Build-Up'!E11</f>
        <v>10000</v>
      </c>
      <c r="E167" s="74" t="n">
        <v>3</v>
      </c>
      <c r="F167" s="74" t="n">
        <f aca="false">ROUND(E49/$C$15,1)</f>
        <v>4.1</v>
      </c>
      <c r="G167" s="75" t="n">
        <f aca="false">F158</f>
        <v>3.7</v>
      </c>
      <c r="H167" s="74" t="n">
        <f aca="false">ROUND(F167*D167,2)</f>
        <v>41000</v>
      </c>
      <c r="I167" s="19" t="n">
        <f aca="false">ROUND(G167*D167,2)</f>
        <v>37000</v>
      </c>
      <c r="J167" s="20" t="s">
        <v>1097</v>
      </c>
    </row>
    <row r="168" customFormat="false" ht="30" hidden="false" customHeight="true" outlineLevel="0" collapsed="false">
      <c r="A168" s="16" t="s">
        <v>106</v>
      </c>
      <c r="B168" s="17" t="str">
        <f aca="false">'Build-Up'!B12</f>
        <v>Works foreman - dedicated</v>
      </c>
      <c r="C168" s="18" t="str">
        <f aca="false">'Build-Up'!C12</f>
        <v>month</v>
      </c>
      <c r="D168" s="19" t="n">
        <f aca="false">'Build-Up'!E12</f>
        <v>8000</v>
      </c>
      <c r="E168" s="74" t="n">
        <v>3</v>
      </c>
      <c r="F168" s="74" t="n">
        <f aca="false">ROUND(E49/$C$15,1)</f>
        <v>4.1</v>
      </c>
      <c r="G168" s="75" t="n">
        <f aca="false">F159</f>
        <v>4.1</v>
      </c>
      <c r="H168" s="74" t="n">
        <f aca="false">ROUND(F168*D168,2)</f>
        <v>32800</v>
      </c>
      <c r="I168" s="19" t="n">
        <f aca="false">ROUND(G168*D168,2)</f>
        <v>32800</v>
      </c>
      <c r="J168" s="20" t="s">
        <v>1098</v>
      </c>
    </row>
    <row r="169" customFormat="false" ht="30" hidden="false" customHeight="true" outlineLevel="0" collapsed="false">
      <c r="A169" s="16" t="s">
        <v>109</v>
      </c>
      <c r="B169" s="17" t="str">
        <f aca="false">'Build-Up'!B13</f>
        <v>Storekeeper / timekeeper</v>
      </c>
      <c r="C169" s="18" t="str">
        <f aca="false">'Build-Up'!C13</f>
        <v>month</v>
      </c>
      <c r="D169" s="19" t="n">
        <f aca="false">'Build-Up'!E13</f>
        <v>4000</v>
      </c>
      <c r="E169" s="74" t="n">
        <v>3</v>
      </c>
      <c r="F169" s="74" t="n">
        <f aca="false">ROUND(E49/$C$15,1)</f>
        <v>4.1</v>
      </c>
      <c r="G169" s="75" t="n">
        <f aca="false">F160</f>
        <v>3.3</v>
      </c>
      <c r="H169" s="74" t="n">
        <f aca="false">ROUND(F169*D169,2)</f>
        <v>16400</v>
      </c>
      <c r="I169" s="19" t="n">
        <f aca="false">ROUND(G169*D169,2)</f>
        <v>13200</v>
      </c>
      <c r="J169" s="20" t="s">
        <v>1099</v>
      </c>
    </row>
    <row r="170" customFormat="false" ht="30" hidden="false" customHeight="true" outlineLevel="0" collapsed="false">
      <c r="A170" s="16" t="s">
        <v>112</v>
      </c>
      <c r="B170" s="17" t="str">
        <f aca="false">'Build-Up'!B14</f>
        <v>Site office porta cabin, air-conditioned, rental with electricity connection and maintenance</v>
      </c>
      <c r="C170" s="18" t="str">
        <f aca="false">'Build-Up'!C14</f>
        <v>month</v>
      </c>
      <c r="D170" s="19" t="n">
        <f aca="false">'Build-Up'!E14</f>
        <v>2200</v>
      </c>
      <c r="E170" s="74" t="n">
        <v>3</v>
      </c>
      <c r="F170" s="74" t="n">
        <f aca="false">ROUND(E49/$C$15,1)</f>
        <v>4.1</v>
      </c>
      <c r="G170" s="75" t="n">
        <f aca="false">ROUND(H49/$C$15,1)</f>
        <v>4.1</v>
      </c>
      <c r="H170" s="74" t="n">
        <f aca="false">ROUND(F170*D170,2)</f>
        <v>9020</v>
      </c>
      <c r="I170" s="19" t="n">
        <f aca="false">ROUND(G170*D170,2)</f>
        <v>9020</v>
      </c>
      <c r="J170" s="20" t="s">
        <v>1100</v>
      </c>
    </row>
    <row r="171" customFormat="false" ht="30" hidden="false" customHeight="true" outlineLevel="0" collapsed="false">
      <c r="A171" s="16" t="s">
        <v>115</v>
      </c>
      <c r="B171" s="17" t="str">
        <f aca="false">'Build-Up'!B15</f>
        <v>Rest and welfare porta cabin, air-conditioned, rental with electricity connection and maintenance</v>
      </c>
      <c r="C171" s="18" t="str">
        <f aca="false">'Build-Up'!C15</f>
        <v>month</v>
      </c>
      <c r="D171" s="19" t="n">
        <f aca="false">'Build-Up'!E15</f>
        <v>2200</v>
      </c>
      <c r="E171" s="74" t="n">
        <v>3</v>
      </c>
      <c r="F171" s="74" t="n">
        <f aca="false">ROUND(E49/$C$15,1)</f>
        <v>4.1</v>
      </c>
      <c r="G171" s="75" t="n">
        <f aca="false">ROUND(H49/$C$15,1)</f>
        <v>4.1</v>
      </c>
      <c r="H171" s="74" t="n">
        <f aca="false">ROUND(F171*D171,2)</f>
        <v>9020</v>
      </c>
      <c r="I171" s="19" t="n">
        <f aca="false">ROUND(G171*D171,2)</f>
        <v>9020</v>
      </c>
      <c r="J171" s="20" t="s">
        <v>1100</v>
      </c>
    </row>
    <row r="172" customFormat="false" ht="30" hidden="false" customHeight="true" outlineLevel="0" collapsed="false">
      <c r="A172" s="16" t="s">
        <v>117</v>
      </c>
      <c r="B172" s="17" t="str">
        <f aca="false">'Build-Up'!B16</f>
        <v>WC unit, rental with servicing</v>
      </c>
      <c r="C172" s="18" t="str">
        <f aca="false">'Build-Up'!C16</f>
        <v>month</v>
      </c>
      <c r="D172" s="19" t="n">
        <f aca="false">'Build-Up'!E16</f>
        <v>1300</v>
      </c>
      <c r="E172" s="74" t="n">
        <v>3</v>
      </c>
      <c r="F172" s="74" t="n">
        <f aca="false">ROUND(E49/$C$15,1)</f>
        <v>4.1</v>
      </c>
      <c r="G172" s="75" t="n">
        <f aca="false">ROUND(H49/$C$15,1)</f>
        <v>4.1</v>
      </c>
      <c r="H172" s="74" t="n">
        <f aca="false">ROUND(F172*D172,2)</f>
        <v>5330</v>
      </c>
      <c r="I172" s="19" t="n">
        <f aca="false">ROUND(G172*D172,2)</f>
        <v>5330</v>
      </c>
      <c r="J172" s="20" t="s">
        <v>1100</v>
      </c>
    </row>
    <row r="173" customFormat="false" ht="30" hidden="false" customHeight="true" outlineLevel="0" collapsed="false">
      <c r="A173" s="16" t="s">
        <v>119</v>
      </c>
      <c r="B173" s="17" t="str">
        <f aca="false">'Build-Up'!B17</f>
        <v>Site water supply - tankered deliveries for welfare and general site use, whole period</v>
      </c>
      <c r="C173" s="18" t="str">
        <f aca="false">'Build-Up'!C17</f>
        <v>delivery</v>
      </c>
      <c r="D173" s="19" t="n">
        <f aca="false">'Build-Up'!E17</f>
        <v>350</v>
      </c>
      <c r="E173" s="74" t="n">
        <v>26</v>
      </c>
      <c r="F173" s="74" t="n">
        <f aca="false">2*ROUNDUP(E49/7,0)</f>
        <v>36</v>
      </c>
      <c r="G173" s="75" t="n">
        <f aca="false">2*ROUNDUP(H49/7,0)</f>
        <v>36</v>
      </c>
      <c r="H173" s="74" t="n">
        <f aca="false">ROUND(F173*D173,2)</f>
        <v>12600</v>
      </c>
      <c r="I173" s="19" t="n">
        <f aca="false">ROUND(G173*D173,2)</f>
        <v>12600</v>
      </c>
      <c r="J173" s="20" t="s">
        <v>1101</v>
      </c>
    </row>
    <row r="174" customFormat="false" ht="30" hidden="false" customHeight="true" outlineLevel="0" collapsed="false">
      <c r="A174" s="16" t="s">
        <v>123</v>
      </c>
      <c r="B174" s="17" t="str">
        <f aca="false">'Build-Up'!B18</f>
        <v>Site water storage tank, hire</v>
      </c>
      <c r="C174" s="18" t="str">
        <f aca="false">'Build-Up'!C18</f>
        <v>month</v>
      </c>
      <c r="D174" s="19" t="n">
        <f aca="false">'Build-Up'!E18</f>
        <v>350</v>
      </c>
      <c r="E174" s="74" t="n">
        <v>3</v>
      </c>
      <c r="F174" s="74" t="n">
        <f aca="false">ROUND(E49/$C$15,1)</f>
        <v>4.1</v>
      </c>
      <c r="G174" s="75" t="n">
        <f aca="false">ROUND(H49/$C$15,1)</f>
        <v>4.1</v>
      </c>
      <c r="H174" s="74" t="n">
        <f aca="false">ROUND(F174*D174,2)</f>
        <v>1435</v>
      </c>
      <c r="I174" s="19" t="n">
        <f aca="false">ROUND(G174*D174,2)</f>
        <v>1435</v>
      </c>
      <c r="J174" s="20" t="s">
        <v>1100</v>
      </c>
    </row>
    <row r="175" customFormat="false" ht="54.75" hidden="false" customHeight="true" outlineLevel="0" collapsed="false">
      <c r="A175" s="13" t="s">
        <v>94</v>
      </c>
      <c r="B175" s="13" t="s">
        <v>1088</v>
      </c>
      <c r="C175" s="13" t="s">
        <v>37</v>
      </c>
      <c r="D175" s="13" t="s">
        <v>39</v>
      </c>
      <c r="E175" s="76" t="s">
        <v>1089</v>
      </c>
      <c r="F175" s="76" t="s">
        <v>1090</v>
      </c>
      <c r="G175" s="13" t="s">
        <v>1091</v>
      </c>
      <c r="H175" s="76" t="s">
        <v>1092</v>
      </c>
      <c r="I175" s="13" t="s">
        <v>1093</v>
      </c>
      <c r="J175" s="13" t="s">
        <v>1094</v>
      </c>
    </row>
    <row r="176" customFormat="false" ht="42" hidden="false" customHeight="true" outlineLevel="0" collapsed="false">
      <c r="A176" s="16" t="s">
        <v>125</v>
      </c>
      <c r="B176" s="17" t="str">
        <f aca="false">'Build-Up'!B19</f>
        <v>Storage containers, 2 No. for the panel storage window (RFP Scope of Works, work package 1 - pre-construction and setup: safe storage of panels)</v>
      </c>
      <c r="C176" s="18" t="str">
        <f aca="false">'Build-Up'!C19</f>
        <v>container-month</v>
      </c>
      <c r="D176" s="19" t="n">
        <f aca="false">'Build-Up'!E19</f>
        <v>1200</v>
      </c>
      <c r="E176" s="74" t="n">
        <v>6</v>
      </c>
      <c r="F176" s="74" t="n">
        <f aca="false">2*ROUND(E53/$C$15,1)</f>
        <v>5.6</v>
      </c>
      <c r="G176" s="75" t="n">
        <f aca="false">2*ROUND(H53/$C$15,1)</f>
        <v>5.6</v>
      </c>
      <c r="H176" s="74" t="n">
        <f aca="false">ROUND(F176*D176,2)</f>
        <v>6720</v>
      </c>
      <c r="I176" s="19" t="n">
        <f aca="false">ROUND(G176*D176,2)</f>
        <v>6720</v>
      </c>
      <c r="J176" s="20" t="s">
        <v>1102</v>
      </c>
    </row>
    <row r="177" customFormat="false" ht="54.75" hidden="false" customHeight="true" outlineLevel="0" collapsed="false">
      <c r="A177" s="16" t="s">
        <v>129</v>
      </c>
      <c r="B177" s="17" t="str">
        <f aca="false">'Build-Up'!B20</f>
        <v>Workforce transport to the tank site, daily bus</v>
      </c>
      <c r="C177" s="18" t="str">
        <f aca="false">'Build-Up'!C20</f>
        <v>month</v>
      </c>
      <c r="D177" s="19" t="n">
        <f aca="false">'Build-Up'!E20</f>
        <v>4000</v>
      </c>
      <c r="E177" s="74" t="n">
        <v>3</v>
      </c>
      <c r="F177" s="74" t="n">
        <f aca="false">ROUND(E49/$C$15,1)</f>
        <v>4.1</v>
      </c>
      <c r="G177" s="75" t="n">
        <f aca="false">ROUND(H49/$C$15,1)</f>
        <v>4.1</v>
      </c>
      <c r="H177" s="74" t="n">
        <f aca="false">ROUND(F177*D177,2)</f>
        <v>16400</v>
      </c>
      <c r="I177" s="19" t="n">
        <f aca="false">ROUND(G177*D177,2)</f>
        <v>16400</v>
      </c>
      <c r="J177" s="20" t="s">
        <v>1103</v>
      </c>
    </row>
    <row r="178" customFormat="false" ht="30" hidden="false" customHeight="true" outlineLevel="0" collapsed="false">
      <c r="A178" s="16" t="s">
        <v>132</v>
      </c>
      <c r="B178" s="17" t="str">
        <f aca="false">'Build-Up'!B21</f>
        <v>Watchman for the tank site</v>
      </c>
      <c r="C178" s="18" t="str">
        <f aca="false">'Build-Up'!C21</f>
        <v>month</v>
      </c>
      <c r="D178" s="19" t="n">
        <f aca="false">'Build-Up'!E21</f>
        <v>4500</v>
      </c>
      <c r="E178" s="74" t="n">
        <v>3</v>
      </c>
      <c r="F178" s="74" t="n">
        <f aca="false">ROUND(E49/$C$15,1)</f>
        <v>4.1</v>
      </c>
      <c r="G178" s="75" t="n">
        <f aca="false">ROUND(H49/$C$15,1)</f>
        <v>4.1</v>
      </c>
      <c r="H178" s="74" t="n">
        <f aca="false">ROUND(F178*D178,2)</f>
        <v>18450</v>
      </c>
      <c r="I178" s="19" t="n">
        <f aca="false">ROUND(G178*D178,2)</f>
        <v>18450</v>
      </c>
      <c r="J178" s="20" t="s">
        <v>1104</v>
      </c>
    </row>
    <row r="179" customFormat="false" ht="30" hidden="false" customHeight="true" outlineLevel="0" collapsed="false">
      <c r="A179" s="16" t="s">
        <v>238</v>
      </c>
      <c r="B179" s="17" t="str">
        <f aca="false">'Build-Up'!B74</f>
        <v>Boom truck (hiab) - offloading and erection support</v>
      </c>
      <c r="C179" s="18" t="str">
        <f aca="false">'Build-Up'!C74</f>
        <v>day</v>
      </c>
      <c r="D179" s="19" t="n">
        <f aca="false">'Build-Up'!E74</f>
        <v>1200</v>
      </c>
      <c r="E179" s="74" t="n">
        <v>50</v>
      </c>
      <c r="F179" s="74" t="n">
        <f aca="false">F154</f>
        <v>48</v>
      </c>
      <c r="G179" s="75" t="n">
        <f aca="false">F154</f>
        <v>48</v>
      </c>
      <c r="H179" s="74" t="n">
        <f aca="false">ROUND(F179*D179,2)</f>
        <v>57600</v>
      </c>
      <c r="I179" s="19" t="n">
        <f aca="false">ROUND(G179*D179,2)</f>
        <v>57600</v>
      </c>
      <c r="J179" s="20" t="s">
        <v>1105</v>
      </c>
    </row>
    <row r="180" customFormat="false" ht="30" hidden="false" customHeight="true" outlineLevel="0" collapsed="false">
      <c r="A180" s="16" t="s">
        <v>241</v>
      </c>
      <c r="B180" s="17" t="str">
        <f aca="false">'Build-Up'!B75</f>
        <v>Telehandler / forklift</v>
      </c>
      <c r="C180" s="18" t="str">
        <f aca="false">'Build-Up'!C75</f>
        <v>day</v>
      </c>
      <c r="D180" s="19" t="n">
        <f aca="false">'Build-Up'!E75</f>
        <v>900</v>
      </c>
      <c r="E180" s="74" t="n">
        <v>50</v>
      </c>
      <c r="F180" s="74" t="n">
        <f aca="false">F149</f>
        <v>64</v>
      </c>
      <c r="G180" s="75" t="n">
        <f aca="false">F149</f>
        <v>64</v>
      </c>
      <c r="H180" s="74" t="n">
        <f aca="false">ROUND(F180*D180,2)</f>
        <v>57600</v>
      </c>
      <c r="I180" s="19" t="n">
        <f aca="false">ROUND(G180*D180,2)</f>
        <v>57600</v>
      </c>
      <c r="J180" s="20" t="s">
        <v>1106</v>
      </c>
    </row>
    <row r="181" customFormat="false" ht="30" hidden="false" customHeight="true" outlineLevel="0" collapsed="false">
      <c r="A181" s="16" t="s">
        <v>248</v>
      </c>
      <c r="B181" s="17" t="str">
        <f aca="false">'Build-Up'!B77</f>
        <v>Mobile aluminium access towers, 2 No. for the access window, whole hire months</v>
      </c>
      <c r="C181" s="18" t="str">
        <f aca="false">'Build-Up'!C77</f>
        <v>tower-month</v>
      </c>
      <c r="D181" s="19" t="n">
        <f aca="false">'Build-Up'!E77</f>
        <v>1800</v>
      </c>
      <c r="E181" s="74" t="n">
        <v>6</v>
      </c>
      <c r="F181" s="74" t="n">
        <f aca="false">2*ROUNDUP(E52/$C$15,0)</f>
        <v>4</v>
      </c>
      <c r="G181" s="75" t="n">
        <f aca="false">2*ROUNDUP(H52/$C$15,0)</f>
        <v>4</v>
      </c>
      <c r="H181" s="74" t="n">
        <f aca="false">ROUND(F181*D181,2)</f>
        <v>7200</v>
      </c>
      <c r="I181" s="19" t="n">
        <f aca="false">ROUND(G181*D181,2)</f>
        <v>7200</v>
      </c>
      <c r="J181" s="20" t="s">
        <v>1107</v>
      </c>
    </row>
    <row r="182" customFormat="false" ht="30" hidden="false" customHeight="true" outlineLevel="0" collapsed="false">
      <c r="A182" s="16" t="s">
        <v>254</v>
      </c>
      <c r="B182" s="17" t="str">
        <f aca="false">'Build-Up'!B79</f>
        <v>Podium steps, 2 No. for the access window, whole hire months</v>
      </c>
      <c r="C182" s="18" t="str">
        <f aca="false">'Build-Up'!C79</f>
        <v>unit-month</v>
      </c>
      <c r="D182" s="19" t="n">
        <f aca="false">'Build-Up'!E79</f>
        <v>350</v>
      </c>
      <c r="E182" s="74" t="n">
        <v>6</v>
      </c>
      <c r="F182" s="74" t="n">
        <f aca="false">2*ROUNDUP(E52/$C$15,0)</f>
        <v>4</v>
      </c>
      <c r="G182" s="75" t="n">
        <f aca="false">2*ROUNDUP(H52/$C$15,0)</f>
        <v>4</v>
      </c>
      <c r="H182" s="74" t="n">
        <f aca="false">ROUND(F182*D182,2)</f>
        <v>1400</v>
      </c>
      <c r="I182" s="19" t="n">
        <f aca="false">ROUND(G182*D182,2)</f>
        <v>1400</v>
      </c>
      <c r="J182" s="20" t="s">
        <v>1108</v>
      </c>
    </row>
    <row r="183" customFormat="false" ht="30" hidden="false" customHeight="true" outlineLevel="0" collapsed="false">
      <c r="A183" s="16" t="s">
        <v>258</v>
      </c>
      <c r="B183" s="17" t="str">
        <f aca="false">'Build-Up'!B80</f>
        <v>Generator 100 kVA for the works, daytime running with fuel</v>
      </c>
      <c r="C183" s="18" t="str">
        <f aca="false">'Build-Up'!C80</f>
        <v>month</v>
      </c>
      <c r="D183" s="19" t="n">
        <f aca="false">'Build-Up'!E80</f>
        <v>11000</v>
      </c>
      <c r="E183" s="74" t="n">
        <v>3</v>
      </c>
      <c r="F183" s="74" t="n">
        <f aca="false">ROUND(E50/$C$15,1)</f>
        <v>3.8</v>
      </c>
      <c r="G183" s="75" t="n">
        <f aca="false">ROUND(H50/$C$15,1)</f>
        <v>3.8</v>
      </c>
      <c r="H183" s="74" t="n">
        <f aca="false">ROUND(F183*D183,2)</f>
        <v>41800</v>
      </c>
      <c r="I183" s="19" t="n">
        <f aca="false">ROUND(G183*D183,2)</f>
        <v>41800</v>
      </c>
      <c r="J183" s="20" t="s">
        <v>1109</v>
      </c>
    </row>
    <row r="184" customFormat="false" ht="30" hidden="false" customHeight="true" outlineLevel="0" collapsed="false">
      <c r="A184" s="16" t="s">
        <v>261</v>
      </c>
      <c r="B184" s="17" t="str">
        <f aca="false">'Build-Up'!B81</f>
        <v>Generator 30 kVA for the site office and welfare cabins, continuous running with fuel, whole period</v>
      </c>
      <c r="C184" s="18" t="str">
        <f aca="false">'Build-Up'!C81</f>
        <v>month</v>
      </c>
      <c r="D184" s="19" t="n">
        <f aca="false">'Build-Up'!E81</f>
        <v>6000</v>
      </c>
      <c r="E184" s="74" t="n">
        <v>3</v>
      </c>
      <c r="F184" s="74" t="n">
        <f aca="false">ROUND(E49/$C$15,1)</f>
        <v>4.1</v>
      </c>
      <c r="G184" s="75" t="n">
        <f aca="false">ROUND(H49/$C$15,1)</f>
        <v>4.1</v>
      </c>
      <c r="H184" s="74" t="n">
        <f aca="false">ROUND(F184*D184,2)</f>
        <v>24600</v>
      </c>
      <c r="I184" s="19" t="n">
        <f aca="false">ROUND(G184*D184,2)</f>
        <v>24600</v>
      </c>
      <c r="J184" s="20" t="s">
        <v>1110</v>
      </c>
    </row>
    <row r="185" customFormat="false" ht="30" hidden="false" customHeight="true" outlineLevel="0" collapsed="false">
      <c r="A185" s="16" t="s">
        <v>264</v>
      </c>
      <c r="B185" s="17" t="str">
        <f aca="false">'Build-Up'!B82</f>
        <v>Site transport, pick-up / flatbed</v>
      </c>
      <c r="C185" s="18" t="str">
        <f aca="false">'Build-Up'!C82</f>
        <v>month</v>
      </c>
      <c r="D185" s="19" t="n">
        <f aca="false">'Build-Up'!E82</f>
        <v>3000</v>
      </c>
      <c r="E185" s="74" t="n">
        <v>3</v>
      </c>
      <c r="F185" s="74" t="n">
        <f aca="false">ROUND(E49/$C$15,1)</f>
        <v>4.1</v>
      </c>
      <c r="G185" s="75" t="n">
        <f aca="false">ROUND(H49/$C$15,1)</f>
        <v>4.1</v>
      </c>
      <c r="H185" s="74" t="n">
        <f aca="false">ROUND(F185*D185,2)</f>
        <v>12300</v>
      </c>
      <c r="I185" s="19" t="n">
        <f aca="false">ROUND(G185*D185,2)</f>
        <v>12300</v>
      </c>
      <c r="J185" s="20" t="s">
        <v>1111</v>
      </c>
    </row>
    <row r="186" customFormat="false" ht="30" hidden="false" customHeight="true" outlineLevel="0" collapsed="false">
      <c r="A186" s="16" t="s">
        <v>267</v>
      </c>
      <c r="B186" s="17" t="str">
        <f aca="false">'Build-Up'!B83</f>
        <v>Contractor's helpers - the approved manpower histogram helper row (85 man-weeks), man-months</v>
      </c>
      <c r="C186" s="18" t="str">
        <f aca="false">'Build-Up'!C83</f>
        <v>man-month</v>
      </c>
      <c r="D186" s="19" t="n">
        <f aca="false">'Build-Up'!E83</f>
        <v>3000</v>
      </c>
      <c r="E186" s="74" t="n">
        <v>15</v>
      </c>
      <c r="F186" s="74" t="n">
        <f aca="false">I87</f>
        <v>19.8</v>
      </c>
      <c r="G186" s="75" t="n">
        <f aca="false">I87</f>
        <v>19.8</v>
      </c>
      <c r="H186" s="74" t="n">
        <f aca="false">ROUND(F186*D186,2)</f>
        <v>59400</v>
      </c>
      <c r="I186" s="19" t="n">
        <f aca="false">ROUND(G186*D186,2)</f>
        <v>59400</v>
      </c>
      <c r="J186" s="20" t="s">
        <v>1112</v>
      </c>
    </row>
    <row r="187" customFormat="false" ht="30" hidden="false" customHeight="true" outlineLevel="0" collapsed="false">
      <c r="A187" s="16" t="s">
        <v>271</v>
      </c>
      <c r="B187" s="17" t="str">
        <f aca="false">'Build-Up'!B84</f>
        <v>Power and hand tools, slings and lifting tackle for the Contractor's helpers - unloading, shifting and attendance</v>
      </c>
      <c r="C187" s="18" t="str">
        <f aca="false">'Build-Up'!C84</f>
        <v>month</v>
      </c>
      <c r="D187" s="19" t="n">
        <f aca="false">'Build-Up'!E84</f>
        <v>2500</v>
      </c>
      <c r="E187" s="74" t="n">
        <v>3</v>
      </c>
      <c r="F187" s="74" t="n">
        <f aca="false">ROUND(E51/$C$15,1)</f>
        <v>2.7</v>
      </c>
      <c r="G187" s="75" t="n">
        <f aca="false">ROUND(H51/$C$15,1)</f>
        <v>2.7</v>
      </c>
      <c r="H187" s="74" t="n">
        <f aca="false">ROUND(F187*D187,2)</f>
        <v>6750</v>
      </c>
      <c r="I187" s="19" t="n">
        <f aca="false">ROUND(G187*D187,2)</f>
        <v>6750</v>
      </c>
      <c r="J187" s="20" t="s">
        <v>1113</v>
      </c>
    </row>
    <row r="188" customFormat="false" ht="30" hidden="false" customHeight="true" outlineLevel="0" collapsed="false">
      <c r="A188" s="16" t="s">
        <v>280</v>
      </c>
      <c r="B188" s="17" t="str">
        <f aca="false">'Build-Up'!B87</f>
        <v>Mobile lighting towers, 2 No. for the erection window</v>
      </c>
      <c r="C188" s="18" t="str">
        <f aca="false">'Build-Up'!C87</f>
        <v>unit-month</v>
      </c>
      <c r="D188" s="19" t="n">
        <f aca="false">'Build-Up'!E87</f>
        <v>1200</v>
      </c>
      <c r="E188" s="74" t="n">
        <v>6</v>
      </c>
      <c r="F188" s="74" t="n">
        <f aca="false">2*ROUND(E51/$C$15,1)</f>
        <v>5.4</v>
      </c>
      <c r="G188" s="75" t="n">
        <f aca="false">2*ROUND(H51/$C$15,1)</f>
        <v>5.4</v>
      </c>
      <c r="H188" s="74" t="n">
        <f aca="false">ROUND(F188*D188,2)</f>
        <v>6480</v>
      </c>
      <c r="I188" s="19" t="n">
        <f aca="false">ROUND(G188*D188,2)</f>
        <v>6480</v>
      </c>
      <c r="J188" s="20" t="s">
        <v>1114</v>
      </c>
    </row>
    <row r="189" customFormat="false" ht="54.75" hidden="false" customHeight="true" outlineLevel="0" collapsed="false">
      <c r="A189" s="16" t="s">
        <v>296</v>
      </c>
      <c r="B189" s="17" t="str">
        <f aca="false">'Build-Up'!B100</f>
        <v>Test water - first tank fill to test level</v>
      </c>
      <c r="C189" s="18" t="str">
        <f aca="false">'Build-Up'!C100</f>
        <v>m3</v>
      </c>
      <c r="D189" s="19" t="n">
        <f aca="false">'Build-Up'!E100</f>
        <v>6</v>
      </c>
      <c r="E189" s="74" t="n">
        <v>3774</v>
      </c>
      <c r="F189" s="74" t="n">
        <f aca="false">2*3774</f>
        <v>7548</v>
      </c>
      <c r="G189" s="22" t="n">
        <f aca="false">3774</f>
        <v>3774</v>
      </c>
      <c r="H189" s="74" t="n">
        <f aca="false">ROUND(F189*D189,2)</f>
        <v>45288</v>
      </c>
      <c r="I189" s="19" t="n">
        <f aca="false">ROUND(G189*D189,2)</f>
        <v>22644</v>
      </c>
      <c r="J189" s="20" t="s">
        <v>1115</v>
      </c>
    </row>
    <row r="190" customFormat="false" ht="30" hidden="false" customHeight="true" outlineLevel="0" collapsed="false">
      <c r="A190" s="16" t="s">
        <v>299</v>
      </c>
      <c r="B190" s="17" t="str">
        <f aca="false">'Build-Up'!B101</f>
        <v>Transfer pump hire - Tank 1 to Tank 2</v>
      </c>
      <c r="C190" s="18" t="str">
        <f aca="false">'Build-Up'!C101</f>
        <v>day</v>
      </c>
      <c r="D190" s="19" t="n">
        <f aca="false">'Build-Up'!E101</f>
        <v>500</v>
      </c>
      <c r="E190" s="74" t="n">
        <v>7</v>
      </c>
      <c r="F190" s="74" t="n">
        <f aca="false">0</f>
        <v>0</v>
      </c>
      <c r="G190" s="75" t="n">
        <f aca="false">H40+H41</f>
        <v>7</v>
      </c>
      <c r="H190" s="74" t="n">
        <f aca="false">ROUND(F190*D190,2)</f>
        <v>0</v>
      </c>
      <c r="I190" s="19" t="n">
        <f aca="false">ROUND(G190*D190,2)</f>
        <v>3500</v>
      </c>
      <c r="J190" s="20" t="s">
        <v>1116</v>
      </c>
    </row>
    <row r="191" customFormat="false" ht="30" hidden="false" customHeight="true" outlineLevel="0" collapsed="false">
      <c r="A191" s="16" t="s">
        <v>302</v>
      </c>
      <c r="B191" s="17" t="str">
        <f aca="false">'Build-Up'!B102</f>
        <v>Transfer hoses and fittings hire</v>
      </c>
      <c r="C191" s="18" t="str">
        <f aca="false">'Build-Up'!C102</f>
        <v>week</v>
      </c>
      <c r="D191" s="19" t="n">
        <f aca="false">'Build-Up'!E102</f>
        <v>1000</v>
      </c>
      <c r="E191" s="74" t="n">
        <v>1</v>
      </c>
      <c r="F191" s="74" t="n">
        <f aca="false">0</f>
        <v>0</v>
      </c>
      <c r="G191" s="22" t="n">
        <f aca="false">1</f>
        <v>1</v>
      </c>
      <c r="H191" s="74" t="n">
        <f aca="false">ROUND(F191*D191,2)</f>
        <v>0</v>
      </c>
      <c r="I191" s="19" t="n">
        <f aca="false">ROUND(G191*D191,2)</f>
        <v>1000</v>
      </c>
      <c r="J191" s="20" t="s">
        <v>1117</v>
      </c>
    </row>
    <row r="192" customFormat="false" ht="42" hidden="false" customHeight="true" outlineLevel="0" collapsed="false">
      <c r="A192" s="16" t="s">
        <v>305</v>
      </c>
      <c r="B192" s="17" t="str">
        <f aca="false">'Build-Up'!B103</f>
        <v>Transfer labour, 2 No. x 3 days</v>
      </c>
      <c r="C192" s="18" t="str">
        <f aca="false">'Build-Up'!C103</f>
        <v>man-day</v>
      </c>
      <c r="D192" s="19" t="n">
        <f aca="false">'Build-Up'!E103</f>
        <v>150</v>
      </c>
      <c r="E192" s="74" t="n">
        <v>6</v>
      </c>
      <c r="F192" s="74" t="n">
        <f aca="false">0</f>
        <v>0</v>
      </c>
      <c r="G192" s="22" t="n">
        <f aca="false">0</f>
        <v>0</v>
      </c>
      <c r="H192" s="74" t="n">
        <f aca="false">ROUND(F192*D192,2)</f>
        <v>0</v>
      </c>
      <c r="I192" s="19" t="n">
        <f aca="false">ROUND(G192*D192,2)</f>
        <v>0</v>
      </c>
      <c r="J192" s="20" t="s">
        <v>1118</v>
      </c>
    </row>
    <row r="193" customFormat="false" ht="42" hidden="false" customHeight="true" outlineLevel="0" collapsed="false">
      <c r="A193" s="16" t="s">
        <v>308</v>
      </c>
      <c r="B193" s="17" t="str">
        <f aca="false">'Build-Up'!B104</f>
        <v>Top-up water for losses and test level</v>
      </c>
      <c r="C193" s="18" t="str">
        <f aca="false">'Build-Up'!C104</f>
        <v>m3</v>
      </c>
      <c r="D193" s="19" t="n">
        <f aca="false">'Build-Up'!E104</f>
        <v>6</v>
      </c>
      <c r="E193" s="74" t="n">
        <v>377</v>
      </c>
      <c r="F193" s="74" t="n">
        <f aca="false">ROUND(2*3774*0.1,0)</f>
        <v>755</v>
      </c>
      <c r="G193" s="22" t="n">
        <f aca="false">ROUND(3774*0.1,0)</f>
        <v>377</v>
      </c>
      <c r="H193" s="74" t="n">
        <f aca="false">ROUND(F193*D193,2)</f>
        <v>4530</v>
      </c>
      <c r="I193" s="19" t="n">
        <f aca="false">ROUND(G193*D193,2)</f>
        <v>2262</v>
      </c>
      <c r="J193" s="20" t="s">
        <v>1119</v>
      </c>
    </row>
    <row r="194" customFormat="false" ht="54.75" hidden="false" customHeight="true" outlineLevel="0" collapsed="false">
      <c r="A194" s="13" t="s">
        <v>94</v>
      </c>
      <c r="B194" s="13" t="s">
        <v>1088</v>
      </c>
      <c r="C194" s="13" t="s">
        <v>37</v>
      </c>
      <c r="D194" s="13" t="s">
        <v>39</v>
      </c>
      <c r="E194" s="76" t="s">
        <v>1089</v>
      </c>
      <c r="F194" s="76" t="s">
        <v>1090</v>
      </c>
      <c r="G194" s="13" t="s">
        <v>1091</v>
      </c>
      <c r="H194" s="76" t="s">
        <v>1092</v>
      </c>
      <c r="I194" s="13" t="s">
        <v>1093</v>
      </c>
      <c r="J194" s="13" t="s">
        <v>1094</v>
      </c>
    </row>
    <row r="195" customFormat="false" ht="105.75" hidden="false" customHeight="true" outlineLevel="0" collapsed="false">
      <c r="A195" s="16" t="s">
        <v>331</v>
      </c>
      <c r="B195" s="17" t="str">
        <f aca="false">'Build-Up'!B112</f>
        <v>Commissioning engineer</v>
      </c>
      <c r="C195" s="18" t="str">
        <f aca="false">'Build-Up'!C112</f>
        <v>day</v>
      </c>
      <c r="D195" s="19" t="n">
        <f aca="false">'Build-Up'!E112</f>
        <v>2000</v>
      </c>
      <c r="E195" s="74" t="n">
        <v>15</v>
      </c>
      <c r="F195" s="74" t="n">
        <f aca="false">E37+1</f>
        <v>8</v>
      </c>
      <c r="G195" s="75" t="n">
        <f aca="false">H43+H45+2</f>
        <v>8</v>
      </c>
      <c r="H195" s="74" t="n">
        <f aca="false">ROUND(F195*D195,2)</f>
        <v>16000</v>
      </c>
      <c r="I195" s="19" t="n">
        <f aca="false">ROUND(G195*D195,2)</f>
        <v>16000</v>
      </c>
      <c r="J195" s="20" t="s">
        <v>1120</v>
      </c>
    </row>
    <row r="196" customFormat="false" ht="42" hidden="false" customHeight="true" outlineLevel="0" collapsed="false">
      <c r="A196" s="16" t="s">
        <v>334</v>
      </c>
      <c r="B196" s="17" t="str">
        <f aca="false">'Build-Up'!B113</f>
        <v>MEP technicians - pump and network interfaces, 2 No. x 10 days (RFP Scope of Works, work package 9 - system integration)</v>
      </c>
      <c r="C196" s="18" t="str">
        <f aca="false">'Build-Up'!C113</f>
        <v>man-day</v>
      </c>
      <c r="D196" s="19" t="n">
        <f aca="false">'Build-Up'!E113</f>
        <v>400</v>
      </c>
      <c r="E196" s="74" t="n">
        <v>20</v>
      </c>
      <c r="F196" s="74" t="n">
        <f aca="false">2*E37</f>
        <v>14</v>
      </c>
      <c r="G196" s="75" t="n">
        <f aca="false">2*(H43+H45)</f>
        <v>12</v>
      </c>
      <c r="H196" s="74" t="n">
        <f aca="false">ROUND(F196*D196,2)</f>
        <v>5600</v>
      </c>
      <c r="I196" s="19" t="n">
        <f aca="false">ROUND(G196*D196,2)</f>
        <v>4800</v>
      </c>
      <c r="J196" s="20" t="s">
        <v>1121</v>
      </c>
    </row>
    <row r="197" customFormat="false" ht="30" hidden="false" customHeight="true" outlineLevel="0" collapsed="false">
      <c r="A197" s="16" t="s">
        <v>339</v>
      </c>
      <c r="B197" s="17" t="str">
        <f aca="false">'Build-Up'!B115</f>
        <v>Integration coordination engineer - tie-ins with the Employer and Engineer</v>
      </c>
      <c r="C197" s="18" t="str">
        <f aca="false">'Build-Up'!C115</f>
        <v>day</v>
      </c>
      <c r="D197" s="19" t="n">
        <f aca="false">'Build-Up'!E115</f>
        <v>1000</v>
      </c>
      <c r="E197" s="74" t="n">
        <v>5</v>
      </c>
      <c r="F197" s="74" t="n">
        <f aca="false">E36+1</f>
        <v>5</v>
      </c>
      <c r="G197" s="75" t="n">
        <f aca="false">H36+1</f>
        <v>5</v>
      </c>
      <c r="H197" s="74" t="n">
        <f aca="false">ROUND(F197*D197,2)</f>
        <v>5000</v>
      </c>
      <c r="I197" s="19" t="n">
        <f aca="false">ROUND(G197*D197,2)</f>
        <v>5000</v>
      </c>
      <c r="J197" s="20" t="s">
        <v>1122</v>
      </c>
    </row>
    <row r="198" customFormat="false" ht="54.75" hidden="false" customHeight="true" outlineLevel="0" collapsed="false">
      <c r="A198" s="16" t="s">
        <v>359</v>
      </c>
      <c r="B198" s="17" t="str">
        <f aca="false">'Build-Up'!B123</f>
        <v>Tank 1 operating volume for the integrated commissioning - tankered fill to about 1 m depth after the test water has gone to Tank 2</v>
      </c>
      <c r="C198" s="18" t="str">
        <f aca="false">'Build-Up'!C123</f>
        <v>m3</v>
      </c>
      <c r="D198" s="19" t="n">
        <f aca="false">'Build-Up'!E123</f>
        <v>6</v>
      </c>
      <c r="E198" s="74" t="n">
        <v>1020</v>
      </c>
      <c r="F198" s="74" t="n">
        <f aca="false">0</f>
        <v>0</v>
      </c>
      <c r="G198" s="22" t="n">
        <f aca="false">34*30*1</f>
        <v>1020</v>
      </c>
      <c r="H198" s="74" t="n">
        <f aca="false">ROUND(F198*D198,2)</f>
        <v>0</v>
      </c>
      <c r="I198" s="19" t="n">
        <f aca="false">ROUND(G198*D198,2)</f>
        <v>6120</v>
      </c>
      <c r="J198" s="20" t="s">
        <v>1123</v>
      </c>
    </row>
    <row r="199" customFormat="false" ht="67.5" hidden="false" customHeight="true" outlineLevel="0" collapsed="false">
      <c r="A199" s="16" t="s">
        <v>353</v>
      </c>
      <c r="B199" s="17" t="str">
        <f aca="false">'Build-Up'!B121</f>
        <v>Tanker and pump standby during filling and test holds</v>
      </c>
      <c r="C199" s="18" t="str">
        <f aca="false">'Build-Up'!C121</f>
        <v>day</v>
      </c>
      <c r="D199" s="19" t="n">
        <f aca="false">'Build-Up'!E121</f>
        <v>500</v>
      </c>
      <c r="E199" s="74" t="n">
        <v>8</v>
      </c>
      <c r="F199" s="74" t="n">
        <f aca="false">4</f>
        <v>4</v>
      </c>
      <c r="G199" s="22" t="n">
        <f aca="false">4</f>
        <v>4</v>
      </c>
      <c r="H199" s="74" t="n">
        <f aca="false">ROUND(F199*D199,2)</f>
        <v>2000</v>
      </c>
      <c r="I199" s="19" t="n">
        <f aca="false">ROUND(G199*D199,2)</f>
        <v>2000</v>
      </c>
      <c r="J199" s="20" t="s">
        <v>1124</v>
      </c>
    </row>
    <row r="200" customFormat="false" ht="29.25" hidden="false" customHeight="true" outlineLevel="0" collapsed="false">
      <c r="A200" s="25"/>
      <c r="B200" s="25" t="s">
        <v>1125</v>
      </c>
      <c r="C200" s="25"/>
      <c r="D200" s="25"/>
      <c r="E200" s="25"/>
      <c r="F200" s="25"/>
      <c r="G200" s="25"/>
      <c r="H200" s="39" t="n">
        <f aca="false">H165+H166+H167+H168+H169+H170+H171+H172+H173+H174+H176+H177+H178</f>
        <v>259375</v>
      </c>
      <c r="I200" s="39" t="n">
        <f aca="false">I165+I166+I167+I168+I169+I170+I171+I172+I173+I174+I176+I177+I178</f>
        <v>252175</v>
      </c>
      <c r="J200" s="20" t="s">
        <v>1126</v>
      </c>
    </row>
    <row r="201" customFormat="false" ht="29.25" hidden="false" customHeight="true" outlineLevel="0" collapsed="false">
      <c r="A201" s="25"/>
      <c r="B201" s="25" t="s">
        <v>1127</v>
      </c>
      <c r="C201" s="25"/>
      <c r="D201" s="25"/>
      <c r="E201" s="25"/>
      <c r="F201" s="25"/>
      <c r="G201" s="25"/>
      <c r="H201" s="39" t="n">
        <f aca="false">H179+H180+H181+H182+H183+H184+H185+H186+H187+H188</f>
        <v>275130</v>
      </c>
      <c r="I201" s="39" t="n">
        <f aca="false">I179+I180+I181+I182+I183+I184+I185+I186+I187+I188</f>
        <v>275130</v>
      </c>
      <c r="J201" s="20" t="s">
        <v>1128</v>
      </c>
    </row>
    <row r="202" customFormat="false" ht="29.25" hidden="false" customHeight="true" outlineLevel="0" collapsed="false">
      <c r="A202" s="25"/>
      <c r="B202" s="25" t="s">
        <v>1129</v>
      </c>
      <c r="C202" s="25"/>
      <c r="D202" s="25"/>
      <c r="E202" s="25"/>
      <c r="F202" s="25"/>
      <c r="G202" s="25"/>
      <c r="H202" s="39" t="n">
        <f aca="false">H189+H190+H191+H192+H193+H195+H196+H197+H198+H199</f>
        <v>78418</v>
      </c>
      <c r="I202" s="39" t="n">
        <f aca="false">I189+I190+I191+I192+I193+I195+I196+I197+I198+I199</f>
        <v>63326</v>
      </c>
      <c r="J202" s="20" t="s">
        <v>1130</v>
      </c>
    </row>
    <row r="203" customFormat="false" ht="19.5" hidden="false" customHeight="true" outlineLevel="0" collapsed="false">
      <c r="A203" s="25"/>
      <c r="B203" s="25" t="s">
        <v>1131</v>
      </c>
      <c r="C203" s="25"/>
      <c r="D203" s="25"/>
      <c r="E203" s="25"/>
      <c r="F203" s="25"/>
      <c r="G203" s="25"/>
      <c r="H203" s="39" t="n">
        <f aca="false">SUM(H165:H199)</f>
        <v>612923</v>
      </c>
      <c r="I203" s="39" t="n">
        <f aca="false">SUM(I165:I199)</f>
        <v>590631</v>
      </c>
      <c r="J203" s="20" t="s">
        <v>1132</v>
      </c>
    </row>
    <row r="204" customFormat="false" ht="42" hidden="false" customHeight="true" outlineLevel="0" collapsed="false">
      <c r="A204" s="25"/>
      <c r="B204" s="25" t="s">
        <v>1133</v>
      </c>
      <c r="C204" s="25"/>
      <c r="D204" s="25"/>
      <c r="E204" s="25"/>
      <c r="F204" s="25"/>
      <c r="G204" s="25"/>
      <c r="H204" s="39" t="n">
        <f aca="false">ROUND((Assessment!$K$19-I203+H203)*1.05,2)</f>
        <v>7029013.49</v>
      </c>
      <c r="I204" s="39" t="n">
        <f aca="false">Assessment!$K$21</f>
        <v>7005606.89</v>
      </c>
      <c r="J204" s="20" t="s">
        <v>1134</v>
      </c>
    </row>
    <row r="205" customFormat="false" ht="54.75" hidden="false" customHeight="true" outlineLevel="0" collapsed="false">
      <c r="A205" s="13" t="s">
        <v>94</v>
      </c>
      <c r="B205" s="13" t="s">
        <v>1088</v>
      </c>
      <c r="C205" s="13" t="s">
        <v>37</v>
      </c>
      <c r="D205" s="13" t="s">
        <v>39</v>
      </c>
      <c r="E205" s="13" t="s">
        <v>1089</v>
      </c>
      <c r="F205" s="13" t="s">
        <v>1090</v>
      </c>
      <c r="G205" s="13" t="s">
        <v>1091</v>
      </c>
      <c r="H205" s="13" t="s">
        <v>1092</v>
      </c>
      <c r="I205" s="13" t="s">
        <v>1093</v>
      </c>
      <c r="J205" s="13" t="s">
        <v>1094</v>
      </c>
    </row>
    <row r="206" customFormat="false" ht="19.5" hidden="false" customHeight="true" outlineLevel="0" collapsed="false">
      <c r="A206" s="25"/>
      <c r="B206" s="25" t="s">
        <v>1135</v>
      </c>
      <c r="C206" s="25"/>
      <c r="D206" s="25"/>
      <c r="E206" s="25"/>
      <c r="F206" s="25"/>
      <c r="G206" s="25"/>
      <c r="H206" s="25"/>
      <c r="I206" s="25"/>
      <c r="J206" s="25"/>
    </row>
    <row r="207" customFormat="false" ht="80.25" hidden="false" customHeight="true" outlineLevel="0" collapsed="false">
      <c r="A207" s="18" t="s">
        <v>1136</v>
      </c>
      <c r="B207" s="17" t="s">
        <v>1137</v>
      </c>
      <c r="C207" s="18" t="s">
        <v>144</v>
      </c>
      <c r="D207" s="19" t="n">
        <f aca="false">'Build-Up'!E50</f>
        <v>250</v>
      </c>
      <c r="E207" s="19" t="s">
        <v>763</v>
      </c>
      <c r="F207" s="19" t="s">
        <v>763</v>
      </c>
      <c r="G207" s="19" t="n">
        <f aca="false">E144*6</f>
        <v>816</v>
      </c>
      <c r="H207" s="19" t="s">
        <v>763</v>
      </c>
      <c r="I207" s="19" t="n">
        <f aca="false">ROUND(G207*D207,2)</f>
        <v>204000</v>
      </c>
      <c r="J207" s="20" t="s">
        <v>1138</v>
      </c>
    </row>
    <row r="208" customFormat="false" ht="67.5" hidden="false" customHeight="true" outlineLevel="0" collapsed="false">
      <c r="A208" s="18" t="s">
        <v>1139</v>
      </c>
      <c r="B208" s="17" t="s">
        <v>1140</v>
      </c>
      <c r="C208" s="18" t="s">
        <v>269</v>
      </c>
      <c r="D208" s="19" t="n">
        <f aca="false">'Build-Up'!E83</f>
        <v>3000</v>
      </c>
      <c r="E208" s="19" t="s">
        <v>763</v>
      </c>
      <c r="F208" s="19" t="s">
        <v>763</v>
      </c>
      <c r="G208" s="77" t="n">
        <f aca="false">-ROUND((H67+H68+H69)/26,1)</f>
        <v>-3</v>
      </c>
      <c r="H208" s="19" t="s">
        <v>763</v>
      </c>
      <c r="I208" s="77" t="n">
        <f aca="false">ROUND(G208*D208,2)</f>
        <v>-9000</v>
      </c>
      <c r="J208" s="20" t="s">
        <v>1141</v>
      </c>
    </row>
    <row r="209" customFormat="false" ht="67.5" hidden="false" customHeight="true" outlineLevel="0" collapsed="false">
      <c r="A209" s="18" t="s">
        <v>1142</v>
      </c>
      <c r="B209" s="17" t="s">
        <v>1143</v>
      </c>
      <c r="C209" s="18" t="s">
        <v>214</v>
      </c>
      <c r="D209" s="19" t="n">
        <f aca="false">'Build-Up'!E100</f>
        <v>6</v>
      </c>
      <c r="E209" s="19" t="s">
        <v>763</v>
      </c>
      <c r="F209" s="19" t="s">
        <v>763</v>
      </c>
      <c r="G209" s="19" t="n">
        <f aca="false">'Build-Up'!D100-'Build-Up'!D123</f>
        <v>2754</v>
      </c>
      <c r="H209" s="19" t="s">
        <v>763</v>
      </c>
      <c r="I209" s="19" t="n">
        <f aca="false">ROUND(G209*D209,2)+2*'Build-Up'!E121</f>
        <v>17524</v>
      </c>
      <c r="J209" s="20" t="s">
        <v>1144</v>
      </c>
    </row>
    <row r="210" customFormat="false" ht="42" hidden="false" customHeight="true" outlineLevel="0" collapsed="false">
      <c r="A210" s="18" t="s">
        <v>1145</v>
      </c>
      <c r="B210" s="17" t="s">
        <v>1146</v>
      </c>
      <c r="C210" s="18" t="s">
        <v>165</v>
      </c>
      <c r="D210" s="19" t="n">
        <f aca="false">'Build-Up'!E75</f>
        <v>900</v>
      </c>
      <c r="E210" s="19" t="s">
        <v>763</v>
      </c>
      <c r="F210" s="19" t="s">
        <v>763</v>
      </c>
      <c r="G210" s="19" t="n">
        <v>11</v>
      </c>
      <c r="H210" s="19" t="s">
        <v>763</v>
      </c>
      <c r="I210" s="19" t="n">
        <f aca="false">ROUND(G210*D210,2)</f>
        <v>9900</v>
      </c>
      <c r="J210" s="20" t="s">
        <v>1147</v>
      </c>
    </row>
    <row r="212" customFormat="false" ht="21" hidden="false" customHeight="true" outlineLevel="0" collapsed="false">
      <c r="A212" s="15" t="s">
        <v>1148</v>
      </c>
      <c r="B212" s="15"/>
      <c r="C212" s="15"/>
      <c r="D212" s="15"/>
      <c r="E212" s="15"/>
      <c r="F212" s="15"/>
      <c r="G212" s="15"/>
      <c r="H212" s="15"/>
      <c r="I212" s="15"/>
      <c r="J212" s="15"/>
    </row>
    <row r="213" customFormat="false" ht="60" hidden="false" customHeight="true" outlineLevel="0" collapsed="false">
      <c r="A213" s="11" t="s">
        <v>1149</v>
      </c>
      <c r="B213" s="11"/>
      <c r="C213" s="11"/>
      <c r="D213" s="11"/>
      <c r="E213" s="11"/>
      <c r="F213" s="11"/>
      <c r="G213" s="11"/>
      <c r="H213" s="11"/>
      <c r="I213" s="11"/>
      <c r="J213" s="11"/>
    </row>
    <row r="214" customFormat="false" ht="67.5" hidden="false" customHeight="true" outlineLevel="0" collapsed="false">
      <c r="A214" s="13" t="s">
        <v>94</v>
      </c>
      <c r="B214" s="13" t="s">
        <v>1150</v>
      </c>
      <c r="C214" s="13" t="s">
        <v>1151</v>
      </c>
      <c r="D214" s="13"/>
      <c r="E214" s="13" t="s">
        <v>1152</v>
      </c>
      <c r="F214" s="13"/>
      <c r="G214" s="13" t="s">
        <v>1153</v>
      </c>
      <c r="H214" s="13"/>
      <c r="I214" s="13" t="s">
        <v>1154</v>
      </c>
      <c r="J214" s="13" t="s">
        <v>457</v>
      </c>
    </row>
    <row r="215" customFormat="false" ht="54.75" hidden="false" customHeight="true" outlineLevel="0" collapsed="false">
      <c r="A215" s="16" t="s">
        <v>96</v>
      </c>
      <c r="B215" s="17" t="str">
        <f aca="false">'Build-Up'!B9</f>
        <v>Site engineer - dedicated to the tank site</v>
      </c>
      <c r="C215" s="20" t="s">
        <v>1155</v>
      </c>
      <c r="D215" s="20"/>
      <c r="E215" s="20" t="s">
        <v>1156</v>
      </c>
      <c r="F215" s="20"/>
      <c r="G215" s="20" t="s">
        <v>1157</v>
      </c>
      <c r="H215" s="20"/>
      <c r="I215" s="20" t="s">
        <v>1158</v>
      </c>
      <c r="J215" s="19" t="n">
        <f aca="false">'Build-Up'!F9</f>
        <v>49200</v>
      </c>
    </row>
    <row r="216" customFormat="false" ht="42" hidden="false" customHeight="true" outlineLevel="0" collapsed="false">
      <c r="A216" s="16" t="s">
        <v>100</v>
      </c>
      <c r="B216" s="17" t="str">
        <f aca="false">'Build-Up'!B10</f>
        <v>HSE officer - dedicated</v>
      </c>
      <c r="C216" s="20" t="s">
        <v>1159</v>
      </c>
      <c r="D216" s="20"/>
      <c r="E216" s="20" t="s">
        <v>1160</v>
      </c>
      <c r="F216" s="20"/>
      <c r="G216" s="20" t="s">
        <v>1157</v>
      </c>
      <c r="H216" s="20"/>
      <c r="I216" s="20" t="s">
        <v>72</v>
      </c>
      <c r="J216" s="19" t="n">
        <f aca="false">'Build-Up'!F10</f>
        <v>41000</v>
      </c>
    </row>
    <row r="217" customFormat="false" ht="42" hidden="false" customHeight="true" outlineLevel="0" collapsed="false">
      <c r="A217" s="16" t="s">
        <v>103</v>
      </c>
      <c r="B217" s="17" t="str">
        <f aca="false">'Build-Up'!B11</f>
        <v>QA/QC inspector - dedicated (daily inspections, ITPs and WIRs during erection)</v>
      </c>
      <c r="C217" s="78" t="s">
        <v>1161</v>
      </c>
      <c r="D217" s="78"/>
      <c r="E217" s="20" t="s">
        <v>1162</v>
      </c>
      <c r="F217" s="20"/>
      <c r="G217" s="20" t="s">
        <v>1163</v>
      </c>
      <c r="H217" s="20"/>
      <c r="I217" s="20" t="s">
        <v>72</v>
      </c>
      <c r="J217" s="19" t="n">
        <f aca="false">'Build-Up'!F11</f>
        <v>37000</v>
      </c>
    </row>
    <row r="218" customFormat="false" ht="42" hidden="false" customHeight="true" outlineLevel="0" collapsed="false">
      <c r="A218" s="16" t="s">
        <v>106</v>
      </c>
      <c r="B218" s="17" t="str">
        <f aca="false">'Build-Up'!B12</f>
        <v>Works foreman - dedicated</v>
      </c>
      <c r="C218" s="20" t="s">
        <v>1164</v>
      </c>
      <c r="D218" s="20"/>
      <c r="E218" s="20" t="s">
        <v>1165</v>
      </c>
      <c r="F218" s="20"/>
      <c r="G218" s="20" t="s">
        <v>1157</v>
      </c>
      <c r="H218" s="20"/>
      <c r="I218" s="20" t="s">
        <v>1166</v>
      </c>
      <c r="J218" s="19" t="n">
        <f aca="false">'Build-Up'!F12</f>
        <v>32800</v>
      </c>
    </row>
    <row r="219" customFormat="false" ht="30" hidden="false" customHeight="true" outlineLevel="0" collapsed="false">
      <c r="A219" s="16" t="s">
        <v>109</v>
      </c>
      <c r="B219" s="17" t="str">
        <f aca="false">'Build-Up'!B13</f>
        <v>Storekeeper / timekeeper</v>
      </c>
      <c r="C219" s="78" t="s">
        <v>1167</v>
      </c>
      <c r="D219" s="78"/>
      <c r="E219" s="20" t="s">
        <v>1168</v>
      </c>
      <c r="F219" s="20"/>
      <c r="G219" s="20" t="s">
        <v>1169</v>
      </c>
      <c r="H219" s="20"/>
      <c r="I219" s="20" t="s">
        <v>72</v>
      </c>
      <c r="J219" s="19" t="n">
        <f aca="false">'Build-Up'!F13</f>
        <v>13200</v>
      </c>
    </row>
    <row r="220" customFormat="false" ht="42" hidden="false" customHeight="true" outlineLevel="0" collapsed="false">
      <c r="A220" s="16" t="s">
        <v>112</v>
      </c>
      <c r="B220" s="17" t="str">
        <f aca="false">'Build-Up'!B14</f>
        <v>Site office porta cabin, air-conditioned, rental with electricity connection and maintenance</v>
      </c>
      <c r="C220" s="78" t="s">
        <v>1170</v>
      </c>
      <c r="D220" s="78"/>
      <c r="E220" s="20" t="s">
        <v>1171</v>
      </c>
      <c r="F220" s="20"/>
      <c r="G220" s="20" t="s">
        <v>1172</v>
      </c>
      <c r="H220" s="20"/>
      <c r="I220" s="20" t="s">
        <v>72</v>
      </c>
      <c r="J220" s="19" t="n">
        <f aca="false">'Build-Up'!F14</f>
        <v>9020</v>
      </c>
    </row>
    <row r="221" customFormat="false" ht="42" hidden="false" customHeight="true" outlineLevel="0" collapsed="false">
      <c r="A221" s="16" t="s">
        <v>115</v>
      </c>
      <c r="B221" s="17" t="str">
        <f aca="false">'Build-Up'!B15</f>
        <v>Rest and welfare porta cabin, air-conditioned, rental with electricity connection and maintenance</v>
      </c>
      <c r="C221" s="78" t="s">
        <v>1170</v>
      </c>
      <c r="D221" s="78"/>
      <c r="E221" s="20" t="s">
        <v>1173</v>
      </c>
      <c r="F221" s="20"/>
      <c r="G221" s="20" t="s">
        <v>1172</v>
      </c>
      <c r="H221" s="20"/>
      <c r="I221" s="20" t="s">
        <v>72</v>
      </c>
      <c r="J221" s="19" t="n">
        <f aca="false">'Build-Up'!F15</f>
        <v>9020</v>
      </c>
    </row>
    <row r="222" customFormat="false" ht="42" hidden="false" customHeight="true" outlineLevel="0" collapsed="false">
      <c r="A222" s="16" t="s">
        <v>117</v>
      </c>
      <c r="B222" s="17" t="str">
        <f aca="false">'Build-Up'!B16</f>
        <v>WC unit, rental with servicing</v>
      </c>
      <c r="C222" s="78" t="s">
        <v>1170</v>
      </c>
      <c r="D222" s="78"/>
      <c r="E222" s="20" t="s">
        <v>1174</v>
      </c>
      <c r="F222" s="20"/>
      <c r="G222" s="20" t="s">
        <v>1175</v>
      </c>
      <c r="H222" s="20"/>
      <c r="I222" s="20" t="s">
        <v>72</v>
      </c>
      <c r="J222" s="19" t="n">
        <f aca="false">'Build-Up'!F16</f>
        <v>5330</v>
      </c>
    </row>
    <row r="223" customFormat="false" ht="42" hidden="false" customHeight="true" outlineLevel="0" collapsed="false">
      <c r="A223" s="16" t="s">
        <v>119</v>
      </c>
      <c r="B223" s="17" t="str">
        <f aca="false">'Build-Up'!B17</f>
        <v>Site water supply - tankered deliveries for welfare and general site use, whole period</v>
      </c>
      <c r="C223" s="78" t="s">
        <v>1170</v>
      </c>
      <c r="D223" s="78"/>
      <c r="E223" s="20" t="s">
        <v>1176</v>
      </c>
      <c r="F223" s="20"/>
      <c r="G223" s="20" t="s">
        <v>1177</v>
      </c>
      <c r="H223" s="20"/>
      <c r="I223" s="20" t="s">
        <v>1178</v>
      </c>
      <c r="J223" s="19" t="n">
        <f aca="false">'Build-Up'!F17</f>
        <v>12600</v>
      </c>
    </row>
    <row r="224" customFormat="false" ht="42" hidden="false" customHeight="true" outlineLevel="0" collapsed="false">
      <c r="A224" s="16" t="s">
        <v>123</v>
      </c>
      <c r="B224" s="17" t="str">
        <f aca="false">'Build-Up'!B18</f>
        <v>Site water storage tank, hire</v>
      </c>
      <c r="C224" s="78" t="s">
        <v>1170</v>
      </c>
      <c r="D224" s="78"/>
      <c r="E224" s="20" t="s">
        <v>1179</v>
      </c>
      <c r="F224" s="20"/>
      <c r="G224" s="20" t="s">
        <v>1172</v>
      </c>
      <c r="H224" s="20"/>
      <c r="I224" s="20" t="s">
        <v>72</v>
      </c>
      <c r="J224" s="19" t="n">
        <f aca="false">'Build-Up'!F18</f>
        <v>1435</v>
      </c>
    </row>
    <row r="225" customFormat="false" ht="67.5" hidden="false" customHeight="true" outlineLevel="0" collapsed="false">
      <c r="A225" s="16" t="s">
        <v>125</v>
      </c>
      <c r="B225" s="17" t="str">
        <f aca="false">'Build-Up'!B19</f>
        <v>Storage containers, 2 No. for the panel storage window (RFP Scope of Works, work package 1 - pre-construction and setup: safe storage of panels)</v>
      </c>
      <c r="C225" s="78" t="s">
        <v>1180</v>
      </c>
      <c r="D225" s="78"/>
      <c r="E225" s="20" t="s">
        <v>1181</v>
      </c>
      <c r="F225" s="20"/>
      <c r="G225" s="20" t="s">
        <v>1182</v>
      </c>
      <c r="H225" s="20"/>
      <c r="I225" s="20" t="s">
        <v>1183</v>
      </c>
      <c r="J225" s="19" t="n">
        <f aca="false">'Build-Up'!F19</f>
        <v>6720</v>
      </c>
    </row>
    <row r="226" customFormat="false" ht="42" hidden="false" customHeight="true" outlineLevel="0" collapsed="false">
      <c r="A226" s="16" t="s">
        <v>129</v>
      </c>
      <c r="B226" s="17" t="str">
        <f aca="false">'Build-Up'!B20</f>
        <v>Workforce transport to the tank site, daily bus</v>
      </c>
      <c r="C226" s="78" t="s">
        <v>1170</v>
      </c>
      <c r="D226" s="78"/>
      <c r="E226" s="20" t="s">
        <v>1184</v>
      </c>
      <c r="F226" s="20"/>
      <c r="G226" s="20" t="s">
        <v>1185</v>
      </c>
      <c r="H226" s="20"/>
      <c r="I226" s="20" t="s">
        <v>72</v>
      </c>
      <c r="J226" s="19" t="n">
        <f aca="false">'Build-Up'!F20</f>
        <v>16400</v>
      </c>
    </row>
    <row r="227" customFormat="false" ht="42" hidden="false" customHeight="true" outlineLevel="0" collapsed="false">
      <c r="A227" s="16" t="s">
        <v>132</v>
      </c>
      <c r="B227" s="17" t="str">
        <f aca="false">'Build-Up'!B21</f>
        <v>Watchman for the tank site</v>
      </c>
      <c r="C227" s="78" t="s">
        <v>1170</v>
      </c>
      <c r="D227" s="78"/>
      <c r="E227" s="20" t="s">
        <v>1186</v>
      </c>
      <c r="F227" s="20"/>
      <c r="G227" s="20" t="s">
        <v>1187</v>
      </c>
      <c r="H227" s="20"/>
      <c r="I227" s="20" t="s">
        <v>72</v>
      </c>
      <c r="J227" s="19" t="n">
        <f aca="false">'Build-Up'!F21</f>
        <v>18450</v>
      </c>
    </row>
    <row r="228" customFormat="false" ht="67.5" hidden="false" customHeight="true" outlineLevel="0" collapsed="false">
      <c r="A228" s="13" t="s">
        <v>94</v>
      </c>
      <c r="B228" s="13" t="s">
        <v>1150</v>
      </c>
      <c r="C228" s="13" t="s">
        <v>1151</v>
      </c>
      <c r="D228" s="13"/>
      <c r="E228" s="13" t="s">
        <v>1152</v>
      </c>
      <c r="F228" s="13"/>
      <c r="G228" s="13" t="s">
        <v>1153</v>
      </c>
      <c r="H228" s="13"/>
      <c r="I228" s="13" t="s">
        <v>1154</v>
      </c>
      <c r="J228" s="13" t="s">
        <v>457</v>
      </c>
    </row>
    <row r="229" customFormat="false" ht="93" hidden="false" customHeight="true" outlineLevel="0" collapsed="false">
      <c r="A229" s="16" t="s">
        <v>135</v>
      </c>
      <c r="B229" s="17" t="str">
        <f aca="false">'Build-Up'!B22</f>
        <v>Mobilisation - flatbed trips delivering cabins, containers and small plant</v>
      </c>
      <c r="C229" s="78" t="s">
        <v>1188</v>
      </c>
      <c r="D229" s="78"/>
      <c r="E229" s="20" t="s">
        <v>1189</v>
      </c>
      <c r="F229" s="20"/>
      <c r="G229" s="20" t="s">
        <v>1190</v>
      </c>
      <c r="H229" s="20"/>
      <c r="I229" s="20" t="s">
        <v>1191</v>
      </c>
      <c r="J229" s="19" t="n">
        <f aca="false">'Build-Up'!F22</f>
        <v>6250</v>
      </c>
    </row>
    <row r="230" customFormat="false" ht="30" hidden="false" customHeight="true" outlineLevel="0" collapsed="false">
      <c r="A230" s="16" t="s">
        <v>139</v>
      </c>
      <c r="B230" s="17" t="str">
        <f aca="false">'Build-Up'!B23</f>
        <v>Demobilisation - flatbed trips removing cabins, containers and small plant</v>
      </c>
      <c r="C230" s="78" t="s">
        <v>1192</v>
      </c>
      <c r="D230" s="78"/>
      <c r="E230" s="20" t="s">
        <v>1193</v>
      </c>
      <c r="F230" s="20"/>
      <c r="G230" s="20" t="s">
        <v>1190</v>
      </c>
      <c r="H230" s="20"/>
      <c r="I230" s="20" t="s">
        <v>72</v>
      </c>
      <c r="J230" s="19" t="n">
        <f aca="false">'Build-Up'!F23</f>
        <v>6250</v>
      </c>
    </row>
    <row r="231" customFormat="false" ht="54.75" hidden="false" customHeight="true" outlineLevel="0" collapsed="false">
      <c r="A231" s="16" t="s">
        <v>142</v>
      </c>
      <c r="B231" s="17" t="str">
        <f aca="false">'Build-Up'!B24</f>
        <v>Site clean-up on demobilisation, 4 No. x 3 days</v>
      </c>
      <c r="C231" s="78" t="s">
        <v>1194</v>
      </c>
      <c r="D231" s="78"/>
      <c r="E231" s="20" t="s">
        <v>1195</v>
      </c>
      <c r="F231" s="20"/>
      <c r="G231" s="20" t="s">
        <v>1196</v>
      </c>
      <c r="H231" s="20"/>
      <c r="I231" s="20" t="s">
        <v>1197</v>
      </c>
      <c r="J231" s="19" t="n">
        <f aca="false">'Build-Up'!F24</f>
        <v>1800</v>
      </c>
    </row>
    <row r="232" customFormat="false" ht="54.75" hidden="false" customHeight="true" outlineLevel="0" collapsed="false">
      <c r="A232" s="16" t="s">
        <v>146</v>
      </c>
      <c r="B232" s="17" t="str">
        <f aca="false">'Build-Up'!B25</f>
        <v>Insurance endorsement - extension of the Contractor's All Risks and third-party liability cover to the tank site</v>
      </c>
      <c r="C232" s="20" t="s">
        <v>1198</v>
      </c>
      <c r="D232" s="20"/>
      <c r="E232" s="20" t="s">
        <v>1199</v>
      </c>
      <c r="F232" s="20"/>
      <c r="G232" s="20" t="s">
        <v>1200</v>
      </c>
      <c r="H232" s="20"/>
      <c r="I232" s="20" t="s">
        <v>72</v>
      </c>
      <c r="J232" s="19" t="n">
        <f aca="false">'Build-Up'!F25</f>
        <v>13000</v>
      </c>
    </row>
    <row r="233" customFormat="false" ht="42" hidden="false" customHeight="true" outlineLevel="0" collapsed="false">
      <c r="A233" s="16" t="s">
        <v>150</v>
      </c>
      <c r="B233" s="17" t="str">
        <f aca="false">'Build-Up'!B26</f>
        <v>Personal protective equipment, full sets</v>
      </c>
      <c r="C233" s="20" t="s">
        <v>1201</v>
      </c>
      <c r="D233" s="20"/>
      <c r="E233" s="20" t="s">
        <v>1202</v>
      </c>
      <c r="F233" s="20"/>
      <c r="G233" s="20" t="s">
        <v>1203</v>
      </c>
      <c r="H233" s="20"/>
      <c r="I233" s="20" t="s">
        <v>1204</v>
      </c>
      <c r="J233" s="19" t="n">
        <f aca="false">'Build-Up'!F26</f>
        <v>7000</v>
      </c>
    </row>
    <row r="234" customFormat="false" ht="42" hidden="false" customHeight="true" outlineLevel="0" collapsed="false">
      <c r="A234" s="16" t="s">
        <v>153</v>
      </c>
      <c r="B234" s="17" t="str">
        <f aca="false">'Build-Up'!B27</f>
        <v>Site safety signage and notice boards</v>
      </c>
      <c r="C234" s="20" t="s">
        <v>1205</v>
      </c>
      <c r="D234" s="20"/>
      <c r="E234" s="20" t="s">
        <v>1206</v>
      </c>
      <c r="F234" s="20"/>
      <c r="G234" s="20" t="s">
        <v>1207</v>
      </c>
      <c r="H234" s="20"/>
      <c r="I234" s="20" t="s">
        <v>72</v>
      </c>
      <c r="J234" s="19" t="n">
        <f aca="false">'Build-Up'!F27</f>
        <v>1800</v>
      </c>
    </row>
    <row r="235" customFormat="false" ht="30" hidden="false" customHeight="true" outlineLevel="0" collapsed="false">
      <c r="A235" s="16" t="s">
        <v>156</v>
      </c>
      <c r="B235" s="17" t="str">
        <f aca="false">'Build-Up'!B28</f>
        <v>Work-zone traffic signs up to 0.5 m2, supplied, installed, maintained and removed</v>
      </c>
      <c r="C235" s="20" t="s">
        <v>1208</v>
      </c>
      <c r="D235" s="20"/>
      <c r="E235" s="20" t="s">
        <v>1209</v>
      </c>
      <c r="F235" s="20"/>
      <c r="G235" s="20" t="s">
        <v>1210</v>
      </c>
      <c r="H235" s="20"/>
      <c r="I235" s="20" t="s">
        <v>72</v>
      </c>
      <c r="J235" s="19" t="n">
        <f aca="false">'Build-Up'!F28</f>
        <v>17755.56</v>
      </c>
    </row>
    <row r="236" customFormat="false" ht="30" hidden="false" customHeight="true" outlineLevel="0" collapsed="false">
      <c r="A236" s="16" t="s">
        <v>159</v>
      </c>
      <c r="B236" s="17" t="str">
        <f aca="false">'Build-Up'!B29</f>
        <v>Concrete Jersey barriers - temporary hire for the works period, delivered, placed and removed</v>
      </c>
      <c r="C236" s="20" t="s">
        <v>1211</v>
      </c>
      <c r="D236" s="20"/>
      <c r="E236" s="20" t="s">
        <v>1212</v>
      </c>
      <c r="F236" s="20"/>
      <c r="G236" s="20" t="s">
        <v>1213</v>
      </c>
      <c r="H236" s="20"/>
      <c r="I236" s="20" t="s">
        <v>72</v>
      </c>
      <c r="J236" s="19" t="n">
        <f aca="false">'Build-Up'!F29</f>
        <v>10000</v>
      </c>
    </row>
    <row r="237" customFormat="false" ht="67.5" hidden="false" customHeight="true" outlineLevel="0" collapsed="false">
      <c r="A237" s="16" t="s">
        <v>163</v>
      </c>
      <c r="B237" s="17" t="str">
        <f aca="false">'Build-Up'!B30</f>
        <v>Close-out at the tank site after demobilisation - completion inspection, correction list and warranties collation - site engineer</v>
      </c>
      <c r="C237" s="78" t="s">
        <v>1214</v>
      </c>
      <c r="D237" s="78"/>
      <c r="E237" s="20" t="s">
        <v>1215</v>
      </c>
      <c r="F237" s="20"/>
      <c r="G237" s="20" t="s">
        <v>1216</v>
      </c>
      <c r="H237" s="20"/>
      <c r="I237" s="20" t="s">
        <v>1217</v>
      </c>
      <c r="J237" s="19" t="n">
        <f aca="false">'Build-Up'!F30</f>
        <v>1650</v>
      </c>
    </row>
    <row r="238" customFormat="false" ht="54.75" hidden="false" customHeight="true" outlineLevel="0" collapsed="false">
      <c r="A238" s="16" t="s">
        <v>167</v>
      </c>
      <c r="B238" s="17" t="str">
        <f aca="false">'Build-Up'!B31</f>
        <v>Close-out at the tank site - document controller</v>
      </c>
      <c r="C238" s="78" t="s">
        <v>1218</v>
      </c>
      <c r="D238" s="78"/>
      <c r="E238" s="20" t="s">
        <v>1219</v>
      </c>
      <c r="F238" s="20"/>
      <c r="G238" s="20" t="s">
        <v>1220</v>
      </c>
      <c r="H238" s="20"/>
      <c r="I238" s="20" t="s">
        <v>1221</v>
      </c>
      <c r="J238" s="19" t="n">
        <f aca="false">'Build-Up'!F31</f>
        <v>2000</v>
      </c>
    </row>
    <row r="239" customFormat="false" ht="54.75" hidden="false" customHeight="true" outlineLevel="0" collapsed="false">
      <c r="A239" s="16" t="s">
        <v>173</v>
      </c>
      <c r="B239" s="17" t="str">
        <f aca="false">'Build-Up'!B37</f>
        <v>Design engineer - coordination, review of supplier calculations, method statements, ITPs</v>
      </c>
      <c r="C239" s="78" t="s">
        <v>1222</v>
      </c>
      <c r="D239" s="78"/>
      <c r="E239" s="20" t="s">
        <v>1223</v>
      </c>
      <c r="F239" s="20"/>
      <c r="G239" s="20" t="s">
        <v>1224</v>
      </c>
      <c r="H239" s="20"/>
      <c r="I239" s="20" t="s">
        <v>1225</v>
      </c>
      <c r="J239" s="19" t="n">
        <f aca="false">'Build-Up'!F37</f>
        <v>30000</v>
      </c>
    </row>
    <row r="240" customFormat="false" ht="54.75" hidden="false" customHeight="true" outlineLevel="0" collapsed="false">
      <c r="A240" s="16" t="s">
        <v>176</v>
      </c>
      <c r="B240" s="17" t="str">
        <f aca="false">'Build-Up'!B38</f>
        <v>CAD draughtsman - shop drawings and design-stage submittals</v>
      </c>
      <c r="C240" s="78" t="s">
        <v>1226</v>
      </c>
      <c r="D240" s="78"/>
      <c r="E240" s="20" t="s">
        <v>1227</v>
      </c>
      <c r="F240" s="20"/>
      <c r="G240" s="20" t="s">
        <v>1228</v>
      </c>
      <c r="H240" s="20"/>
      <c r="I240" s="20" t="s">
        <v>1229</v>
      </c>
      <c r="J240" s="19" t="n">
        <f aca="false">'Build-Up'!F38</f>
        <v>12000</v>
      </c>
    </row>
    <row r="241" customFormat="false" ht="67.5" hidden="false" customHeight="true" outlineLevel="0" collapsed="false">
      <c r="A241" s="16" t="s">
        <v>179</v>
      </c>
      <c r="B241" s="17" t="str">
        <f aca="false">'Build-Up'!B39</f>
        <v>Dimensional and verticality survey of the erected tanks and as-built pick-up - 2-man crew with instrument</v>
      </c>
      <c r="C241" s="78" t="s">
        <v>1230</v>
      </c>
      <c r="D241" s="78"/>
      <c r="E241" s="20" t="s">
        <v>1231</v>
      </c>
      <c r="F241" s="20"/>
      <c r="G241" s="20" t="s">
        <v>1232</v>
      </c>
      <c r="H241" s="20"/>
      <c r="I241" s="20" t="s">
        <v>72</v>
      </c>
      <c r="J241" s="19" t="n">
        <f aca="false">'Build-Up'!F39</f>
        <v>9000</v>
      </c>
    </row>
    <row r="242" customFormat="false" ht="67.5" hidden="false" customHeight="true" outlineLevel="0" collapsed="false">
      <c r="A242" s="13" t="s">
        <v>94</v>
      </c>
      <c r="B242" s="13" t="s">
        <v>1150</v>
      </c>
      <c r="C242" s="13" t="s">
        <v>1151</v>
      </c>
      <c r="D242" s="13"/>
      <c r="E242" s="13" t="s">
        <v>1152</v>
      </c>
      <c r="F242" s="13"/>
      <c r="G242" s="13" t="s">
        <v>1153</v>
      </c>
      <c r="H242" s="13"/>
      <c r="I242" s="13" t="s">
        <v>1154</v>
      </c>
      <c r="J242" s="13" t="s">
        <v>457</v>
      </c>
    </row>
    <row r="243" customFormat="false" ht="54.75" hidden="false" customHeight="true" outlineLevel="0" collapsed="false">
      <c r="A243" s="16" t="s">
        <v>183</v>
      </c>
      <c r="B243" s="17" t="str">
        <f aca="false">'Build-Up'!B40</f>
        <v>Submittal administration - document controller</v>
      </c>
      <c r="C243" s="78" t="s">
        <v>1233</v>
      </c>
      <c r="D243" s="78"/>
      <c r="E243" s="20" t="s">
        <v>1234</v>
      </c>
      <c r="F243" s="20"/>
      <c r="G243" s="20" t="s">
        <v>1235</v>
      </c>
      <c r="H243" s="20"/>
      <c r="I243" s="20" t="s">
        <v>72</v>
      </c>
      <c r="J243" s="19" t="n">
        <f aca="false">'Build-Up'!F40</f>
        <v>4000</v>
      </c>
    </row>
    <row r="244" customFormat="false" ht="144.75" hidden="false" customHeight="true" outlineLevel="0" collapsed="false">
      <c r="A244" s="16" t="s">
        <v>190</v>
      </c>
      <c r="B244" s="17" t="str">
        <f aca="false">'Build-Up'!B46</f>
        <v>Adopted: Al Mousa Trading Co. quotation S04647 dated 10-Aug-2026 - existing tank dismantling, 1 No.</v>
      </c>
      <c r="C244" s="78" t="s">
        <v>1236</v>
      </c>
      <c r="D244" s="78"/>
      <c r="E244" s="20" t="s">
        <v>1237</v>
      </c>
      <c r="F244" s="20"/>
      <c r="G244" s="20" t="s">
        <v>1238</v>
      </c>
      <c r="H244" s="20"/>
      <c r="I244" s="20" t="s">
        <v>1239</v>
      </c>
      <c r="J244" s="19" t="n">
        <f aca="false">'Build-Up'!F46</f>
        <v>71000</v>
      </c>
    </row>
    <row r="245" customFormat="false" ht="30" hidden="false" customHeight="true" outlineLevel="0" collapsed="false">
      <c r="A245" s="18" t="s">
        <v>1240</v>
      </c>
      <c r="B245" s="17" t="s">
        <v>197</v>
      </c>
      <c r="C245" s="20" t="s">
        <v>1241</v>
      </c>
      <c r="D245" s="20"/>
      <c r="E245" s="20" t="s">
        <v>1242</v>
      </c>
      <c r="F245" s="20"/>
      <c r="G245" s="20" t="s">
        <v>1242</v>
      </c>
      <c r="H245" s="20"/>
      <c r="I245" s="20" t="s">
        <v>1242</v>
      </c>
      <c r="J245" s="19" t="s">
        <v>763</v>
      </c>
    </row>
    <row r="246" customFormat="false" ht="54.75" hidden="false" customHeight="true" outlineLevel="0" collapsed="false">
      <c r="A246" s="16" t="s">
        <v>230</v>
      </c>
      <c r="B246" s="17" t="str">
        <f aca="false">'Build-Up'!B68</f>
        <v>Haulage of dismantled materials to the Employer's local handover location</v>
      </c>
      <c r="C246" s="78" t="s">
        <v>1243</v>
      </c>
      <c r="D246" s="78"/>
      <c r="E246" s="20" t="s">
        <v>1244</v>
      </c>
      <c r="F246" s="20"/>
      <c r="G246" s="20" t="s">
        <v>1245</v>
      </c>
      <c r="H246" s="20"/>
      <c r="I246" s="20" t="s">
        <v>1246</v>
      </c>
      <c r="J246" s="19" t="n">
        <f aca="false">'Build-Up'!F68</f>
        <v>6300</v>
      </c>
    </row>
    <row r="247" customFormat="false" ht="67.5" hidden="false" customHeight="true" outlineLevel="0" collapsed="false">
      <c r="A247" s="16" t="s">
        <v>238</v>
      </c>
      <c r="B247" s="17" t="str">
        <f aca="false">'Build-Up'!B74</f>
        <v>Boom truck (hiab) - offloading and erection support</v>
      </c>
      <c r="C247" s="78" t="s">
        <v>1247</v>
      </c>
      <c r="D247" s="78"/>
      <c r="E247" s="20" t="s">
        <v>1248</v>
      </c>
      <c r="F247" s="20"/>
      <c r="G247" s="20" t="s">
        <v>1249</v>
      </c>
      <c r="H247" s="20"/>
      <c r="I247" s="20" t="s">
        <v>1250</v>
      </c>
      <c r="J247" s="19" t="n">
        <f aca="false">'Build-Up'!F74</f>
        <v>57600</v>
      </c>
    </row>
    <row r="248" customFormat="false" ht="67.5" hidden="false" customHeight="true" outlineLevel="0" collapsed="false">
      <c r="A248" s="16" t="s">
        <v>241</v>
      </c>
      <c r="B248" s="17" t="str">
        <f aca="false">'Build-Up'!B75</f>
        <v>Telehandler / forklift</v>
      </c>
      <c r="C248" s="78" t="s">
        <v>1251</v>
      </c>
      <c r="D248" s="78"/>
      <c r="E248" s="20" t="s">
        <v>1252</v>
      </c>
      <c r="F248" s="20"/>
      <c r="G248" s="20" t="s">
        <v>1253</v>
      </c>
      <c r="H248" s="20"/>
      <c r="I248" s="20" t="s">
        <v>72</v>
      </c>
      <c r="J248" s="19" t="n">
        <f aca="false">'Build-Up'!F75</f>
        <v>57600</v>
      </c>
    </row>
    <row r="249" customFormat="false" ht="54.75" hidden="false" customHeight="true" outlineLevel="0" collapsed="false">
      <c r="A249" s="16" t="s">
        <v>244</v>
      </c>
      <c r="B249" s="17" t="str">
        <f aca="false">'Build-Up'!B76</f>
        <v>Perimeter scaffolding and edge protection - supply, erect, 3-month hire, dismantle</v>
      </c>
      <c r="C249" s="78" t="s">
        <v>1254</v>
      </c>
      <c r="D249" s="78"/>
      <c r="E249" s="20" t="s">
        <v>1255</v>
      </c>
      <c r="F249" s="20"/>
      <c r="G249" s="20" t="s">
        <v>1256</v>
      </c>
      <c r="H249" s="20"/>
      <c r="I249" s="20" t="s">
        <v>72</v>
      </c>
      <c r="J249" s="19" t="n">
        <f aca="false">'Build-Up'!F76</f>
        <v>56320</v>
      </c>
    </row>
    <row r="250" customFormat="false" ht="30" hidden="false" customHeight="true" outlineLevel="0" collapsed="false">
      <c r="A250" s="16" t="s">
        <v>248</v>
      </c>
      <c r="B250" s="17" t="str">
        <f aca="false">'Build-Up'!B77</f>
        <v>Mobile aluminium access towers, 2 No. for the access window, whole hire months</v>
      </c>
      <c r="C250" s="20" t="s">
        <v>1257</v>
      </c>
      <c r="D250" s="20"/>
      <c r="E250" s="20" t="s">
        <v>1258</v>
      </c>
      <c r="F250" s="20"/>
      <c r="G250" s="20" t="s">
        <v>1259</v>
      </c>
      <c r="H250" s="20"/>
      <c r="I250" s="20" t="s">
        <v>72</v>
      </c>
      <c r="J250" s="19" t="n">
        <f aca="false">'Build-Up'!F77</f>
        <v>7200</v>
      </c>
    </row>
    <row r="251" customFormat="false" ht="42" hidden="false" customHeight="true" outlineLevel="0" collapsed="false">
      <c r="A251" s="16" t="s">
        <v>252</v>
      </c>
      <c r="B251" s="17" t="str">
        <f aca="false">'Build-Up'!B78</f>
        <v>Access-tower relocations and re-inspections</v>
      </c>
      <c r="C251" s="20" t="s">
        <v>1257</v>
      </c>
      <c r="D251" s="20"/>
      <c r="E251" s="20" t="s">
        <v>1260</v>
      </c>
      <c r="F251" s="20"/>
      <c r="G251" s="20" t="s">
        <v>1261</v>
      </c>
      <c r="H251" s="20"/>
      <c r="I251" s="20" t="s">
        <v>72</v>
      </c>
      <c r="J251" s="19" t="n">
        <f aca="false">'Build-Up'!F78</f>
        <v>1600</v>
      </c>
    </row>
    <row r="252" customFormat="false" ht="30" hidden="false" customHeight="true" outlineLevel="0" collapsed="false">
      <c r="A252" s="16" t="s">
        <v>254</v>
      </c>
      <c r="B252" s="17" t="str">
        <f aca="false">'Build-Up'!B79</f>
        <v>Podium steps, 2 No. for the access window, whole hire months</v>
      </c>
      <c r="C252" s="20" t="s">
        <v>1257</v>
      </c>
      <c r="D252" s="20"/>
      <c r="E252" s="20" t="s">
        <v>1262</v>
      </c>
      <c r="F252" s="20"/>
      <c r="G252" s="20" t="s">
        <v>1259</v>
      </c>
      <c r="H252" s="20"/>
      <c r="I252" s="20" t="s">
        <v>72</v>
      </c>
      <c r="J252" s="19" t="n">
        <f aca="false">'Build-Up'!F79</f>
        <v>1400</v>
      </c>
    </row>
    <row r="253" customFormat="false" ht="54.75" hidden="false" customHeight="true" outlineLevel="0" collapsed="false">
      <c r="A253" s="16" t="s">
        <v>258</v>
      </c>
      <c r="B253" s="17" t="str">
        <f aca="false">'Build-Up'!B80</f>
        <v>Generator 100 kVA for the works, daytime running with fuel</v>
      </c>
      <c r="C253" s="78" t="s">
        <v>1263</v>
      </c>
      <c r="D253" s="78"/>
      <c r="E253" s="20" t="s">
        <v>1264</v>
      </c>
      <c r="F253" s="20"/>
      <c r="G253" s="20" t="s">
        <v>1265</v>
      </c>
      <c r="H253" s="20"/>
      <c r="I253" s="20" t="s">
        <v>1266</v>
      </c>
      <c r="J253" s="19" t="n">
        <f aca="false">'Build-Up'!F80</f>
        <v>41800</v>
      </c>
    </row>
    <row r="254" customFormat="false" ht="42" hidden="false" customHeight="true" outlineLevel="0" collapsed="false">
      <c r="A254" s="16" t="s">
        <v>261</v>
      </c>
      <c r="B254" s="17" t="str">
        <f aca="false">'Build-Up'!B81</f>
        <v>Generator 30 kVA for the site office and welfare cabins, continuous running with fuel, whole period</v>
      </c>
      <c r="C254" s="78" t="s">
        <v>1170</v>
      </c>
      <c r="D254" s="78"/>
      <c r="E254" s="20" t="s">
        <v>1267</v>
      </c>
      <c r="F254" s="20"/>
      <c r="G254" s="20" t="s">
        <v>1268</v>
      </c>
      <c r="H254" s="20"/>
      <c r="I254" s="20" t="s">
        <v>72</v>
      </c>
      <c r="J254" s="19" t="n">
        <f aca="false">'Build-Up'!F81</f>
        <v>24600</v>
      </c>
    </row>
    <row r="255" customFormat="false" ht="67.5" hidden="false" customHeight="true" outlineLevel="0" collapsed="false">
      <c r="A255" s="13" t="s">
        <v>94</v>
      </c>
      <c r="B255" s="13" t="s">
        <v>1150</v>
      </c>
      <c r="C255" s="13" t="s">
        <v>1151</v>
      </c>
      <c r="D255" s="13"/>
      <c r="E255" s="13" t="s">
        <v>1152</v>
      </c>
      <c r="F255" s="13"/>
      <c r="G255" s="13" t="s">
        <v>1153</v>
      </c>
      <c r="H255" s="13"/>
      <c r="I255" s="13" t="s">
        <v>1154</v>
      </c>
      <c r="J255" s="13" t="s">
        <v>457</v>
      </c>
    </row>
    <row r="256" customFormat="false" ht="42" hidden="false" customHeight="true" outlineLevel="0" collapsed="false">
      <c r="A256" s="16" t="s">
        <v>264</v>
      </c>
      <c r="B256" s="17" t="str">
        <f aca="false">'Build-Up'!B82</f>
        <v>Site transport, pick-up / flatbed</v>
      </c>
      <c r="C256" s="78" t="s">
        <v>1170</v>
      </c>
      <c r="D256" s="78"/>
      <c r="E256" s="20" t="s">
        <v>1269</v>
      </c>
      <c r="F256" s="20"/>
      <c r="G256" s="20" t="s">
        <v>1270</v>
      </c>
      <c r="H256" s="20"/>
      <c r="I256" s="20" t="s">
        <v>1271</v>
      </c>
      <c r="J256" s="19" t="n">
        <f aca="false">'Build-Up'!F82</f>
        <v>12300</v>
      </c>
    </row>
    <row r="257" customFormat="false" ht="80.25" hidden="false" customHeight="true" outlineLevel="0" collapsed="false">
      <c r="A257" s="16" t="s">
        <v>267</v>
      </c>
      <c r="B257" s="17" t="str">
        <f aca="false">'Build-Up'!B83</f>
        <v>Contractor's helpers - the approved manpower histogram helper row (85 man-weeks), man-months</v>
      </c>
      <c r="C257" s="20" t="s">
        <v>1272</v>
      </c>
      <c r="D257" s="20"/>
      <c r="E257" s="20" t="s">
        <v>1273</v>
      </c>
      <c r="F257" s="20"/>
      <c r="G257" s="20" t="s">
        <v>1274</v>
      </c>
      <c r="H257" s="20"/>
      <c r="I257" s="20" t="s">
        <v>1275</v>
      </c>
      <c r="J257" s="19" t="n">
        <f aca="false">'Build-Up'!F83</f>
        <v>59400</v>
      </c>
    </row>
    <row r="258" customFormat="false" ht="54.75" hidden="false" customHeight="true" outlineLevel="0" collapsed="false">
      <c r="A258" s="16" t="s">
        <v>271</v>
      </c>
      <c r="B258" s="17" t="str">
        <f aca="false">'Build-Up'!B84</f>
        <v>Power and hand tools, slings and lifting tackle for the Contractor's helpers - unloading, shifting and attendance</v>
      </c>
      <c r="C258" s="78" t="s">
        <v>1276</v>
      </c>
      <c r="D258" s="78"/>
      <c r="E258" s="20" t="s">
        <v>1277</v>
      </c>
      <c r="F258" s="20"/>
      <c r="G258" s="20" t="s">
        <v>1278</v>
      </c>
      <c r="H258" s="20"/>
      <c r="I258" s="20" t="s">
        <v>1279</v>
      </c>
      <c r="J258" s="19" t="n">
        <f aca="false">'Build-Up'!F84</f>
        <v>6750</v>
      </c>
    </row>
    <row r="259" customFormat="false" ht="42" hidden="false" customHeight="true" outlineLevel="0" collapsed="false">
      <c r="A259" s="16" t="s">
        <v>274</v>
      </c>
      <c r="B259" s="17" t="str">
        <f aca="false">'Build-Up'!B85</f>
        <v>Sealant-application tools and jointing consumables</v>
      </c>
      <c r="C259" s="20" t="s">
        <v>1280</v>
      </c>
      <c r="D259" s="20"/>
      <c r="E259" s="20" t="s">
        <v>1281</v>
      </c>
      <c r="F259" s="20"/>
      <c r="G259" s="20" t="s">
        <v>1282</v>
      </c>
      <c r="H259" s="20"/>
      <c r="I259" s="20" t="s">
        <v>1283</v>
      </c>
      <c r="J259" s="19" t="n">
        <f aca="false">'Build-Up'!F85</f>
        <v>0</v>
      </c>
    </row>
    <row r="260" customFormat="false" ht="54.75" hidden="false" customHeight="true" outlineLevel="0" collapsed="false">
      <c r="A260" s="16" t="s">
        <v>277</v>
      </c>
      <c r="B260" s="17" t="str">
        <f aca="false">'Build-Up'!B86</f>
        <v>Panel storage and handling consumables - timber packers, covers, strapping and cleaning materials for the Contractor's storage and shifting of the tank materials</v>
      </c>
      <c r="C260" s="78" t="s">
        <v>1284</v>
      </c>
      <c r="D260" s="78"/>
      <c r="E260" s="20" t="s">
        <v>1285</v>
      </c>
      <c r="F260" s="20"/>
      <c r="G260" s="20" t="s">
        <v>1286</v>
      </c>
      <c r="H260" s="20"/>
      <c r="I260" s="20" t="s">
        <v>1287</v>
      </c>
      <c r="J260" s="19" t="n">
        <f aca="false">'Build-Up'!F86</f>
        <v>3000</v>
      </c>
    </row>
    <row r="261" customFormat="false" ht="42" hidden="false" customHeight="true" outlineLevel="0" collapsed="false">
      <c r="A261" s="16" t="s">
        <v>280</v>
      </c>
      <c r="B261" s="17" t="str">
        <f aca="false">'Build-Up'!B87</f>
        <v>Mobile lighting towers, 2 No. for the erection window</v>
      </c>
      <c r="C261" s="20" t="s">
        <v>1288</v>
      </c>
      <c r="D261" s="20"/>
      <c r="E261" s="20" t="s">
        <v>1289</v>
      </c>
      <c r="F261" s="20"/>
      <c r="G261" s="20" t="s">
        <v>1290</v>
      </c>
      <c r="H261" s="20"/>
      <c r="I261" s="20" t="s">
        <v>72</v>
      </c>
      <c r="J261" s="19" t="n">
        <f aca="false">'Build-Up'!F87</f>
        <v>6480</v>
      </c>
    </row>
    <row r="262" customFormat="false" ht="30" hidden="false" customHeight="true" outlineLevel="0" collapsed="false">
      <c r="A262" s="16" t="s">
        <v>283</v>
      </c>
      <c r="B262" s="17" t="str">
        <f aca="false">'Build-Up'!B88</f>
        <v>Temporary distribution boards and cabling</v>
      </c>
      <c r="C262" s="20" t="s">
        <v>1291</v>
      </c>
      <c r="D262" s="20"/>
      <c r="E262" s="20" t="s">
        <v>1292</v>
      </c>
      <c r="F262" s="20"/>
      <c r="G262" s="20" t="s">
        <v>1293</v>
      </c>
      <c r="H262" s="20"/>
      <c r="I262" s="20" t="s">
        <v>72</v>
      </c>
      <c r="J262" s="19" t="n">
        <f aca="false">'Build-Up'!F88</f>
        <v>2800</v>
      </c>
    </row>
    <row r="263" customFormat="false" ht="93" hidden="false" customHeight="true" outlineLevel="0" collapsed="false">
      <c r="A263" s="16" t="s">
        <v>289</v>
      </c>
      <c r="B263" s="17" t="str">
        <f aca="false">'Build-Up'!B94</f>
        <v>Adopted: Al Mousa Trading Co. quotation S04488 dated 09-Jul-2026 with Stalwart technical offer SS-07-26-1516 dated 03-Aug-2026 - sectional GRP tank 34 m x 30 m x 4.0 m, supplied and installed, rate per tank</v>
      </c>
      <c r="C263" s="78" t="s">
        <v>1294</v>
      </c>
      <c r="D263" s="78"/>
      <c r="E263" s="20" t="s">
        <v>1295</v>
      </c>
      <c r="F263" s="20"/>
      <c r="G263" s="20" t="s">
        <v>1296</v>
      </c>
      <c r="H263" s="20"/>
      <c r="I263" s="20" t="s">
        <v>1297</v>
      </c>
      <c r="J263" s="19" t="n">
        <f aca="false">'Build-Up'!F94</f>
        <v>2763500</v>
      </c>
    </row>
    <row r="264" customFormat="false" ht="30" hidden="false" customHeight="true" outlineLevel="0" collapsed="false">
      <c r="A264" s="16" t="s">
        <v>296</v>
      </c>
      <c r="B264" s="17" t="str">
        <f aca="false">'Build-Up'!B100</f>
        <v>Test water - first tank fill to test level</v>
      </c>
      <c r="C264" s="20" t="s">
        <v>1298</v>
      </c>
      <c r="D264" s="20"/>
      <c r="E264" s="20" t="s">
        <v>1299</v>
      </c>
      <c r="F264" s="20"/>
      <c r="G264" s="20" t="s">
        <v>1300</v>
      </c>
      <c r="H264" s="20"/>
      <c r="I264" s="20" t="s">
        <v>72</v>
      </c>
      <c r="J264" s="19" t="n">
        <f aca="false">'Build-Up'!F100</f>
        <v>22644</v>
      </c>
    </row>
    <row r="265" customFormat="false" ht="30" hidden="false" customHeight="true" outlineLevel="0" collapsed="false">
      <c r="A265" s="16" t="s">
        <v>299</v>
      </c>
      <c r="B265" s="17" t="str">
        <f aca="false">'Build-Up'!B101</f>
        <v>Transfer pump hire - Tank 1 to Tank 2</v>
      </c>
      <c r="C265" s="20" t="s">
        <v>1301</v>
      </c>
      <c r="D265" s="20"/>
      <c r="E265" s="20" t="s">
        <v>1302</v>
      </c>
      <c r="F265" s="20"/>
      <c r="G265" s="20" t="s">
        <v>1303</v>
      </c>
      <c r="H265" s="20"/>
      <c r="I265" s="20" t="s">
        <v>72</v>
      </c>
      <c r="J265" s="19" t="n">
        <f aca="false">'Build-Up'!F101</f>
        <v>3500</v>
      </c>
    </row>
    <row r="266" customFormat="false" ht="30" hidden="false" customHeight="true" outlineLevel="0" collapsed="false">
      <c r="A266" s="16" t="s">
        <v>302</v>
      </c>
      <c r="B266" s="17" t="str">
        <f aca="false">'Build-Up'!B102</f>
        <v>Transfer hoses and fittings hire</v>
      </c>
      <c r="C266" s="20" t="s">
        <v>774</v>
      </c>
      <c r="D266" s="20"/>
      <c r="E266" s="20" t="s">
        <v>1304</v>
      </c>
      <c r="F266" s="20"/>
      <c r="G266" s="20" t="s">
        <v>1305</v>
      </c>
      <c r="H266" s="20"/>
      <c r="I266" s="20" t="s">
        <v>72</v>
      </c>
      <c r="J266" s="19" t="n">
        <f aca="false">'Build-Up'!F102</f>
        <v>1000</v>
      </c>
    </row>
    <row r="267" customFormat="false" ht="42" hidden="false" customHeight="true" outlineLevel="0" collapsed="false">
      <c r="A267" s="16" t="s">
        <v>305</v>
      </c>
      <c r="B267" s="17" t="str">
        <f aca="false">'Build-Up'!B103</f>
        <v>Transfer labour, 2 No. x 3 days</v>
      </c>
      <c r="C267" s="20" t="s">
        <v>1306</v>
      </c>
      <c r="D267" s="20"/>
      <c r="E267" s="20" t="s">
        <v>1307</v>
      </c>
      <c r="F267" s="20"/>
      <c r="G267" s="20" t="s">
        <v>1308</v>
      </c>
      <c r="H267" s="20"/>
      <c r="I267" s="20" t="s">
        <v>1309</v>
      </c>
      <c r="J267" s="19" t="n">
        <f aca="false">'Build-Up'!F103</f>
        <v>0</v>
      </c>
    </row>
    <row r="268" customFormat="false" ht="30" hidden="false" customHeight="true" outlineLevel="0" collapsed="false">
      <c r="A268" s="16" t="s">
        <v>308</v>
      </c>
      <c r="B268" s="17" t="str">
        <f aca="false">'Build-Up'!B104</f>
        <v>Top-up water for losses and test level</v>
      </c>
      <c r="C268" s="20" t="s">
        <v>1310</v>
      </c>
      <c r="D268" s="20"/>
      <c r="E268" s="20" t="s">
        <v>1311</v>
      </c>
      <c r="F268" s="20"/>
      <c r="G268" s="20" t="s">
        <v>1312</v>
      </c>
      <c r="H268" s="20"/>
      <c r="I268" s="20" t="s">
        <v>72</v>
      </c>
      <c r="J268" s="19" t="n">
        <f aca="false">'Build-Up'!F104</f>
        <v>2262</v>
      </c>
    </row>
    <row r="269" customFormat="false" ht="30" hidden="false" customHeight="true" outlineLevel="0" collapsed="false">
      <c r="A269" s="16" t="s">
        <v>311</v>
      </c>
      <c r="B269" s="17" t="str">
        <f aca="false">'Build-Up'!B105</f>
        <v>Disinfection chemicals, hypochlorite (AWWA C652)</v>
      </c>
      <c r="C269" s="20" t="s">
        <v>1313</v>
      </c>
      <c r="D269" s="20"/>
      <c r="E269" s="20" t="s">
        <v>1314</v>
      </c>
      <c r="F269" s="20"/>
      <c r="G269" s="20" t="s">
        <v>1315</v>
      </c>
      <c r="H269" s="20"/>
      <c r="I269" s="20" t="s">
        <v>72</v>
      </c>
      <c r="J269" s="19" t="n">
        <f aca="false">'Build-Up'!F105</f>
        <v>4800</v>
      </c>
    </row>
    <row r="270" customFormat="false" ht="30" hidden="false" customHeight="true" outlineLevel="0" collapsed="false">
      <c r="A270" s="16" t="s">
        <v>314</v>
      </c>
      <c r="B270" s="17" t="str">
        <f aca="false">'Build-Up'!B106</f>
        <v>Chlorine dosing equipment hire</v>
      </c>
      <c r="C270" s="20" t="s">
        <v>1316</v>
      </c>
      <c r="D270" s="20"/>
      <c r="E270" s="20" t="s">
        <v>1317</v>
      </c>
      <c r="F270" s="20"/>
      <c r="G270" s="20" t="s">
        <v>1318</v>
      </c>
      <c r="H270" s="20"/>
      <c r="I270" s="20" t="s">
        <v>72</v>
      </c>
      <c r="J270" s="19" t="n">
        <f aca="false">'Build-Up'!F106</f>
        <v>1500</v>
      </c>
    </row>
    <row r="271" customFormat="false" ht="67.5" hidden="false" customHeight="true" outlineLevel="0" collapsed="false">
      <c r="A271" s="13" t="s">
        <v>94</v>
      </c>
      <c r="B271" s="13" t="s">
        <v>1150</v>
      </c>
      <c r="C271" s="13" t="s">
        <v>1151</v>
      </c>
      <c r="D271" s="13"/>
      <c r="E271" s="13" t="s">
        <v>1152</v>
      </c>
      <c r="F271" s="13"/>
      <c r="G271" s="13" t="s">
        <v>1153</v>
      </c>
      <c r="H271" s="13"/>
      <c r="I271" s="13" t="s">
        <v>1154</v>
      </c>
      <c r="J271" s="13" t="s">
        <v>457</v>
      </c>
    </row>
    <row r="272" customFormat="false" ht="42" hidden="false" customHeight="true" outlineLevel="0" collapsed="false">
      <c r="A272" s="16" t="s">
        <v>316</v>
      </c>
      <c r="B272" s="17" t="str">
        <f aca="false">'Build-Up'!B107</f>
        <v>Sampling and dechlorination labour after the approved histogram weeks</v>
      </c>
      <c r="C272" s="20" t="s">
        <v>1319</v>
      </c>
      <c r="D272" s="20"/>
      <c r="E272" s="20" t="s">
        <v>1320</v>
      </c>
      <c r="F272" s="20"/>
      <c r="G272" s="20" t="s">
        <v>1321</v>
      </c>
      <c r="H272" s="20"/>
      <c r="I272" s="20" t="s">
        <v>1322</v>
      </c>
      <c r="J272" s="19" t="n">
        <f aca="false">'Build-Up'!F107</f>
        <v>450</v>
      </c>
    </row>
    <row r="273" customFormat="false" ht="30" hidden="false" customHeight="true" outlineLevel="0" collapsed="false">
      <c r="A273" s="16" t="s">
        <v>319</v>
      </c>
      <c r="B273" s="17" t="str">
        <f aca="false">'Build-Up'!B108</f>
        <v>Dechlorination chemicals for discharge</v>
      </c>
      <c r="C273" s="20" t="s">
        <v>1323</v>
      </c>
      <c r="D273" s="20"/>
      <c r="E273" s="20" t="s">
        <v>1324</v>
      </c>
      <c r="F273" s="20"/>
      <c r="G273" s="20" t="s">
        <v>1325</v>
      </c>
      <c r="H273" s="20"/>
      <c r="I273" s="20" t="s">
        <v>72</v>
      </c>
      <c r="J273" s="19" t="n">
        <f aca="false">'Build-Up'!F108</f>
        <v>2000</v>
      </c>
    </row>
    <row r="274" customFormat="false" ht="30" hidden="false" customHeight="true" outlineLevel="0" collapsed="false">
      <c r="A274" s="16" t="s">
        <v>321</v>
      </c>
      <c r="B274" s="17" t="str">
        <f aca="false">'Build-Up'!B109</f>
        <v>Sampling, transport and handling</v>
      </c>
      <c r="C274" s="20" t="s">
        <v>1316</v>
      </c>
      <c r="D274" s="20"/>
      <c r="E274" s="20" t="s">
        <v>1326</v>
      </c>
      <c r="F274" s="20"/>
      <c r="G274" s="20" t="s">
        <v>1286</v>
      </c>
      <c r="H274" s="20"/>
      <c r="I274" s="20" t="s">
        <v>72</v>
      </c>
      <c r="J274" s="19" t="n">
        <f aca="false">'Build-Up'!F109</f>
        <v>3700</v>
      </c>
    </row>
    <row r="275" customFormat="false" ht="42" hidden="false" customHeight="true" outlineLevel="0" collapsed="false">
      <c r="A275" s="16" t="s">
        <v>323</v>
      </c>
      <c r="B275" s="17" t="str">
        <f aca="false">'Build-Up'!B110</f>
        <v>Third-party laboratory water-quality tests</v>
      </c>
      <c r="C275" s="20" t="s">
        <v>1316</v>
      </c>
      <c r="D275" s="20"/>
      <c r="E275" s="20" t="s">
        <v>1327</v>
      </c>
      <c r="F275" s="20"/>
      <c r="G275" s="20" t="s">
        <v>1328</v>
      </c>
      <c r="H275" s="20"/>
      <c r="I275" s="20" t="s">
        <v>1329</v>
      </c>
      <c r="J275" s="19" t="n">
        <f aca="false">'Build-Up'!F110</f>
        <v>7200</v>
      </c>
    </row>
    <row r="276" customFormat="false" ht="42" hidden="false" customHeight="true" outlineLevel="0" collapsed="false">
      <c r="A276" s="16" t="s">
        <v>327</v>
      </c>
      <c r="B276" s="17" t="str">
        <f aca="false">'Build-Up'!B111</f>
        <v>Third-party inspection visits</v>
      </c>
      <c r="C276" s="20" t="s">
        <v>1330</v>
      </c>
      <c r="D276" s="20"/>
      <c r="E276" s="20" t="s">
        <v>1331</v>
      </c>
      <c r="F276" s="20"/>
      <c r="G276" s="20" t="s">
        <v>1331</v>
      </c>
      <c r="H276" s="20"/>
      <c r="I276" s="20" t="s">
        <v>1332</v>
      </c>
      <c r="J276" s="19" t="n">
        <f aca="false">'Build-Up'!F111</f>
        <v>0</v>
      </c>
    </row>
    <row r="277" customFormat="false" ht="67.5" hidden="false" customHeight="true" outlineLevel="0" collapsed="false">
      <c r="A277" s="16" t="s">
        <v>331</v>
      </c>
      <c r="B277" s="17" t="str">
        <f aca="false">'Build-Up'!B112</f>
        <v>Commissioning engineer</v>
      </c>
      <c r="C277" s="20" t="s">
        <v>1333</v>
      </c>
      <c r="D277" s="20"/>
      <c r="E277" s="20" t="s">
        <v>1334</v>
      </c>
      <c r="F277" s="20"/>
      <c r="G277" s="20" t="s">
        <v>1235</v>
      </c>
      <c r="H277" s="20"/>
      <c r="I277" s="20" t="s">
        <v>1335</v>
      </c>
      <c r="J277" s="19" t="n">
        <f aca="false">'Build-Up'!F112</f>
        <v>16000</v>
      </c>
    </row>
    <row r="278" customFormat="false" ht="42" hidden="false" customHeight="true" outlineLevel="0" collapsed="false">
      <c r="A278" s="16" t="s">
        <v>334</v>
      </c>
      <c r="B278" s="17" t="str">
        <f aca="false">'Build-Up'!B113</f>
        <v>MEP technicians - pump and network interfaces, 2 No. x 10 days (RFP Scope of Works, work package 9 - system integration)</v>
      </c>
      <c r="C278" s="20" t="s">
        <v>1336</v>
      </c>
      <c r="D278" s="20"/>
      <c r="E278" s="20" t="s">
        <v>1337</v>
      </c>
      <c r="F278" s="20"/>
      <c r="G278" s="20" t="s">
        <v>1338</v>
      </c>
      <c r="H278" s="20"/>
      <c r="I278" s="20" t="s">
        <v>72</v>
      </c>
      <c r="J278" s="19" t="n">
        <f aca="false">'Build-Up'!F113</f>
        <v>4800</v>
      </c>
    </row>
    <row r="279" customFormat="false" ht="54.75" hidden="false" customHeight="true" outlineLevel="0" collapsed="false">
      <c r="A279" s="16" t="s">
        <v>337</v>
      </c>
      <c r="B279" s="17" t="str">
        <f aca="false">'Build-Up'!B114</f>
        <v>Electrician - instrument and readout connections</v>
      </c>
      <c r="C279" s="78" t="s">
        <v>1339</v>
      </c>
      <c r="D279" s="78"/>
      <c r="E279" s="20" t="s">
        <v>1340</v>
      </c>
      <c r="F279" s="20"/>
      <c r="G279" s="20" t="s">
        <v>1341</v>
      </c>
      <c r="H279" s="20"/>
      <c r="I279" s="20" t="s">
        <v>1342</v>
      </c>
      <c r="J279" s="19" t="n">
        <f aca="false">'Build-Up'!F114</f>
        <v>2000</v>
      </c>
    </row>
    <row r="280" customFormat="false" ht="54.75" hidden="false" customHeight="true" outlineLevel="0" collapsed="false">
      <c r="A280" s="16" t="s">
        <v>339</v>
      </c>
      <c r="B280" s="17" t="str">
        <f aca="false">'Build-Up'!B115</f>
        <v>Integration coordination engineer - tie-ins with the Employer and Engineer</v>
      </c>
      <c r="C280" s="20" t="s">
        <v>1343</v>
      </c>
      <c r="D280" s="20"/>
      <c r="E280" s="20" t="s">
        <v>1344</v>
      </c>
      <c r="F280" s="20"/>
      <c r="G280" s="20" t="s">
        <v>1345</v>
      </c>
      <c r="H280" s="20"/>
      <c r="I280" s="20" t="s">
        <v>72</v>
      </c>
      <c r="J280" s="19" t="n">
        <f aca="false">'Build-Up'!F115</f>
        <v>5000</v>
      </c>
    </row>
    <row r="281" customFormat="false" ht="30" hidden="false" customHeight="true" outlineLevel="0" collapsed="false">
      <c r="A281" s="16" t="s">
        <v>342</v>
      </c>
      <c r="B281" s="17" t="str">
        <f aca="false">'Build-Up'!B116</f>
        <v>Calibration technician</v>
      </c>
      <c r="C281" s="20" t="s">
        <v>783</v>
      </c>
      <c r="D281" s="20"/>
      <c r="E281" s="20" t="s">
        <v>1346</v>
      </c>
      <c r="F281" s="20"/>
      <c r="G281" s="20" t="s">
        <v>1220</v>
      </c>
      <c r="H281" s="20"/>
      <c r="I281" s="20" t="s">
        <v>72</v>
      </c>
      <c r="J281" s="19" t="n">
        <f aca="false">'Build-Up'!F116</f>
        <v>4000</v>
      </c>
    </row>
    <row r="282" customFormat="false" ht="30" hidden="false" customHeight="true" outlineLevel="0" collapsed="false">
      <c r="A282" s="16" t="s">
        <v>344</v>
      </c>
      <c r="B282" s="17" t="str">
        <f aca="false">'Build-Up'!B117</f>
        <v>Certified instrument calibrations</v>
      </c>
      <c r="C282" s="20" t="s">
        <v>783</v>
      </c>
      <c r="D282" s="20"/>
      <c r="E282" s="20" t="s">
        <v>1347</v>
      </c>
      <c r="F282" s="20"/>
      <c r="G282" s="20" t="s">
        <v>1348</v>
      </c>
      <c r="H282" s="20"/>
      <c r="I282" s="20" t="s">
        <v>72</v>
      </c>
      <c r="J282" s="19" t="n">
        <f aca="false">'Build-Up'!F117</f>
        <v>4500</v>
      </c>
    </row>
    <row r="283" customFormat="false" ht="30" hidden="false" customHeight="true" outlineLevel="0" collapsed="false">
      <c r="A283" s="16" t="s">
        <v>346</v>
      </c>
      <c r="B283" s="17" t="str">
        <f aca="false">'Build-Up'!B118</f>
        <v>Test-equipment hire - calibrated gauges, data logger</v>
      </c>
      <c r="C283" s="20" t="s">
        <v>1349</v>
      </c>
      <c r="D283" s="20"/>
      <c r="E283" s="20" t="s">
        <v>1350</v>
      </c>
      <c r="F283" s="20"/>
      <c r="G283" s="20" t="s">
        <v>1318</v>
      </c>
      <c r="H283" s="20"/>
      <c r="I283" s="20" t="s">
        <v>72</v>
      </c>
      <c r="J283" s="19" t="n">
        <f aca="false">'Build-Up'!F118</f>
        <v>1500</v>
      </c>
    </row>
    <row r="284" customFormat="false" ht="54.75" hidden="false" customHeight="true" outlineLevel="0" collapsed="false">
      <c r="A284" s="16" t="s">
        <v>348</v>
      </c>
      <c r="B284" s="17" t="str">
        <f aca="false">'Build-Up'!B119</f>
        <v>Technical clerk - test records, ITP/WIR close-out</v>
      </c>
      <c r="C284" s="20" t="s">
        <v>1351</v>
      </c>
      <c r="D284" s="20"/>
      <c r="E284" s="20" t="s">
        <v>1352</v>
      </c>
      <c r="F284" s="20"/>
      <c r="G284" s="20" t="s">
        <v>1353</v>
      </c>
      <c r="H284" s="20"/>
      <c r="I284" s="20" t="s">
        <v>1354</v>
      </c>
      <c r="J284" s="19" t="n">
        <f aca="false">'Build-Up'!F119</f>
        <v>6000</v>
      </c>
    </row>
    <row r="285" customFormat="false" ht="30" hidden="false" customHeight="true" outlineLevel="0" collapsed="false">
      <c r="A285" s="16" t="s">
        <v>351</v>
      </c>
      <c r="B285" s="17" t="str">
        <f aca="false">'Build-Up'!B120</f>
        <v>As-built mark-ups at close-out - draughtsman, issued via Aconex</v>
      </c>
      <c r="C285" s="78" t="s">
        <v>1355</v>
      </c>
      <c r="D285" s="78"/>
      <c r="E285" s="20" t="s">
        <v>1356</v>
      </c>
      <c r="F285" s="20"/>
      <c r="G285" s="20" t="s">
        <v>1357</v>
      </c>
      <c r="H285" s="20"/>
      <c r="I285" s="20" t="s">
        <v>1358</v>
      </c>
      <c r="J285" s="19" t="n">
        <f aca="false">'Build-Up'!F120</f>
        <v>4000</v>
      </c>
    </row>
    <row r="286" customFormat="false" ht="42" hidden="false" customHeight="true" outlineLevel="0" collapsed="false">
      <c r="A286" s="16" t="s">
        <v>353</v>
      </c>
      <c r="B286" s="17" t="str">
        <f aca="false">'Build-Up'!B121</f>
        <v>Tanker and pump standby during filling and test holds</v>
      </c>
      <c r="C286" s="20" t="s">
        <v>1359</v>
      </c>
      <c r="D286" s="20"/>
      <c r="E286" s="20" t="s">
        <v>1360</v>
      </c>
      <c r="F286" s="20"/>
      <c r="G286" s="20" t="s">
        <v>1361</v>
      </c>
      <c r="H286" s="20"/>
      <c r="I286" s="20" t="s">
        <v>1362</v>
      </c>
      <c r="J286" s="19" t="n">
        <f aca="false">'Build-Up'!F121</f>
        <v>2000</v>
      </c>
    </row>
    <row r="287" customFormat="false" ht="42" hidden="false" customHeight="true" outlineLevel="0" collapsed="false">
      <c r="A287" s="16" t="s">
        <v>356</v>
      </c>
      <c r="B287" s="17" t="str">
        <f aca="false">'Build-Up'!B122</f>
        <v>Third-party factory acceptance test of the GRP panels - inspector days and travel to the factory</v>
      </c>
      <c r="C287" s="20" t="s">
        <v>1363</v>
      </c>
      <c r="D287" s="20"/>
      <c r="E287" s="20" t="s">
        <v>1364</v>
      </c>
      <c r="F287" s="20"/>
      <c r="G287" s="20" t="s">
        <v>1365</v>
      </c>
      <c r="H287" s="20"/>
      <c r="I287" s="20" t="s">
        <v>1366</v>
      </c>
      <c r="J287" s="19" t="n">
        <f aca="false">'Build-Up'!F122</f>
        <v>0</v>
      </c>
    </row>
    <row r="288" customFormat="false" ht="67.5" hidden="false" customHeight="true" outlineLevel="0" collapsed="false">
      <c r="A288" s="13" t="s">
        <v>94</v>
      </c>
      <c r="B288" s="13" t="s">
        <v>1150</v>
      </c>
      <c r="C288" s="13" t="s">
        <v>1151</v>
      </c>
      <c r="D288" s="13"/>
      <c r="E288" s="13" t="s">
        <v>1152</v>
      </c>
      <c r="F288" s="13"/>
      <c r="G288" s="13" t="s">
        <v>1153</v>
      </c>
      <c r="H288" s="13"/>
      <c r="I288" s="13" t="s">
        <v>1154</v>
      </c>
      <c r="J288" s="13" t="s">
        <v>457</v>
      </c>
    </row>
    <row r="289" customFormat="false" ht="54.75" hidden="false" customHeight="true" outlineLevel="0" collapsed="false">
      <c r="A289" s="16" t="s">
        <v>359</v>
      </c>
      <c r="B289" s="17" t="str">
        <f aca="false">'Build-Up'!B123</f>
        <v>Tank 1 operating volume for the integrated commissioning - tankered fill to about 1 m depth after the test water has gone to Tank 2</v>
      </c>
      <c r="C289" s="20" t="s">
        <v>1367</v>
      </c>
      <c r="D289" s="20"/>
      <c r="E289" s="20" t="s">
        <v>1368</v>
      </c>
      <c r="F289" s="20"/>
      <c r="G289" s="20" t="s">
        <v>1369</v>
      </c>
      <c r="H289" s="20"/>
      <c r="I289" s="20" t="s">
        <v>1370</v>
      </c>
      <c r="J289" s="19" t="n">
        <f aca="false">'Build-Up'!F123</f>
        <v>6120</v>
      </c>
    </row>
    <row r="290" customFormat="false" ht="67.5" hidden="false" customHeight="true" outlineLevel="0" collapsed="false">
      <c r="A290" s="16" t="s">
        <v>362</v>
      </c>
      <c r="B290" s="17" t="str">
        <f aca="false">'Build-Up'!B124</f>
        <v>Disinfection of the tank surfaces above the test water line (walls above 3.7 m, roof underside, hatches) - spray or swab application, both tanks</v>
      </c>
      <c r="C290" s="20" t="s">
        <v>1371</v>
      </c>
      <c r="D290" s="20"/>
      <c r="E290" s="20" t="s">
        <v>1372</v>
      </c>
      <c r="F290" s="20"/>
      <c r="G290" s="20" t="s">
        <v>1286</v>
      </c>
      <c r="H290" s="20"/>
      <c r="I290" s="20" t="s">
        <v>1373</v>
      </c>
      <c r="J290" s="19" t="n">
        <f aca="false">'Build-Up'!F124</f>
        <v>4000</v>
      </c>
    </row>
    <row r="291" customFormat="false" ht="54.75" hidden="false" customHeight="true" outlineLevel="0" collapsed="false">
      <c r="A291" s="16" t="s">
        <v>370</v>
      </c>
      <c r="B291" s="17" t="str">
        <f aca="false">'Build-Up'!B131</f>
        <v>Main pipework above DN150 - GRP or ductile iron with internal lining, with fittings, supplied and installed (RFP General Piping Requirements)</v>
      </c>
      <c r="C291" s="78" t="s">
        <v>1374</v>
      </c>
      <c r="D291" s="78"/>
      <c r="E291" s="20" t="s">
        <v>1375</v>
      </c>
      <c r="F291" s="20"/>
      <c r="G291" s="20" t="s">
        <v>1376</v>
      </c>
      <c r="H291" s="20"/>
      <c r="I291" s="20" t="s">
        <v>72</v>
      </c>
      <c r="J291" s="19" t="n">
        <f aca="false">'Build-Up'!F131</f>
        <v>80000</v>
      </c>
    </row>
    <row r="292" customFormat="false" ht="30" hidden="false" customHeight="true" outlineLevel="0" collapsed="false">
      <c r="A292" s="16" t="s">
        <v>374</v>
      </c>
      <c r="B292" s="17" t="str">
        <f aca="false">'Build-Up'!B132</f>
        <v>Small-bore pipework below DN150 - uPVC Schedule 40, supplied and installed</v>
      </c>
      <c r="C292" s="20" t="s">
        <v>1377</v>
      </c>
      <c r="D292" s="20"/>
      <c r="E292" s="20" t="s">
        <v>1378</v>
      </c>
      <c r="F292" s="20"/>
      <c r="G292" s="20" t="s">
        <v>1379</v>
      </c>
      <c r="H292" s="20"/>
      <c r="I292" s="20" t="s">
        <v>72</v>
      </c>
      <c r="J292" s="19" t="n">
        <f aca="false">'Build-Up'!F132</f>
        <v>7200</v>
      </c>
    </row>
    <row r="293" customFormat="false" ht="30" hidden="false" customHeight="true" outlineLevel="0" collapsed="false">
      <c r="A293" s="16" t="s">
        <v>377</v>
      </c>
      <c r="B293" s="17" t="str">
        <f aca="false">'Build-Up'!B133</f>
        <v>Resilient-seated butterfly isolation valves DN150-DN300, lever-operated up to DN200 and gearbox-operated above, installed</v>
      </c>
      <c r="C293" s="20" t="s">
        <v>1377</v>
      </c>
      <c r="D293" s="20"/>
      <c r="E293" s="20" t="s">
        <v>1380</v>
      </c>
      <c r="F293" s="20"/>
      <c r="G293" s="20" t="s">
        <v>1381</v>
      </c>
      <c r="H293" s="20"/>
      <c r="I293" s="20" t="s">
        <v>72</v>
      </c>
      <c r="J293" s="19" t="n">
        <f aca="false">'Build-Up'!F133</f>
        <v>55000</v>
      </c>
    </row>
    <row r="294" customFormat="false" ht="30" hidden="false" customHeight="true" outlineLevel="0" collapsed="false">
      <c r="A294" s="16" t="s">
        <v>380</v>
      </c>
      <c r="B294" s="17" t="str">
        <f aca="false">'Build-Up'!B134</f>
        <v>Dismantling joints DN250</v>
      </c>
      <c r="C294" s="20" t="s">
        <v>1377</v>
      </c>
      <c r="D294" s="20"/>
      <c r="E294" s="20" t="s">
        <v>1382</v>
      </c>
      <c r="F294" s="20"/>
      <c r="G294" s="20" t="s">
        <v>1261</v>
      </c>
      <c r="H294" s="20"/>
      <c r="I294" s="20" t="s">
        <v>72</v>
      </c>
      <c r="J294" s="19" t="n">
        <f aca="false">'Build-Up'!F134</f>
        <v>10000</v>
      </c>
    </row>
    <row r="295" customFormat="false" ht="42" hidden="false" customHeight="true" outlineLevel="0" collapsed="false">
      <c r="A295" s="16" t="s">
        <v>382</v>
      </c>
      <c r="B295" s="17" t="str">
        <f aca="false">'Build-Up'!B135</f>
        <v>Blind flanges on spare nozzles</v>
      </c>
      <c r="C295" s="78" t="s">
        <v>1383</v>
      </c>
      <c r="D295" s="78"/>
      <c r="E295" s="20" t="s">
        <v>1384</v>
      </c>
      <c r="F295" s="20"/>
      <c r="G295" s="20" t="s">
        <v>1385</v>
      </c>
      <c r="H295" s="20"/>
      <c r="I295" s="20" t="s">
        <v>1386</v>
      </c>
      <c r="J295" s="19" t="n">
        <f aca="false">'Build-Up'!F135</f>
        <v>3000</v>
      </c>
    </row>
    <row r="296" customFormat="false" ht="30" hidden="false" customHeight="true" outlineLevel="0" collapsed="false">
      <c r="A296" s="16" t="s">
        <v>384</v>
      </c>
      <c r="B296" s="17" t="str">
        <f aca="false">'Build-Up'!B136</f>
        <v>Flange sets, gaskets and bolting</v>
      </c>
      <c r="C296" s="20" t="s">
        <v>1377</v>
      </c>
      <c r="D296" s="20"/>
      <c r="E296" s="20" t="s">
        <v>1387</v>
      </c>
      <c r="F296" s="20"/>
      <c r="G296" s="20" t="s">
        <v>1388</v>
      </c>
      <c r="H296" s="20"/>
      <c r="I296" s="20" t="s">
        <v>72</v>
      </c>
      <c r="J296" s="19" t="n">
        <f aca="false">'Build-Up'!F136</f>
        <v>7000</v>
      </c>
    </row>
    <row r="297" customFormat="false" ht="30" hidden="false" customHeight="true" outlineLevel="0" collapsed="false">
      <c r="A297" s="16" t="s">
        <v>387</v>
      </c>
      <c r="B297" s="17" t="str">
        <f aca="false">'Build-Up'!B137</f>
        <v>Fabricated pipe supports, galvanised / 316 SS</v>
      </c>
      <c r="C297" s="20" t="s">
        <v>1377</v>
      </c>
      <c r="D297" s="20"/>
      <c r="E297" s="20" t="s">
        <v>1389</v>
      </c>
      <c r="F297" s="20"/>
      <c r="G297" s="20" t="s">
        <v>1390</v>
      </c>
      <c r="H297" s="20"/>
      <c r="I297" s="20" t="s">
        <v>72</v>
      </c>
      <c r="J297" s="19" t="n">
        <f aca="false">'Build-Up'!F137</f>
        <v>10000</v>
      </c>
    </row>
    <row r="298" customFormat="false" ht="30" hidden="false" customHeight="true" outlineLevel="0" collapsed="false">
      <c r="A298" s="16" t="s">
        <v>389</v>
      </c>
      <c r="B298" s="17" t="str">
        <f aca="false">'Build-Up'!B138</f>
        <v>Anchor and thrust blocks at bends and valves</v>
      </c>
      <c r="C298" s="20" t="s">
        <v>1377</v>
      </c>
      <c r="D298" s="20"/>
      <c r="E298" s="20" t="s">
        <v>1391</v>
      </c>
      <c r="F298" s="20"/>
      <c r="G298" s="20" t="s">
        <v>1385</v>
      </c>
      <c r="H298" s="20"/>
      <c r="I298" s="20" t="s">
        <v>72</v>
      </c>
      <c r="J298" s="19" t="n">
        <f aca="false">'Build-Up'!F138</f>
        <v>5000</v>
      </c>
    </row>
    <row r="299" customFormat="false" ht="118.5" hidden="false" customHeight="true" outlineLevel="0" collapsed="false">
      <c r="A299" s="16" t="s">
        <v>391</v>
      </c>
      <c r="B299" s="17" t="str">
        <f aca="false">'Build-Up'!B139</f>
        <v>Float-and-tape level indicators with local readout (RFP Scope of Works, work package 7 - level instrumentation)</v>
      </c>
      <c r="C299" s="78" t="s">
        <v>1392</v>
      </c>
      <c r="D299" s="78"/>
      <c r="E299" s="20" t="s">
        <v>1393</v>
      </c>
      <c r="F299" s="20"/>
      <c r="G299" s="20" t="s">
        <v>1394</v>
      </c>
      <c r="H299" s="20"/>
      <c r="I299" s="20" t="s">
        <v>1395</v>
      </c>
      <c r="J299" s="19" t="n">
        <f aca="false">'Build-Up'!F139</f>
        <v>7000</v>
      </c>
    </row>
    <row r="300" customFormat="false" ht="30" hidden="false" customHeight="true" outlineLevel="0" collapsed="false">
      <c r="A300" s="16" t="s">
        <v>393</v>
      </c>
      <c r="B300" s="17" t="str">
        <f aca="false">'Build-Up'!B140</f>
        <v>Level transmitters with remote indication</v>
      </c>
      <c r="C300" s="20" t="s">
        <v>1396</v>
      </c>
      <c r="D300" s="20"/>
      <c r="E300" s="20" t="s">
        <v>1397</v>
      </c>
      <c r="F300" s="20"/>
      <c r="G300" s="20" t="s">
        <v>1394</v>
      </c>
      <c r="H300" s="20"/>
      <c r="I300" s="20" t="s">
        <v>72</v>
      </c>
      <c r="J300" s="19" t="n">
        <f aca="false">'Build-Up'!F140</f>
        <v>9000</v>
      </c>
    </row>
    <row r="301" customFormat="false" ht="30" hidden="false" customHeight="true" outlineLevel="0" collapsed="false">
      <c r="A301" s="16" t="s">
        <v>396</v>
      </c>
      <c r="B301" s="17" t="str">
        <f aca="false">'Build-Up'!B141</f>
        <v>Instrument cabling and conduit to readout points</v>
      </c>
      <c r="C301" s="20" t="s">
        <v>1396</v>
      </c>
      <c r="D301" s="20"/>
      <c r="E301" s="20" t="s">
        <v>1398</v>
      </c>
      <c r="F301" s="20"/>
      <c r="G301" s="20" t="s">
        <v>1399</v>
      </c>
      <c r="H301" s="20"/>
      <c r="I301" s="20" t="s">
        <v>1400</v>
      </c>
      <c r="J301" s="19" t="n">
        <f aca="false">'Build-Up'!F141</f>
        <v>4000</v>
      </c>
    </row>
    <row r="302" customFormat="false" ht="30" hidden="false" customHeight="true" outlineLevel="0" collapsed="false">
      <c r="A302" s="16" t="s">
        <v>399</v>
      </c>
      <c r="B302" s="17" t="str">
        <f aca="false">'Build-Up'!B142</f>
        <v>Pressure gauge assemblies on the outlet header (RFP Scope of Works 3.1)</v>
      </c>
      <c r="C302" s="78" t="s">
        <v>1401</v>
      </c>
      <c r="D302" s="78"/>
      <c r="E302" s="20" t="s">
        <v>1402</v>
      </c>
      <c r="F302" s="20"/>
      <c r="G302" s="20" t="s">
        <v>1293</v>
      </c>
      <c r="H302" s="20"/>
      <c r="I302" s="20" t="s">
        <v>72</v>
      </c>
      <c r="J302" s="19" t="n">
        <f aca="false">'Build-Up'!F142</f>
        <v>5000</v>
      </c>
    </row>
    <row r="303" customFormat="false" ht="30" hidden="false" customHeight="true" outlineLevel="0" collapsed="false">
      <c r="A303" s="16" t="s">
        <v>401</v>
      </c>
      <c r="B303" s="17" t="str">
        <f aca="false">'Build-Up'!B143</f>
        <v>Stainless steel sample taps on the outlet lines (RFP Scope of Works 3.1)</v>
      </c>
      <c r="C303" s="78" t="s">
        <v>1401</v>
      </c>
      <c r="D303" s="78"/>
      <c r="E303" s="20" t="s">
        <v>1403</v>
      </c>
      <c r="F303" s="20"/>
      <c r="G303" s="20" t="s">
        <v>1394</v>
      </c>
      <c r="H303" s="20"/>
      <c r="I303" s="20" t="s">
        <v>72</v>
      </c>
      <c r="J303" s="19" t="n">
        <f aca="false">'Build-Up'!F143</f>
        <v>3000</v>
      </c>
    </row>
    <row r="304" customFormat="false" ht="42" hidden="false" customHeight="true" outlineLevel="0" collapsed="false">
      <c r="A304" s="16" t="s">
        <v>403</v>
      </c>
      <c r="B304" s="17" t="str">
        <f aca="false">'Build-Up'!B144</f>
        <v>Tie-ins to the irrigation and firefighting networks</v>
      </c>
      <c r="C304" s="78" t="s">
        <v>1404</v>
      </c>
      <c r="D304" s="78"/>
      <c r="E304" s="20" t="s">
        <v>1405</v>
      </c>
      <c r="F304" s="20"/>
      <c r="G304" s="20" t="s">
        <v>1394</v>
      </c>
      <c r="H304" s="20"/>
      <c r="I304" s="20" t="s">
        <v>72</v>
      </c>
      <c r="J304" s="19" t="n">
        <f aca="false">'Build-Up'!F144</f>
        <v>12000</v>
      </c>
    </row>
    <row r="305" customFormat="false" ht="67.5" hidden="false" customHeight="true" outlineLevel="0" collapsed="false">
      <c r="A305" s="13" t="s">
        <v>94</v>
      </c>
      <c r="B305" s="13" t="s">
        <v>1150</v>
      </c>
      <c r="C305" s="13" t="s">
        <v>1151</v>
      </c>
      <c r="D305" s="13"/>
      <c r="E305" s="13" t="s">
        <v>1152</v>
      </c>
      <c r="F305" s="13"/>
      <c r="G305" s="13" t="s">
        <v>1153</v>
      </c>
      <c r="H305" s="13"/>
      <c r="I305" s="13" t="s">
        <v>1154</v>
      </c>
      <c r="J305" s="13" t="s">
        <v>457</v>
      </c>
    </row>
    <row r="306" customFormat="false" ht="80.25" hidden="false" customHeight="true" outlineLevel="0" collapsed="false">
      <c r="A306" s="16" t="s">
        <v>406</v>
      </c>
      <c r="B306" s="17" t="str">
        <f aca="false">'Build-Up'!B145</f>
        <v>Tie-in coordination and out-of-hours working</v>
      </c>
      <c r="C306" s="78" t="s">
        <v>1401</v>
      </c>
      <c r="D306" s="78"/>
      <c r="E306" s="20" t="s">
        <v>1406</v>
      </c>
      <c r="F306" s="20"/>
      <c r="G306" s="20" t="s">
        <v>1394</v>
      </c>
      <c r="H306" s="20"/>
      <c r="I306" s="20" t="s">
        <v>1407</v>
      </c>
      <c r="J306" s="19" t="n">
        <f aca="false">'Build-Up'!F145</f>
        <v>8000</v>
      </c>
    </row>
    <row r="307" customFormat="false" ht="30" hidden="false" customHeight="true" outlineLevel="0" collapsed="false">
      <c r="A307" s="16" t="s">
        <v>408</v>
      </c>
      <c r="B307" s="17" t="str">
        <f aca="false">'Build-Up'!B146</f>
        <v>Test pump and manifold hire</v>
      </c>
      <c r="C307" s="78" t="s">
        <v>1408</v>
      </c>
      <c r="D307" s="78"/>
      <c r="E307" s="20" t="s">
        <v>1409</v>
      </c>
      <c r="F307" s="20"/>
      <c r="G307" s="20" t="s">
        <v>1318</v>
      </c>
      <c r="H307" s="20"/>
      <c r="I307" s="20" t="s">
        <v>1410</v>
      </c>
      <c r="J307" s="19" t="n">
        <f aca="false">'Build-Up'!F146</f>
        <v>3000</v>
      </c>
    </row>
    <row r="308" customFormat="false" ht="30" hidden="false" customHeight="true" outlineLevel="0" collapsed="false">
      <c r="A308" s="16" t="s">
        <v>410</v>
      </c>
      <c r="B308" s="17" t="str">
        <f aca="false">'Build-Up'!B147</f>
        <v>Test and flushing water for pipework, tankered</v>
      </c>
      <c r="C308" s="20" t="s">
        <v>1411</v>
      </c>
      <c r="D308" s="20"/>
      <c r="E308" s="20" t="s">
        <v>1412</v>
      </c>
      <c r="F308" s="20"/>
      <c r="G308" s="20" t="s">
        <v>1413</v>
      </c>
      <c r="H308" s="20"/>
      <c r="I308" s="20" t="s">
        <v>72</v>
      </c>
      <c r="J308" s="19" t="n">
        <f aca="false">'Build-Up'!F147</f>
        <v>1800</v>
      </c>
    </row>
    <row r="309" customFormat="false" ht="30" hidden="false" customHeight="true" outlineLevel="0" collapsed="false">
      <c r="A309" s="16" t="s">
        <v>412</v>
      </c>
      <c r="B309" s="17" t="str">
        <f aca="false">'Build-Up'!B148</f>
        <v>Pipework testing crew, 2 No. x 12 days</v>
      </c>
      <c r="C309" s="20" t="s">
        <v>1411</v>
      </c>
      <c r="D309" s="20"/>
      <c r="E309" s="20" t="s">
        <v>1414</v>
      </c>
      <c r="F309" s="20"/>
      <c r="G309" s="20" t="s">
        <v>1415</v>
      </c>
      <c r="H309" s="20"/>
      <c r="I309" s="20" t="s">
        <v>1416</v>
      </c>
      <c r="J309" s="19" t="n">
        <f aca="false">'Build-Up'!F148</f>
        <v>3600</v>
      </c>
    </row>
    <row r="310" customFormat="false" ht="30" hidden="false" customHeight="true" outlineLevel="0" collapsed="false">
      <c r="A310" s="16" t="s">
        <v>414</v>
      </c>
      <c r="B310" s="17" t="str">
        <f aca="false">'Build-Up'!B149</f>
        <v>Test records, calibrated gauges and certificates</v>
      </c>
      <c r="C310" s="20" t="s">
        <v>1411</v>
      </c>
      <c r="D310" s="20"/>
      <c r="E310" s="20" t="s">
        <v>1417</v>
      </c>
      <c r="F310" s="20"/>
      <c r="G310" s="20" t="s">
        <v>1418</v>
      </c>
      <c r="H310" s="20"/>
      <c r="I310" s="20" t="s">
        <v>72</v>
      </c>
      <c r="J310" s="19" t="n">
        <f aca="false">'Build-Up'!F149</f>
        <v>3600</v>
      </c>
    </row>
    <row r="311" customFormat="false" ht="30" hidden="false" customHeight="true" outlineLevel="0" collapsed="false">
      <c r="A311" s="16" t="s">
        <v>417</v>
      </c>
      <c r="B311" s="17" t="str">
        <f aca="false">'Build-Up'!B150</f>
        <v>Purple/lilac colour-band painting on external piping</v>
      </c>
      <c r="C311" s="20" t="s">
        <v>1377</v>
      </c>
      <c r="D311" s="20"/>
      <c r="E311" s="20" t="s">
        <v>1419</v>
      </c>
      <c r="F311" s="20"/>
      <c r="G311" s="20" t="s">
        <v>1420</v>
      </c>
      <c r="H311" s="20"/>
      <c r="I311" s="20" t="s">
        <v>72</v>
      </c>
      <c r="J311" s="19" t="n">
        <f aca="false">'Build-Up'!F150</f>
        <v>5200</v>
      </c>
    </row>
    <row r="312" customFormat="false" ht="30" hidden="false" customHeight="true" outlineLevel="0" collapsed="false">
      <c r="A312" s="16" t="s">
        <v>419</v>
      </c>
      <c r="B312" s="17" t="str">
        <f aca="false">'Build-Up'!B151</f>
        <v>Identification tags, flow arrows and labels</v>
      </c>
      <c r="C312" s="20" t="s">
        <v>1377</v>
      </c>
      <c r="D312" s="20"/>
      <c r="E312" s="20" t="s">
        <v>1421</v>
      </c>
      <c r="F312" s="20"/>
      <c r="G312" s="20" t="s">
        <v>1422</v>
      </c>
      <c r="H312" s="20"/>
      <c r="I312" s="20" t="s">
        <v>72</v>
      </c>
      <c r="J312" s="19" t="n">
        <f aca="false">'Build-Up'!F151</f>
        <v>2800</v>
      </c>
    </row>
    <row r="313" customFormat="false" ht="30" hidden="false" customHeight="true" outlineLevel="0" collapsed="false">
      <c r="A313" s="18" t="s">
        <v>1423</v>
      </c>
      <c r="B313" s="17" t="s">
        <v>56</v>
      </c>
      <c r="C313" s="20" t="s">
        <v>1424</v>
      </c>
      <c r="D313" s="20"/>
      <c r="E313" s="20" t="s">
        <v>1242</v>
      </c>
      <c r="F313" s="20"/>
      <c r="G313" s="20" t="s">
        <v>1242</v>
      </c>
      <c r="H313" s="20"/>
      <c r="I313" s="20" t="s">
        <v>1242</v>
      </c>
      <c r="J313" s="19" t="s">
        <v>763</v>
      </c>
    </row>
    <row r="314" customFormat="false" ht="80.25" hidden="false" customHeight="true" outlineLevel="0" collapsed="false">
      <c r="A314" s="25"/>
      <c r="B314" s="25" t="s">
        <v>1425</v>
      </c>
      <c r="C314" s="25"/>
      <c r="D314" s="25"/>
      <c r="E314" s="25"/>
      <c r="F314" s="25"/>
      <c r="G314" s="25"/>
      <c r="H314" s="25"/>
      <c r="I314" s="20" t="s">
        <v>1426</v>
      </c>
      <c r="J314" s="39" t="n">
        <f aca="false">SUM(J215:J313)+'Build-Up'!F94</f>
        <v>6672006.56</v>
      </c>
    </row>
    <row r="315" customFormat="false" ht="19.5" hidden="false" customHeight="true" outlineLevel="0" collapsed="false">
      <c r="A315" s="25"/>
      <c r="B315" s="25" t="s">
        <v>1427</v>
      </c>
      <c r="C315" s="25"/>
      <c r="D315" s="25"/>
      <c r="E315" s="25"/>
      <c r="F315" s="25"/>
      <c r="G315" s="25"/>
      <c r="H315" s="25"/>
      <c r="I315" s="25"/>
      <c r="J315" s="39" t="n">
        <f aca="false">ROUND(J314-Assessment!$K$19,2)</f>
        <v>0</v>
      </c>
    </row>
  </sheetData>
  <mergeCells count="421">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64:J64"/>
    <mergeCell ref="A65:J65"/>
    <mergeCell ref="A89:J89"/>
    <mergeCell ref="A108:J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F133:I133"/>
    <mergeCell ref="F134:I134"/>
    <mergeCell ref="C137:D137"/>
    <mergeCell ref="F137:I137"/>
    <mergeCell ref="C138:D138"/>
    <mergeCell ref="F138:I138"/>
    <mergeCell ref="C139:D139"/>
    <mergeCell ref="F139:I139"/>
    <mergeCell ref="C140:D140"/>
    <mergeCell ref="F140:I140"/>
    <mergeCell ref="C141:D141"/>
    <mergeCell ref="F141:I141"/>
    <mergeCell ref="C142:D142"/>
    <mergeCell ref="F142:I142"/>
    <mergeCell ref="C143:D143"/>
    <mergeCell ref="F143:I143"/>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A162:J162"/>
    <mergeCell ref="A163:J163"/>
    <mergeCell ref="A212:J212"/>
    <mergeCell ref="A213:J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H39" location="'XER WBS'!A143"/>
    <hyperlink ref="C46" location="'XER WBS'!A145"/>
    <hyperlink ref="C47" location="'XER WBS'!A147"/>
    <hyperlink ref="D47" location="'XER WBS'!A147"/>
    <hyperlink ref="C53" location="'XER WBS'!A112"/>
    <hyperlink ref="E58" location="'XER WBS'!A112"/>
    <hyperlink ref="C67" location="'XER WBS'!A68"/>
    <hyperlink ref="C68" location="'XER WBS'!A68"/>
    <hyperlink ref="C69" location="'XER WBS'!A68"/>
    <hyperlink ref="C70" location="'XER WBS'!A68"/>
    <hyperlink ref="C71" location="'XER WBS'!A68"/>
    <hyperlink ref="C72" location="'XER WBS'!A68"/>
    <hyperlink ref="C73" location="'XER WBS'!A68"/>
    <hyperlink ref="C74" location="'XER WBS'!A68"/>
    <hyperlink ref="C75" location="'XER WBS'!A68"/>
    <hyperlink ref="C76" location="'XER WBS'!A68"/>
    <hyperlink ref="C77" location="'XER WBS'!A68"/>
    <hyperlink ref="C78" location="'XER WBS'!A68"/>
    <hyperlink ref="C79" location="'XER WBS'!A68"/>
    <hyperlink ref="C80" location="'XER WBS'!A68"/>
    <hyperlink ref="C81" location="'XER WBS'!A68"/>
    <hyperlink ref="C82" location="'XER WBS'!A68"/>
    <hyperlink ref="C83" location="'XER WBS'!A68"/>
    <hyperlink ref="C84" location="'XER WBS'!A68"/>
    <hyperlink ref="C147" location="'XER WBS'!A112"/>
    <hyperlink ref="D147" location="'XER WBS'!A127"/>
    <hyperlink ref="C148" location="'XER WBS'!A136"/>
    <hyperlink ref="D148" location="'XER WBS'!A137"/>
    <hyperlink ref="F148" location="'XER WBS'!A136"/>
    <hyperlink ref="C150" location="'XER WBS'!A121"/>
    <hyperlink ref="D150" location="'XER WBS'!A129"/>
    <hyperlink ref="E150" location="'XER WBS'!A121"/>
    <hyperlink ref="F150" location="'XER WBS'!A121"/>
    <hyperlink ref="C151" location="'XER WBS'!A128"/>
    <hyperlink ref="D151" location="'XER WBS'!A137"/>
    <hyperlink ref="E151" location="'XER WBS'!A128"/>
    <hyperlink ref="C152" location="'XER WBS'!A128"/>
    <hyperlink ref="D152" location="'XER WBS'!A132"/>
    <hyperlink ref="C156" location="'Programme'!A49"/>
    <hyperlink ref="D156" location="'Programme'!A49"/>
    <hyperlink ref="C157" location="'Programme'!A49"/>
    <hyperlink ref="D157" location="'Programme'!A49"/>
    <hyperlink ref="C158" location="'Programme'!A21"/>
    <hyperlink ref="D158" location="'Programme'!A46"/>
    <hyperlink ref="C159" location="'Programme'!A49"/>
    <hyperlink ref="D159" location="'Programme'!A49"/>
    <hyperlink ref="C160" location="'XER WBS'!A112"/>
    <hyperlink ref="D160" location="'Programme'!A46"/>
    <hyperlink ref="A165" location="'Build-Up'!A9"/>
    <hyperlink ref="G165" location="'Programme'!A156"/>
    <hyperlink ref="A166" location="'Build-Up'!A10"/>
    <hyperlink ref="G166" location="'Programme'!A157"/>
    <hyperlink ref="A167" location="'Build-Up'!A11"/>
    <hyperlink ref="G167" location="'Programme'!A158"/>
    <hyperlink ref="A168" location="'Build-Up'!A12"/>
    <hyperlink ref="G168" location="'Programme'!A159"/>
    <hyperlink ref="A169" location="'Build-Up'!A13"/>
    <hyperlink ref="G169" location="'Programme'!A160"/>
    <hyperlink ref="A170" location="'Build-Up'!A14"/>
    <hyperlink ref="G170" location="'Programme'!A49"/>
    <hyperlink ref="A171" location="'Build-Up'!A15"/>
    <hyperlink ref="G171" location="'Programme'!A49"/>
    <hyperlink ref="A172" location="'Build-Up'!A16"/>
    <hyperlink ref="G172" location="'Programme'!A49"/>
    <hyperlink ref="A173" location="'Build-Up'!A17"/>
    <hyperlink ref="G173" location="'Programme'!A49"/>
    <hyperlink ref="A174" location="'Build-Up'!A18"/>
    <hyperlink ref="G174" location="'Programme'!A49"/>
    <hyperlink ref="A176" location="'Build-Up'!A19"/>
    <hyperlink ref="G176" location="'Programme'!A53"/>
    <hyperlink ref="A177" location="'Build-Up'!A20"/>
    <hyperlink ref="G177" location="'Programme'!A49"/>
    <hyperlink ref="A178" location="'Build-Up'!A21"/>
    <hyperlink ref="G178" location="'Programme'!A49"/>
    <hyperlink ref="A179" location="'Build-Up'!A74"/>
    <hyperlink ref="G179" location="'Programme'!A154"/>
    <hyperlink ref="A180" location="'Build-Up'!A75"/>
    <hyperlink ref="G180" location="'Programme'!A149"/>
    <hyperlink ref="A181" location="'Build-Up'!A77"/>
    <hyperlink ref="G181" location="'Programme'!A52"/>
    <hyperlink ref="A182" location="'Build-Up'!A79"/>
    <hyperlink ref="G182" location="'Programme'!A52"/>
    <hyperlink ref="A183" location="'Build-Up'!A80"/>
    <hyperlink ref="G183" location="'Programme'!A50"/>
    <hyperlink ref="A184" location="'Build-Up'!A81"/>
    <hyperlink ref="G184" location="'Programme'!A49"/>
    <hyperlink ref="A185" location="'Build-Up'!A82"/>
    <hyperlink ref="G185" location="'Programme'!A49"/>
    <hyperlink ref="A186" location="'Build-Up'!A83"/>
    <hyperlink ref="G186" location="'Programme'!B87"/>
    <hyperlink ref="A187" location="'Build-Up'!A84"/>
    <hyperlink ref="G187" location="'Programme'!A51"/>
    <hyperlink ref="A188" location="'Build-Up'!A87"/>
    <hyperlink ref="G188" location="'Programme'!A51"/>
    <hyperlink ref="A189" location="'Build-Up'!A100"/>
    <hyperlink ref="A190" location="'Build-Up'!A101"/>
    <hyperlink ref="G190" location="'Programme'!A40"/>
    <hyperlink ref="A191" location="'Build-Up'!A102"/>
    <hyperlink ref="A192" location="'Build-Up'!A103"/>
    <hyperlink ref="A193" location="'Build-Up'!A104"/>
    <hyperlink ref="A195" location="'Build-Up'!A112"/>
    <hyperlink ref="G195" location="'Programme'!A43"/>
    <hyperlink ref="A196" location="'Build-Up'!A113"/>
    <hyperlink ref="G196" location="'Programme'!A43"/>
    <hyperlink ref="A197" location="'Build-Up'!A115"/>
    <hyperlink ref="G197" location="'Programme'!A36"/>
    <hyperlink ref="A198" location="'Build-Up'!A123"/>
    <hyperlink ref="A199" location="'Build-Up'!A121"/>
    <hyperlink ref="A215" location="'Build-Up'!A9"/>
    <hyperlink ref="A216" location="'Build-Up'!A10"/>
    <hyperlink ref="A217" location="'Build-Up'!A11"/>
    <hyperlink ref="C217" location="'XER WBS'!A107"/>
    <hyperlink ref="A218" location="'Build-Up'!A12"/>
    <hyperlink ref="A219" location="'Build-Up'!A13"/>
    <hyperlink ref="C219" location="'XER WBS'!A112"/>
    <hyperlink ref="A220" location="'Build-Up'!A14"/>
    <hyperlink ref="C220" location="'XER WBS'!A104"/>
    <hyperlink ref="A221" location="'Build-Up'!A15"/>
    <hyperlink ref="C221" location="'XER WBS'!A104"/>
    <hyperlink ref="A222" location="'Build-Up'!A16"/>
    <hyperlink ref="C222" location="'XER WBS'!A104"/>
    <hyperlink ref="A223" location="'Build-Up'!A17"/>
    <hyperlink ref="C223" location="'XER WBS'!A104"/>
    <hyperlink ref="A224" location="'Build-Up'!A18"/>
    <hyperlink ref="C224" location="'XER WBS'!A104"/>
    <hyperlink ref="A225" location="'Build-Up'!A19"/>
    <hyperlink ref="C225" location="'XER WBS'!A112"/>
    <hyperlink ref="A226" location="'Build-Up'!A20"/>
    <hyperlink ref="C226" location="'XER WBS'!A104"/>
    <hyperlink ref="A227" location="'Build-Up'!A21"/>
    <hyperlink ref="C227" location="'XER WBS'!A104"/>
    <hyperlink ref="A229" location="'Build-Up'!A22"/>
    <hyperlink ref="C229" location="'XER WBS'!A104"/>
    <hyperlink ref="A230" location="'Build-Up'!A23"/>
    <hyperlink ref="C230" location="'XER WBS'!A147"/>
    <hyperlink ref="A231" location="'Build-Up'!A24"/>
    <hyperlink ref="C231" location="'XER WBS'!A147"/>
    <hyperlink ref="A232" location="'Build-Up'!A25"/>
    <hyperlink ref="A233" location="'Build-Up'!A26"/>
    <hyperlink ref="A234" location="'Build-Up'!A27"/>
    <hyperlink ref="A235" location="'Build-Up'!A28"/>
    <hyperlink ref="A236" location="'Build-Up'!A29"/>
    <hyperlink ref="A237" location="'Build-Up'!A30"/>
    <hyperlink ref="C237" location="'XER WBS'!A147"/>
    <hyperlink ref="A238" location="'Build-Up'!A31"/>
    <hyperlink ref="C238" location="'XER WBS'!A148"/>
    <hyperlink ref="A239" location="'Build-Up'!A37"/>
    <hyperlink ref="C239" location="'XER WBS'!A92"/>
    <hyperlink ref="A240" location="'Build-Up'!A38"/>
    <hyperlink ref="C240" location="'XER WBS'!A92"/>
    <hyperlink ref="A241" location="'Build-Up'!A39"/>
    <hyperlink ref="C241" location="'XER WBS'!A111"/>
    <hyperlink ref="A243" location="'Build-Up'!A40"/>
    <hyperlink ref="C243" location="'XER WBS'!A73"/>
    <hyperlink ref="A244" location="'Build-Up'!A46"/>
    <hyperlink ref="C244" location="'XER WBS'!A107"/>
    <hyperlink ref="A246" location="'Build-Up'!A68"/>
    <hyperlink ref="C246" location="'XER WBS'!A110"/>
    <hyperlink ref="A247" location="'Build-Up'!A74"/>
    <hyperlink ref="C247" location="'XER WBS'!A121"/>
    <hyperlink ref="A248" location="'Build-Up'!A75"/>
    <hyperlink ref="C248" location="'XER WBS'!A112"/>
    <hyperlink ref="A249" location="'Build-Up'!A76"/>
    <hyperlink ref="C249" location="'XER WBS'!A121"/>
    <hyperlink ref="A250" location="'Build-Up'!A77"/>
    <hyperlink ref="A251" location="'Build-Up'!A78"/>
    <hyperlink ref="A252" location="'Build-Up'!A79"/>
    <hyperlink ref="A253" location="'Build-Up'!A80"/>
    <hyperlink ref="C253" location="'XER WBS'!A104"/>
    <hyperlink ref="A254" location="'Build-Up'!A81"/>
    <hyperlink ref="C254" location="'XER WBS'!A104"/>
    <hyperlink ref="A256" location="'Build-Up'!A82"/>
    <hyperlink ref="C256" location="'XER WBS'!A104"/>
    <hyperlink ref="A257" location="'Build-Up'!A83"/>
    <hyperlink ref="A258" location="'Build-Up'!A84"/>
    <hyperlink ref="C258" location="'XER WBS'!A115"/>
    <hyperlink ref="A259" location="'Build-Up'!A85"/>
    <hyperlink ref="A260" location="'Build-Up'!A86"/>
    <hyperlink ref="C260" location="'XER WBS'!A112"/>
    <hyperlink ref="A261" location="'Build-Up'!A87"/>
    <hyperlink ref="A262" location="'Build-Up'!A88"/>
    <hyperlink ref="A263" location="'Build-Up'!A94"/>
    <hyperlink ref="C263" location="'XER WBS'!A90"/>
    <hyperlink ref="A264" location="'Build-Up'!A100"/>
    <hyperlink ref="A265" location="'Build-Up'!A101"/>
    <hyperlink ref="A266" location="'Build-Up'!A102"/>
    <hyperlink ref="A267" location="'Build-Up'!A103"/>
    <hyperlink ref="A268" location="'Build-Up'!A104"/>
    <hyperlink ref="A269" location="'Build-Up'!A105"/>
    <hyperlink ref="A270" location="'Build-Up'!A106"/>
    <hyperlink ref="A272" location="'Build-Up'!A107"/>
    <hyperlink ref="A273" location="'Build-Up'!A108"/>
    <hyperlink ref="A274" location="'Build-Up'!A109"/>
    <hyperlink ref="A275" location="'Build-Up'!A110"/>
    <hyperlink ref="A276" location="'Build-Up'!A111"/>
    <hyperlink ref="A277" location="'Build-Up'!A112"/>
    <hyperlink ref="A278" location="'Build-Up'!A113"/>
    <hyperlink ref="A279" location="'Build-Up'!A114"/>
    <hyperlink ref="C279" location="'XER WBS'!A134"/>
    <hyperlink ref="A280" location="'Build-Up'!A115"/>
    <hyperlink ref="A281" location="'Build-Up'!A116"/>
    <hyperlink ref="A282" location="'Build-Up'!A117"/>
    <hyperlink ref="A283" location="'Build-Up'!A118"/>
    <hyperlink ref="A284" location="'Build-Up'!A119"/>
    <hyperlink ref="A285" location="'Build-Up'!A120"/>
    <hyperlink ref="C285" location="'XER WBS'!A148"/>
    <hyperlink ref="A286" location="'Build-Up'!A121"/>
    <hyperlink ref="A287" location="'Build-Up'!A122"/>
    <hyperlink ref="A289" location="'Build-Up'!A123"/>
    <hyperlink ref="A290" location="'Build-Up'!A124"/>
    <hyperlink ref="A291" location="'Build-Up'!A131"/>
    <hyperlink ref="C291" location="'XER WBS'!A116"/>
    <hyperlink ref="A292" location="'Build-Up'!A132"/>
    <hyperlink ref="A293" location="'Build-Up'!A133"/>
    <hyperlink ref="A294" location="'Build-Up'!A134"/>
    <hyperlink ref="A295" location="'Build-Up'!A135"/>
    <hyperlink ref="C295" location="'XER WBS'!A133"/>
    <hyperlink ref="A296" location="'Build-Up'!A136"/>
    <hyperlink ref="A297" location="'Build-Up'!A137"/>
    <hyperlink ref="A298" location="'Build-Up'!A138"/>
    <hyperlink ref="A299" location="'Build-Up'!A139"/>
    <hyperlink ref="C299" location="'XER WBS'!A134"/>
    <hyperlink ref="A300" location="'Build-Up'!A140"/>
    <hyperlink ref="A301" location="'Build-Up'!A141"/>
    <hyperlink ref="A302" location="'Build-Up'!A142"/>
    <hyperlink ref="C302" location="'XER WBS'!A142"/>
    <hyperlink ref="A303" location="'Build-Up'!A143"/>
    <hyperlink ref="C303" location="'XER WBS'!A142"/>
    <hyperlink ref="A304" location="'Build-Up'!A144"/>
    <hyperlink ref="C304" location="'XER WBS'!A142"/>
    <hyperlink ref="A306" location="'Build-Up'!A145"/>
    <hyperlink ref="C306" location="'XER WBS'!A142"/>
    <hyperlink ref="A307" location="'Build-Up'!A146"/>
    <hyperlink ref="C307" location="'XER WBS'!A140"/>
    <hyperlink ref="A308" location="'Build-Up'!A147"/>
    <hyperlink ref="A309" location="'Build-Up'!A148"/>
    <hyperlink ref="A310" location="'Build-Up'!A149"/>
    <hyperlink ref="A311" location="'Build-Up'!A150"/>
    <hyperlink ref="A312" location="'Build-Up'!A15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5" man="true" max="16383" min="0"/>
    <brk id="85" man="true" max="16383" min="0"/>
    <brk id="101" man="true" max="16383" min="0"/>
    <brk id="133" man="true" max="16383" min="0"/>
    <brk id="154" man="true" max="16383" min="0"/>
    <brk id="174" man="true" max="16383" min="0"/>
    <brk id="193" man="true" max="16383" min="0"/>
    <brk id="204" man="true" max="16383" min="0"/>
    <brk id="211" man="true" max="16383" min="0"/>
    <brk id="227" man="true" max="16383" min="0"/>
    <brk id="241" man="true" max="16383" min="0"/>
    <brk id="254" man="true" max="16383" min="0"/>
    <brk id="270" man="true" max="16383" min="0"/>
    <brk id="287" man="true" max="16383" min="0"/>
    <brk id="304"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1428</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1429</v>
      </c>
      <c r="B4" s="11"/>
      <c r="C4" s="11"/>
      <c r="D4" s="11"/>
      <c r="E4" s="11"/>
      <c r="F4" s="11"/>
      <c r="G4" s="11"/>
      <c r="H4" s="11"/>
      <c r="I4" s="11"/>
      <c r="J4" s="11"/>
      <c r="K4" s="11"/>
      <c r="L4" s="11"/>
      <c r="M4" s="11"/>
    </row>
    <row r="5" customFormat="false" ht="15" hidden="false" customHeight="true" outlineLevel="0" collapsed="false">
      <c r="B5" s="36" t="s">
        <v>1430</v>
      </c>
      <c r="M5" s="36" t="s">
        <v>90</v>
      </c>
    </row>
    <row r="6" customFormat="false" ht="21" hidden="false" customHeight="true" outlineLevel="0" collapsed="false">
      <c r="A6" s="15" t="s">
        <v>1431</v>
      </c>
      <c r="B6" s="15"/>
      <c r="C6" s="15"/>
      <c r="D6" s="15"/>
      <c r="E6" s="15"/>
      <c r="F6" s="15"/>
      <c r="G6" s="15"/>
      <c r="H6" s="15"/>
      <c r="I6" s="15"/>
      <c r="J6" s="15"/>
      <c r="K6" s="15"/>
      <c r="L6" s="15"/>
      <c r="M6" s="15"/>
    </row>
    <row r="7" customFormat="false" ht="31.5" hidden="false" customHeight="true" outlineLevel="0" collapsed="false">
      <c r="A7" s="13" t="s">
        <v>1432</v>
      </c>
      <c r="B7" s="13" t="s">
        <v>1433</v>
      </c>
      <c r="C7" s="13" t="s">
        <v>1038</v>
      </c>
      <c r="D7" s="13" t="s">
        <v>1434</v>
      </c>
      <c r="E7" s="13" t="s">
        <v>1435</v>
      </c>
      <c r="F7" s="13" t="s">
        <v>1436</v>
      </c>
      <c r="G7" s="13"/>
      <c r="H7" s="13"/>
      <c r="I7" s="13"/>
      <c r="J7" s="13"/>
      <c r="K7" s="13"/>
      <c r="L7" s="13"/>
      <c r="M7" s="13"/>
    </row>
    <row r="8" customFormat="false" ht="18" hidden="false" customHeight="true" outlineLevel="0" collapsed="false">
      <c r="A8" s="18" t="s">
        <v>1437</v>
      </c>
      <c r="B8" s="17" t="s">
        <v>1438</v>
      </c>
      <c r="C8" s="54" t="s">
        <v>1439</v>
      </c>
      <c r="D8" s="79" t="n">
        <v>10</v>
      </c>
      <c r="E8" s="79" t="n">
        <v>70</v>
      </c>
      <c r="F8" s="20" t="s">
        <v>1440</v>
      </c>
      <c r="G8" s="20"/>
      <c r="H8" s="20"/>
      <c r="I8" s="20"/>
      <c r="J8" s="20"/>
      <c r="K8" s="20"/>
      <c r="L8" s="20"/>
      <c r="M8" s="20"/>
    </row>
    <row r="9" customFormat="false" ht="18" hidden="false" customHeight="true" outlineLevel="0" collapsed="false">
      <c r="A9" s="18" t="s">
        <v>1441</v>
      </c>
      <c r="B9" s="17" t="s">
        <v>1442</v>
      </c>
      <c r="C9" s="54" t="s">
        <v>1443</v>
      </c>
      <c r="D9" s="79" t="n">
        <v>10</v>
      </c>
      <c r="E9" s="79" t="n">
        <v>60</v>
      </c>
      <c r="F9" s="20" t="s">
        <v>1444</v>
      </c>
      <c r="G9" s="20"/>
      <c r="H9" s="20"/>
      <c r="I9" s="20"/>
      <c r="J9" s="20"/>
      <c r="K9" s="20"/>
      <c r="L9" s="20"/>
      <c r="M9" s="20"/>
    </row>
    <row r="10" customFormat="false" ht="18" hidden="false" customHeight="true" outlineLevel="0" collapsed="false">
      <c r="A10" s="18" t="s">
        <v>1445</v>
      </c>
      <c r="B10" s="17" t="s">
        <v>1446</v>
      </c>
      <c r="C10" s="54" t="s">
        <v>1447</v>
      </c>
      <c r="D10" s="79" t="n">
        <v>8</v>
      </c>
      <c r="E10" s="79" t="n">
        <v>40</v>
      </c>
      <c r="F10" s="20" t="s">
        <v>1444</v>
      </c>
      <c r="G10" s="20"/>
      <c r="H10" s="20"/>
      <c r="I10" s="20"/>
      <c r="J10" s="20"/>
      <c r="K10" s="20"/>
      <c r="L10" s="20"/>
      <c r="M10" s="20"/>
    </row>
    <row r="11" customFormat="false" ht="18" hidden="false" customHeight="true" outlineLevel="0" collapsed="false">
      <c r="A11" s="18" t="s">
        <v>1448</v>
      </c>
      <c r="B11" s="17" t="s">
        <v>1449</v>
      </c>
      <c r="C11" s="54" t="s">
        <v>1439</v>
      </c>
      <c r="D11" s="79" t="n">
        <v>10</v>
      </c>
      <c r="E11" s="79" t="n">
        <v>70</v>
      </c>
      <c r="F11" s="20" t="s">
        <v>1440</v>
      </c>
      <c r="G11" s="20"/>
      <c r="H11" s="20"/>
      <c r="I11" s="20"/>
      <c r="J11" s="20"/>
      <c r="K11" s="20"/>
      <c r="L11" s="20"/>
      <c r="M11" s="20"/>
    </row>
    <row r="12" customFormat="false" ht="18" hidden="false" customHeight="true" outlineLevel="0" collapsed="false">
      <c r="A12" s="18" t="s">
        <v>1450</v>
      </c>
      <c r="B12" s="17" t="s">
        <v>1451</v>
      </c>
      <c r="C12" s="54" t="s">
        <v>1443</v>
      </c>
      <c r="D12" s="79" t="n">
        <v>10</v>
      </c>
      <c r="E12" s="79" t="n">
        <v>60</v>
      </c>
      <c r="F12" s="20" t="s">
        <v>1444</v>
      </c>
      <c r="G12" s="20"/>
      <c r="H12" s="20"/>
      <c r="I12" s="20"/>
      <c r="J12" s="20"/>
      <c r="K12" s="20"/>
      <c r="L12" s="20"/>
      <c r="M12" s="20"/>
    </row>
    <row r="13" customFormat="false" ht="18" hidden="false" customHeight="true" outlineLevel="0" collapsed="false">
      <c r="A13" s="18" t="s">
        <v>1452</v>
      </c>
      <c r="B13" s="17" t="s">
        <v>1453</v>
      </c>
      <c r="C13" s="54" t="s">
        <v>1454</v>
      </c>
      <c r="D13" s="79" t="n">
        <v>10</v>
      </c>
      <c r="E13" s="79" t="n">
        <v>50</v>
      </c>
      <c r="F13" s="20" t="s">
        <v>1444</v>
      </c>
      <c r="G13" s="20"/>
      <c r="H13" s="20"/>
      <c r="I13" s="20"/>
      <c r="J13" s="20"/>
      <c r="K13" s="20"/>
      <c r="L13" s="20"/>
      <c r="M13" s="20"/>
    </row>
    <row r="15" customFormat="false" ht="21" hidden="false" customHeight="true" outlineLevel="0" collapsed="false">
      <c r="A15" s="15" t="s">
        <v>1455</v>
      </c>
      <c r="B15" s="15"/>
      <c r="C15" s="15"/>
      <c r="D15" s="15"/>
      <c r="E15" s="15"/>
      <c r="F15" s="15"/>
      <c r="G15" s="15"/>
      <c r="H15" s="15"/>
      <c r="I15" s="15"/>
      <c r="J15" s="15"/>
      <c r="K15" s="15"/>
      <c r="L15" s="15"/>
      <c r="M15" s="15"/>
    </row>
    <row r="16" customFormat="false" ht="31.5" hidden="false" customHeight="true" outlineLevel="0" collapsed="false">
      <c r="A16" s="13" t="s">
        <v>1456</v>
      </c>
      <c r="B16" s="13" t="s">
        <v>1457</v>
      </c>
      <c r="C16" s="13" t="s">
        <v>1458</v>
      </c>
      <c r="D16" s="13" t="s">
        <v>1459</v>
      </c>
      <c r="E16" s="13" t="s">
        <v>1460</v>
      </c>
      <c r="F16" s="13"/>
      <c r="G16" s="13"/>
      <c r="H16" s="13"/>
      <c r="I16" s="13"/>
      <c r="J16" s="13"/>
      <c r="K16" s="13"/>
      <c r="L16" s="13"/>
      <c r="M16" s="13"/>
    </row>
    <row r="17" customFormat="false" ht="15.75" hidden="false" customHeight="true" outlineLevel="0" collapsed="false">
      <c r="A17" s="18" t="s">
        <v>1461</v>
      </c>
      <c r="B17" s="17" t="s">
        <v>1462</v>
      </c>
      <c r="C17" s="18" t="s">
        <v>1463</v>
      </c>
      <c r="D17" s="79" t="n">
        <v>0</v>
      </c>
      <c r="E17" s="20" t="s">
        <v>1462</v>
      </c>
      <c r="F17" s="20"/>
      <c r="G17" s="20"/>
      <c r="H17" s="20"/>
      <c r="I17" s="20"/>
      <c r="J17" s="20"/>
      <c r="K17" s="20"/>
      <c r="L17" s="20"/>
      <c r="M17" s="20"/>
    </row>
    <row r="18" customFormat="false" ht="15.75" hidden="false" customHeight="true" outlineLevel="0" collapsed="false">
      <c r="A18" s="18" t="s">
        <v>1464</v>
      </c>
      <c r="B18" s="17" t="s">
        <v>1465</v>
      </c>
      <c r="C18" s="18" t="s">
        <v>1461</v>
      </c>
      <c r="D18" s="79" t="n">
        <v>1</v>
      </c>
      <c r="E18" s="20" t="s">
        <v>1466</v>
      </c>
      <c r="F18" s="20"/>
      <c r="G18" s="20"/>
      <c r="H18" s="20"/>
      <c r="I18" s="20"/>
      <c r="J18" s="20"/>
      <c r="K18" s="20"/>
      <c r="L18" s="20"/>
      <c r="M18" s="20"/>
    </row>
    <row r="19" customFormat="false" ht="15.75" hidden="false" customHeight="true" outlineLevel="0" collapsed="false">
      <c r="A19" s="18" t="s">
        <v>1467</v>
      </c>
      <c r="B19" s="17" t="s">
        <v>1468</v>
      </c>
      <c r="C19" s="18" t="s">
        <v>1464</v>
      </c>
      <c r="D19" s="79" t="n">
        <v>2</v>
      </c>
      <c r="E19" s="20" t="s">
        <v>1469</v>
      </c>
      <c r="F19" s="20"/>
      <c r="G19" s="20"/>
      <c r="H19" s="20"/>
      <c r="I19" s="20"/>
      <c r="J19" s="20"/>
      <c r="K19" s="20"/>
      <c r="L19" s="20"/>
      <c r="M19" s="20"/>
    </row>
    <row r="20" customFormat="false" ht="15.75" hidden="false" customHeight="true" outlineLevel="0" collapsed="false">
      <c r="A20" s="18" t="s">
        <v>1470</v>
      </c>
      <c r="B20" s="17" t="s">
        <v>1471</v>
      </c>
      <c r="C20" s="18" t="s">
        <v>1464</v>
      </c>
      <c r="D20" s="79" t="n">
        <v>2</v>
      </c>
      <c r="E20" s="20" t="s">
        <v>1472</v>
      </c>
      <c r="F20" s="20"/>
      <c r="G20" s="20"/>
      <c r="H20" s="20"/>
      <c r="I20" s="20"/>
      <c r="J20" s="20"/>
      <c r="K20" s="20"/>
      <c r="L20" s="20"/>
      <c r="M20" s="20"/>
    </row>
    <row r="21" customFormat="false" ht="15.75" hidden="false" customHeight="true" outlineLevel="0" collapsed="false">
      <c r="A21" s="18" t="s">
        <v>1473</v>
      </c>
      <c r="B21" s="17" t="s">
        <v>1474</v>
      </c>
      <c r="C21" s="18" t="s">
        <v>1464</v>
      </c>
      <c r="D21" s="79" t="n">
        <v>2</v>
      </c>
      <c r="E21" s="20" t="s">
        <v>1475</v>
      </c>
      <c r="F21" s="20"/>
      <c r="G21" s="20"/>
      <c r="H21" s="20"/>
      <c r="I21" s="20"/>
      <c r="J21" s="20"/>
      <c r="K21" s="20"/>
      <c r="L21" s="20"/>
      <c r="M21" s="20"/>
    </row>
    <row r="22" customFormat="false" ht="15.75" hidden="false" customHeight="true" outlineLevel="0" collapsed="false">
      <c r="A22" s="18" t="s">
        <v>1476</v>
      </c>
      <c r="B22" s="17" t="s">
        <v>1477</v>
      </c>
      <c r="C22" s="18" t="s">
        <v>1473</v>
      </c>
      <c r="D22" s="79" t="n">
        <v>3</v>
      </c>
      <c r="E22" s="20" t="s">
        <v>1478</v>
      </c>
      <c r="F22" s="20"/>
      <c r="G22" s="20"/>
      <c r="H22" s="20"/>
      <c r="I22" s="20"/>
      <c r="J22" s="20"/>
      <c r="K22" s="20"/>
      <c r="L22" s="20"/>
      <c r="M22" s="20"/>
    </row>
    <row r="23" customFormat="false" ht="15.75" hidden="false" customHeight="true" outlineLevel="0" collapsed="false">
      <c r="A23" s="18" t="s">
        <v>1479</v>
      </c>
      <c r="B23" s="17" t="s">
        <v>1480</v>
      </c>
      <c r="C23" s="18" t="s">
        <v>1473</v>
      </c>
      <c r="D23" s="79" t="n">
        <v>3</v>
      </c>
      <c r="E23" s="20" t="s">
        <v>1481</v>
      </c>
      <c r="F23" s="20"/>
      <c r="G23" s="20"/>
      <c r="H23" s="20"/>
      <c r="I23" s="20"/>
      <c r="J23" s="20"/>
      <c r="K23" s="20"/>
      <c r="L23" s="20"/>
      <c r="M23" s="20"/>
    </row>
    <row r="24" customFormat="false" ht="15.75" hidden="false" customHeight="true" outlineLevel="0" collapsed="false">
      <c r="A24" s="18" t="s">
        <v>1482</v>
      </c>
      <c r="B24" s="17" t="s">
        <v>1483</v>
      </c>
      <c r="C24" s="18" t="s">
        <v>1464</v>
      </c>
      <c r="D24" s="79" t="n">
        <v>2</v>
      </c>
      <c r="E24" s="20" t="s">
        <v>1484</v>
      </c>
      <c r="F24" s="20"/>
      <c r="G24" s="20"/>
      <c r="H24" s="20"/>
      <c r="I24" s="20"/>
      <c r="J24" s="20"/>
      <c r="K24" s="20"/>
      <c r="L24" s="20"/>
      <c r="M24" s="20"/>
    </row>
    <row r="25" customFormat="false" ht="15.75" hidden="false" customHeight="true" outlineLevel="0" collapsed="false">
      <c r="A25" s="18" t="s">
        <v>1485</v>
      </c>
      <c r="B25" s="17" t="s">
        <v>1477</v>
      </c>
      <c r="C25" s="18" t="s">
        <v>1482</v>
      </c>
      <c r="D25" s="79" t="n">
        <v>3</v>
      </c>
      <c r="E25" s="20" t="s">
        <v>1486</v>
      </c>
      <c r="F25" s="20"/>
      <c r="G25" s="20"/>
      <c r="H25" s="20"/>
      <c r="I25" s="20"/>
      <c r="J25" s="20"/>
      <c r="K25" s="20"/>
      <c r="L25" s="20"/>
      <c r="M25" s="20"/>
    </row>
    <row r="26" customFormat="false" ht="15.75" hidden="false" customHeight="true" outlineLevel="0" collapsed="false">
      <c r="A26" s="18" t="s">
        <v>1487</v>
      </c>
      <c r="B26" s="17" t="s">
        <v>1480</v>
      </c>
      <c r="C26" s="18" t="s">
        <v>1482</v>
      </c>
      <c r="D26" s="79" t="n">
        <v>3</v>
      </c>
      <c r="E26" s="20" t="s">
        <v>1488</v>
      </c>
      <c r="F26" s="20"/>
      <c r="G26" s="20"/>
      <c r="H26" s="20"/>
      <c r="I26" s="20"/>
      <c r="J26" s="20"/>
      <c r="K26" s="20"/>
      <c r="L26" s="20"/>
      <c r="M26" s="20"/>
    </row>
    <row r="27" customFormat="false" ht="15.75" hidden="false" customHeight="true" outlineLevel="0" collapsed="false">
      <c r="A27" s="18" t="s">
        <v>1489</v>
      </c>
      <c r="B27" s="17" t="s">
        <v>1490</v>
      </c>
      <c r="C27" s="18" t="s">
        <v>1464</v>
      </c>
      <c r="D27" s="79" t="n">
        <v>2</v>
      </c>
      <c r="E27" s="20" t="s">
        <v>1491</v>
      </c>
      <c r="F27" s="20"/>
      <c r="G27" s="20"/>
      <c r="H27" s="20"/>
      <c r="I27" s="20"/>
      <c r="J27" s="20"/>
      <c r="K27" s="20"/>
      <c r="L27" s="20"/>
      <c r="M27" s="20"/>
    </row>
    <row r="28" customFormat="false" ht="15.75" hidden="false" customHeight="true" outlineLevel="0" collapsed="false">
      <c r="A28" s="18" t="s">
        <v>1492</v>
      </c>
      <c r="B28" s="17" t="s">
        <v>1493</v>
      </c>
      <c r="C28" s="18" t="s">
        <v>1464</v>
      </c>
      <c r="D28" s="79" t="n">
        <v>2</v>
      </c>
      <c r="E28" s="20" t="s">
        <v>1494</v>
      </c>
      <c r="F28" s="20"/>
      <c r="G28" s="20"/>
      <c r="H28" s="20"/>
      <c r="I28" s="20"/>
      <c r="J28" s="20"/>
      <c r="K28" s="20"/>
      <c r="L28" s="20"/>
      <c r="M28" s="20"/>
    </row>
    <row r="29" customFormat="false" ht="15.75" hidden="false" customHeight="true" outlineLevel="0" collapsed="false">
      <c r="A29" s="18" t="s">
        <v>1495</v>
      </c>
      <c r="B29" s="17" t="s">
        <v>1496</v>
      </c>
      <c r="C29" s="18" t="s">
        <v>1461</v>
      </c>
      <c r="D29" s="79" t="n">
        <v>1</v>
      </c>
      <c r="E29" s="20" t="s">
        <v>1497</v>
      </c>
      <c r="F29" s="20"/>
      <c r="G29" s="20"/>
      <c r="H29" s="20"/>
      <c r="I29" s="20"/>
      <c r="J29" s="20"/>
      <c r="K29" s="20"/>
      <c r="L29" s="20"/>
      <c r="M29" s="20"/>
    </row>
    <row r="30" customFormat="false" ht="15.75" hidden="false" customHeight="true" outlineLevel="0" collapsed="false">
      <c r="A30" s="18" t="s">
        <v>1498</v>
      </c>
      <c r="B30" s="17" t="s">
        <v>1499</v>
      </c>
      <c r="C30" s="18" t="s">
        <v>1495</v>
      </c>
      <c r="D30" s="79" t="n">
        <v>2</v>
      </c>
      <c r="E30" s="20" t="s">
        <v>1500</v>
      </c>
      <c r="F30" s="20"/>
      <c r="G30" s="20"/>
      <c r="H30" s="20"/>
      <c r="I30" s="20"/>
      <c r="J30" s="20"/>
      <c r="K30" s="20"/>
      <c r="L30" s="20"/>
      <c r="M30" s="20"/>
    </row>
    <row r="31" customFormat="false" ht="15.75" hidden="false" customHeight="true" outlineLevel="0" collapsed="false">
      <c r="A31" s="18" t="s">
        <v>1501</v>
      </c>
      <c r="B31" s="17" t="s">
        <v>1502</v>
      </c>
      <c r="C31" s="18" t="s">
        <v>1495</v>
      </c>
      <c r="D31" s="79" t="n">
        <v>2</v>
      </c>
      <c r="E31" s="20" t="s">
        <v>1503</v>
      </c>
      <c r="F31" s="20"/>
      <c r="G31" s="20"/>
      <c r="H31" s="20"/>
      <c r="I31" s="20"/>
      <c r="J31" s="20"/>
      <c r="K31" s="20"/>
      <c r="L31" s="20"/>
      <c r="M31" s="20"/>
    </row>
    <row r="32" customFormat="false" ht="15.75" hidden="false" customHeight="true" outlineLevel="0" collapsed="false">
      <c r="A32" s="18" t="s">
        <v>1504</v>
      </c>
      <c r="B32" s="17" t="s">
        <v>1505</v>
      </c>
      <c r="C32" s="18" t="s">
        <v>1461</v>
      </c>
      <c r="D32" s="79" t="n">
        <v>1</v>
      </c>
      <c r="E32" s="20" t="s">
        <v>1506</v>
      </c>
      <c r="F32" s="20"/>
      <c r="G32" s="20"/>
      <c r="H32" s="20"/>
      <c r="I32" s="20"/>
      <c r="J32" s="20"/>
      <c r="K32" s="20"/>
      <c r="L32" s="20"/>
      <c r="M32" s="20"/>
    </row>
    <row r="33" customFormat="false" ht="15.75" hidden="false" customHeight="true" outlineLevel="0" collapsed="false">
      <c r="A33" s="18" t="s">
        <v>1507</v>
      </c>
      <c r="B33" s="17" t="s">
        <v>1508</v>
      </c>
      <c r="C33" s="18" t="s">
        <v>1504</v>
      </c>
      <c r="D33" s="79" t="n">
        <v>2</v>
      </c>
      <c r="E33" s="20" t="s">
        <v>1509</v>
      </c>
      <c r="F33" s="20"/>
      <c r="G33" s="20"/>
      <c r="H33" s="20"/>
      <c r="I33" s="20"/>
      <c r="J33" s="20"/>
      <c r="K33" s="20"/>
      <c r="L33" s="20"/>
      <c r="M33" s="20"/>
    </row>
    <row r="34" customFormat="false" ht="15.75" hidden="false" customHeight="true" outlineLevel="0" collapsed="false">
      <c r="A34" s="18" t="s">
        <v>1510</v>
      </c>
      <c r="B34" s="17" t="s">
        <v>1511</v>
      </c>
      <c r="C34" s="18" t="s">
        <v>1461</v>
      </c>
      <c r="D34" s="79" t="n">
        <v>1</v>
      </c>
      <c r="E34" s="20" t="s">
        <v>1512</v>
      </c>
      <c r="F34" s="20"/>
      <c r="G34" s="20"/>
      <c r="H34" s="20"/>
      <c r="I34" s="20"/>
      <c r="J34" s="20"/>
      <c r="K34" s="20"/>
      <c r="L34" s="20"/>
      <c r="M34" s="20"/>
    </row>
    <row r="35" customFormat="false" ht="15.75" hidden="false" customHeight="true" outlineLevel="0" collapsed="false">
      <c r="A35" s="18" t="s">
        <v>1513</v>
      </c>
      <c r="B35" s="17" t="s">
        <v>1514</v>
      </c>
      <c r="C35" s="18" t="s">
        <v>1510</v>
      </c>
      <c r="D35" s="79" t="n">
        <v>2</v>
      </c>
      <c r="E35" s="20" t="s">
        <v>1515</v>
      </c>
      <c r="F35" s="20"/>
      <c r="G35" s="20"/>
      <c r="H35" s="20"/>
      <c r="I35" s="20"/>
      <c r="J35" s="20"/>
      <c r="K35" s="20"/>
      <c r="L35" s="20"/>
      <c r="M35" s="20"/>
    </row>
    <row r="36" customFormat="false" ht="15.75" hidden="false" customHeight="true" outlineLevel="0" collapsed="false">
      <c r="A36" s="18" t="s">
        <v>1516</v>
      </c>
      <c r="B36" s="17" t="s">
        <v>1517</v>
      </c>
      <c r="C36" s="18" t="s">
        <v>1461</v>
      </c>
      <c r="D36" s="79" t="n">
        <v>1</v>
      </c>
      <c r="E36" s="20" t="s">
        <v>1518</v>
      </c>
      <c r="F36" s="20"/>
      <c r="G36" s="20"/>
      <c r="H36" s="20"/>
      <c r="I36" s="20"/>
      <c r="J36" s="20"/>
      <c r="K36" s="20"/>
      <c r="L36" s="20"/>
      <c r="M36" s="20"/>
    </row>
    <row r="37" customFormat="false" ht="15.75" hidden="false" customHeight="true" outlineLevel="0" collapsed="false">
      <c r="A37" s="18" t="s">
        <v>1519</v>
      </c>
      <c r="B37" s="17" t="s">
        <v>1520</v>
      </c>
      <c r="C37" s="18" t="s">
        <v>1516</v>
      </c>
      <c r="D37" s="79" t="n">
        <v>2</v>
      </c>
      <c r="E37" s="20" t="s">
        <v>1521</v>
      </c>
      <c r="F37" s="20"/>
      <c r="G37" s="20"/>
      <c r="H37" s="20"/>
      <c r="I37" s="20"/>
      <c r="J37" s="20"/>
      <c r="K37" s="20"/>
      <c r="L37" s="20"/>
      <c r="M37" s="20"/>
    </row>
    <row r="38" customFormat="false" ht="15.75" hidden="false" customHeight="true" outlineLevel="0" collapsed="false">
      <c r="A38" s="18" t="s">
        <v>1522</v>
      </c>
      <c r="B38" s="17" t="s">
        <v>1523</v>
      </c>
      <c r="C38" s="18" t="s">
        <v>1516</v>
      </c>
      <c r="D38" s="79" t="n">
        <v>2</v>
      </c>
      <c r="E38" s="20" t="s">
        <v>1524</v>
      </c>
      <c r="F38" s="20"/>
      <c r="G38" s="20"/>
      <c r="H38" s="20"/>
      <c r="I38" s="20"/>
      <c r="J38" s="20"/>
      <c r="K38" s="20"/>
      <c r="L38" s="20"/>
      <c r="M38" s="20"/>
    </row>
    <row r="39" customFormat="false" ht="15.75" hidden="false" customHeight="true" outlineLevel="0" collapsed="false">
      <c r="A39" s="18" t="s">
        <v>1525</v>
      </c>
      <c r="B39" s="17" t="s">
        <v>1526</v>
      </c>
      <c r="C39" s="18" t="s">
        <v>1522</v>
      </c>
      <c r="D39" s="79" t="n">
        <v>3</v>
      </c>
      <c r="E39" s="20" t="s">
        <v>1527</v>
      </c>
      <c r="F39" s="20"/>
      <c r="G39" s="20"/>
      <c r="H39" s="20"/>
      <c r="I39" s="20"/>
      <c r="J39" s="20"/>
      <c r="K39" s="20"/>
      <c r="L39" s="20"/>
      <c r="M39" s="20"/>
    </row>
    <row r="40" customFormat="false" ht="15.75" hidden="false" customHeight="true" outlineLevel="0" collapsed="false">
      <c r="A40" s="18" t="s">
        <v>1528</v>
      </c>
      <c r="B40" s="17" t="s">
        <v>1529</v>
      </c>
      <c r="C40" s="18" t="s">
        <v>1525</v>
      </c>
      <c r="D40" s="79" t="n">
        <v>4</v>
      </c>
      <c r="E40" s="20" t="s">
        <v>1530</v>
      </c>
      <c r="F40" s="20"/>
      <c r="G40" s="20"/>
      <c r="H40" s="20"/>
      <c r="I40" s="20"/>
      <c r="J40" s="20"/>
      <c r="K40" s="20"/>
      <c r="L40" s="20"/>
      <c r="M40" s="20"/>
    </row>
    <row r="41" customFormat="false" ht="15.75" hidden="false" customHeight="true" outlineLevel="0" collapsed="false">
      <c r="A41" s="18" t="s">
        <v>1531</v>
      </c>
      <c r="B41" s="17" t="s">
        <v>1532</v>
      </c>
      <c r="C41" s="18" t="s">
        <v>1525</v>
      </c>
      <c r="D41" s="79" t="n">
        <v>4</v>
      </c>
      <c r="E41" s="20" t="s">
        <v>1533</v>
      </c>
      <c r="F41" s="20"/>
      <c r="G41" s="20"/>
      <c r="H41" s="20"/>
      <c r="I41" s="20"/>
      <c r="J41" s="20"/>
      <c r="K41" s="20"/>
      <c r="L41" s="20"/>
      <c r="M41" s="20"/>
    </row>
    <row r="42" customFormat="false" ht="15.75" hidden="false" customHeight="true" outlineLevel="0" collapsed="false">
      <c r="A42" s="18" t="s">
        <v>1534</v>
      </c>
      <c r="B42" s="17" t="s">
        <v>1535</v>
      </c>
      <c r="C42" s="18" t="s">
        <v>1522</v>
      </c>
      <c r="D42" s="79" t="n">
        <v>3</v>
      </c>
      <c r="E42" s="20" t="s">
        <v>1536</v>
      </c>
      <c r="F42" s="20"/>
      <c r="G42" s="20"/>
      <c r="H42" s="20"/>
      <c r="I42" s="20"/>
      <c r="J42" s="20"/>
      <c r="K42" s="20"/>
      <c r="L42" s="20"/>
      <c r="M42" s="20"/>
    </row>
    <row r="43" customFormat="false" ht="15.75" hidden="false" customHeight="true" outlineLevel="0" collapsed="false">
      <c r="A43" s="18" t="s">
        <v>1537</v>
      </c>
      <c r="B43" s="17" t="s">
        <v>1538</v>
      </c>
      <c r="C43" s="18" t="s">
        <v>1534</v>
      </c>
      <c r="D43" s="79" t="n">
        <v>4</v>
      </c>
      <c r="E43" s="20" t="s">
        <v>1539</v>
      </c>
      <c r="F43" s="20"/>
      <c r="G43" s="20"/>
      <c r="H43" s="20"/>
      <c r="I43" s="20"/>
      <c r="J43" s="20"/>
      <c r="K43" s="20"/>
      <c r="L43" s="20"/>
      <c r="M43" s="20"/>
    </row>
    <row r="44" customFormat="false" ht="15.75" hidden="false" customHeight="true" outlineLevel="0" collapsed="false">
      <c r="A44" s="18" t="s">
        <v>1540</v>
      </c>
      <c r="B44" s="17" t="s">
        <v>1541</v>
      </c>
      <c r="C44" s="18" t="s">
        <v>1534</v>
      </c>
      <c r="D44" s="79" t="n">
        <v>4</v>
      </c>
      <c r="E44" s="20" t="s">
        <v>1542</v>
      </c>
      <c r="F44" s="20"/>
      <c r="G44" s="20"/>
      <c r="H44" s="20"/>
      <c r="I44" s="20"/>
      <c r="J44" s="20"/>
      <c r="K44" s="20"/>
      <c r="L44" s="20"/>
      <c r="M44" s="20"/>
    </row>
    <row r="45" customFormat="false" ht="15.75" hidden="false" customHeight="true" outlineLevel="0" collapsed="false">
      <c r="A45" s="18" t="s">
        <v>1543</v>
      </c>
      <c r="B45" s="17" t="s">
        <v>1544</v>
      </c>
      <c r="C45" s="18" t="s">
        <v>1516</v>
      </c>
      <c r="D45" s="79" t="n">
        <v>2</v>
      </c>
      <c r="E45" s="20" t="s">
        <v>1545</v>
      </c>
      <c r="F45" s="20"/>
      <c r="G45" s="20"/>
      <c r="H45" s="20"/>
      <c r="I45" s="20"/>
      <c r="J45" s="20"/>
      <c r="K45" s="20"/>
      <c r="L45" s="20"/>
      <c r="M45" s="20"/>
    </row>
    <row r="46" customFormat="false" ht="15.75" hidden="false" customHeight="true" outlineLevel="0" collapsed="false">
      <c r="A46" s="18" t="s">
        <v>1546</v>
      </c>
      <c r="B46" s="17" t="s">
        <v>1547</v>
      </c>
      <c r="C46" s="18" t="s">
        <v>1516</v>
      </c>
      <c r="D46" s="79" t="n">
        <v>2</v>
      </c>
      <c r="E46" s="20" t="s">
        <v>1548</v>
      </c>
      <c r="F46" s="20"/>
      <c r="G46" s="20"/>
      <c r="H46" s="20"/>
      <c r="I46" s="20"/>
      <c r="J46" s="20"/>
      <c r="K46" s="20"/>
      <c r="L46" s="20"/>
      <c r="M46" s="20"/>
    </row>
    <row r="47" customFormat="false" ht="15.75" hidden="false" customHeight="true" outlineLevel="0" collapsed="false">
      <c r="A47" s="18" t="s">
        <v>1549</v>
      </c>
      <c r="B47" s="17" t="s">
        <v>1550</v>
      </c>
      <c r="C47" s="18" t="s">
        <v>1461</v>
      </c>
      <c r="D47" s="79" t="n">
        <v>1</v>
      </c>
      <c r="E47" s="20" t="s">
        <v>1551</v>
      </c>
      <c r="F47" s="20"/>
      <c r="G47" s="20"/>
      <c r="H47" s="20"/>
      <c r="I47" s="20"/>
      <c r="J47" s="20"/>
      <c r="K47" s="20"/>
      <c r="L47" s="20"/>
      <c r="M47" s="20"/>
    </row>
    <row r="48" customFormat="false" ht="15.75" hidden="false" customHeight="true" outlineLevel="0" collapsed="false">
      <c r="A48" s="18" t="s">
        <v>1552</v>
      </c>
      <c r="B48" s="17" t="s">
        <v>1553</v>
      </c>
      <c r="C48" s="18" t="s">
        <v>1549</v>
      </c>
      <c r="D48" s="79" t="n">
        <v>2</v>
      </c>
      <c r="E48" s="20" t="s">
        <v>1554</v>
      </c>
      <c r="F48" s="20"/>
      <c r="G48" s="20"/>
      <c r="H48" s="20"/>
      <c r="I48" s="20"/>
      <c r="J48" s="20"/>
      <c r="K48" s="20"/>
      <c r="L48" s="20"/>
      <c r="M48" s="20"/>
    </row>
    <row r="49" customFormat="false" ht="15.75" hidden="false" customHeight="true" outlineLevel="0" collapsed="false">
      <c r="A49" s="18" t="s">
        <v>1555</v>
      </c>
      <c r="B49" s="17" t="s">
        <v>1556</v>
      </c>
      <c r="C49" s="18" t="s">
        <v>1552</v>
      </c>
      <c r="D49" s="79" t="n">
        <v>3</v>
      </c>
      <c r="E49" s="20" t="s">
        <v>1557</v>
      </c>
      <c r="F49" s="20"/>
      <c r="G49" s="20"/>
      <c r="H49" s="20"/>
      <c r="I49" s="20"/>
      <c r="J49" s="20"/>
      <c r="K49" s="20"/>
      <c r="L49" s="20"/>
      <c r="M49" s="20"/>
    </row>
    <row r="50" customFormat="false" ht="15.75" hidden="false" customHeight="true" outlineLevel="0" collapsed="false">
      <c r="A50" s="18" t="s">
        <v>1558</v>
      </c>
      <c r="B50" s="17" t="s">
        <v>1559</v>
      </c>
      <c r="C50" s="18" t="s">
        <v>1555</v>
      </c>
      <c r="D50" s="79" t="n">
        <v>4</v>
      </c>
      <c r="E50" s="20" t="s">
        <v>1560</v>
      </c>
      <c r="F50" s="20"/>
      <c r="G50" s="20"/>
      <c r="H50" s="20"/>
      <c r="I50" s="20"/>
      <c r="J50" s="20"/>
      <c r="K50" s="20"/>
      <c r="L50" s="20"/>
      <c r="M50" s="20"/>
    </row>
    <row r="51" customFormat="false" ht="15.75" hidden="false" customHeight="true" outlineLevel="0" collapsed="false">
      <c r="A51" s="18" t="s">
        <v>1561</v>
      </c>
      <c r="B51" s="17" t="s">
        <v>1562</v>
      </c>
      <c r="C51" s="18" t="s">
        <v>1558</v>
      </c>
      <c r="D51" s="79" t="n">
        <v>5</v>
      </c>
      <c r="E51" s="20" t="s">
        <v>1563</v>
      </c>
      <c r="F51" s="20"/>
      <c r="G51" s="20"/>
      <c r="H51" s="20"/>
      <c r="I51" s="20"/>
      <c r="J51" s="20"/>
      <c r="K51" s="20"/>
      <c r="L51" s="20"/>
      <c r="M51" s="20"/>
    </row>
    <row r="52" customFormat="false" ht="15.75" hidden="false" customHeight="true" outlineLevel="0" collapsed="false">
      <c r="A52" s="18" t="s">
        <v>1564</v>
      </c>
      <c r="B52" s="17" t="s">
        <v>1565</v>
      </c>
      <c r="C52" s="18" t="s">
        <v>1558</v>
      </c>
      <c r="D52" s="79" t="n">
        <v>5</v>
      </c>
      <c r="E52" s="20" t="s">
        <v>1566</v>
      </c>
      <c r="F52" s="20"/>
      <c r="G52" s="20"/>
      <c r="H52" s="20"/>
      <c r="I52" s="20"/>
      <c r="J52" s="20"/>
      <c r="K52" s="20"/>
      <c r="L52" s="20"/>
      <c r="M52" s="20"/>
    </row>
    <row r="53" customFormat="false" ht="15.75" hidden="false" customHeight="true" outlineLevel="0" collapsed="false">
      <c r="A53" s="18" t="s">
        <v>1567</v>
      </c>
      <c r="B53" s="17" t="s">
        <v>1568</v>
      </c>
      <c r="C53" s="18" t="s">
        <v>1555</v>
      </c>
      <c r="D53" s="79" t="n">
        <v>4</v>
      </c>
      <c r="E53" s="20" t="s">
        <v>1569</v>
      </c>
      <c r="F53" s="20"/>
      <c r="G53" s="20"/>
      <c r="H53" s="20"/>
      <c r="I53" s="20"/>
      <c r="J53" s="20"/>
      <c r="K53" s="20"/>
      <c r="L53" s="20"/>
      <c r="M53" s="20"/>
    </row>
    <row r="54" customFormat="false" ht="15.75" hidden="false" customHeight="true" outlineLevel="0" collapsed="false">
      <c r="A54" s="18" t="s">
        <v>1570</v>
      </c>
      <c r="B54" s="17" t="s">
        <v>1571</v>
      </c>
      <c r="C54" s="18" t="s">
        <v>1555</v>
      </c>
      <c r="D54" s="79" t="n">
        <v>4</v>
      </c>
      <c r="E54" s="20" t="s">
        <v>1572</v>
      </c>
      <c r="F54" s="20"/>
      <c r="G54" s="20"/>
      <c r="H54" s="20"/>
      <c r="I54" s="20"/>
      <c r="J54" s="20"/>
      <c r="K54" s="20"/>
      <c r="L54" s="20"/>
      <c r="M54" s="20"/>
    </row>
    <row r="55" customFormat="false" ht="15.75" hidden="false" customHeight="true" outlineLevel="0" collapsed="false">
      <c r="A55" s="18" t="s">
        <v>1573</v>
      </c>
      <c r="B55" s="17" t="s">
        <v>1562</v>
      </c>
      <c r="C55" s="18" t="s">
        <v>1570</v>
      </c>
      <c r="D55" s="79" t="n">
        <v>5</v>
      </c>
      <c r="E55" s="20" t="s">
        <v>1574</v>
      </c>
      <c r="F55" s="20"/>
      <c r="G55" s="20"/>
      <c r="H55" s="20"/>
      <c r="I55" s="20"/>
      <c r="J55" s="20"/>
      <c r="K55" s="20"/>
      <c r="L55" s="20"/>
      <c r="M55" s="20"/>
    </row>
    <row r="56" customFormat="false" ht="15.75" hidden="false" customHeight="true" outlineLevel="0" collapsed="false">
      <c r="A56" s="18" t="s">
        <v>1575</v>
      </c>
      <c r="B56" s="17" t="s">
        <v>1565</v>
      </c>
      <c r="C56" s="18" t="s">
        <v>1570</v>
      </c>
      <c r="D56" s="79" t="n">
        <v>5</v>
      </c>
      <c r="E56" s="20" t="s">
        <v>1576</v>
      </c>
      <c r="F56" s="20"/>
      <c r="G56" s="20"/>
      <c r="H56" s="20"/>
      <c r="I56" s="20"/>
      <c r="J56" s="20"/>
      <c r="K56" s="20"/>
      <c r="L56" s="20"/>
      <c r="M56" s="20"/>
    </row>
    <row r="57" customFormat="false" ht="15.75" hidden="false" customHeight="true" outlineLevel="0" collapsed="false">
      <c r="A57" s="18" t="s">
        <v>1577</v>
      </c>
      <c r="B57" s="17" t="s">
        <v>1578</v>
      </c>
      <c r="C57" s="18" t="s">
        <v>1555</v>
      </c>
      <c r="D57" s="79" t="n">
        <v>4</v>
      </c>
      <c r="E57" s="20" t="s">
        <v>1579</v>
      </c>
      <c r="F57" s="20"/>
      <c r="G57" s="20"/>
      <c r="H57" s="20"/>
      <c r="I57" s="20"/>
      <c r="J57" s="20"/>
      <c r="K57" s="20"/>
      <c r="L57" s="20"/>
      <c r="M57" s="20"/>
    </row>
    <row r="58" customFormat="false" ht="15.75" hidden="false" customHeight="true" outlineLevel="0" collapsed="false">
      <c r="A58" s="18" t="s">
        <v>1580</v>
      </c>
      <c r="B58" s="17" t="s">
        <v>1581</v>
      </c>
      <c r="C58" s="18" t="s">
        <v>1555</v>
      </c>
      <c r="D58" s="79" t="n">
        <v>4</v>
      </c>
      <c r="E58" s="20" t="s">
        <v>1582</v>
      </c>
      <c r="F58" s="20"/>
      <c r="G58" s="20"/>
      <c r="H58" s="20"/>
      <c r="I58" s="20"/>
      <c r="J58" s="20"/>
      <c r="K58" s="20"/>
      <c r="L58" s="20"/>
      <c r="M58" s="20"/>
    </row>
    <row r="59" customFormat="false" ht="15.75" hidden="false" customHeight="true" outlineLevel="0" collapsed="false">
      <c r="A59" s="18" t="s">
        <v>1583</v>
      </c>
      <c r="B59" s="17" t="s">
        <v>1584</v>
      </c>
      <c r="C59" s="18" t="s">
        <v>1549</v>
      </c>
      <c r="D59" s="79" t="n">
        <v>2</v>
      </c>
      <c r="E59" s="20" t="s">
        <v>1585</v>
      </c>
      <c r="F59" s="20"/>
      <c r="G59" s="20"/>
      <c r="H59" s="20"/>
      <c r="I59" s="20"/>
      <c r="J59" s="20"/>
      <c r="K59" s="20"/>
      <c r="L59" s="20"/>
      <c r="M59" s="20"/>
    </row>
    <row r="60" customFormat="false" ht="15.75" hidden="false" customHeight="true" outlineLevel="0" collapsed="false">
      <c r="A60" s="18" t="s">
        <v>1586</v>
      </c>
      <c r="B60" s="17" t="s">
        <v>1587</v>
      </c>
      <c r="C60" s="18" t="s">
        <v>1583</v>
      </c>
      <c r="D60" s="79" t="n">
        <v>3</v>
      </c>
      <c r="E60" s="20" t="s">
        <v>1588</v>
      </c>
      <c r="F60" s="20"/>
      <c r="G60" s="20"/>
      <c r="H60" s="20"/>
      <c r="I60" s="20"/>
      <c r="J60" s="20"/>
      <c r="K60" s="20"/>
      <c r="L60" s="20"/>
      <c r="M60" s="20"/>
    </row>
    <row r="61" customFormat="false" ht="15.75" hidden="false" customHeight="true" outlineLevel="0" collapsed="false">
      <c r="A61" s="18" t="s">
        <v>1589</v>
      </c>
      <c r="B61" s="17" t="s">
        <v>1559</v>
      </c>
      <c r="C61" s="18" t="s">
        <v>1586</v>
      </c>
      <c r="D61" s="79" t="n">
        <v>4</v>
      </c>
      <c r="E61" s="20" t="s">
        <v>1590</v>
      </c>
      <c r="F61" s="20"/>
      <c r="G61" s="20"/>
      <c r="H61" s="20"/>
      <c r="I61" s="20"/>
      <c r="J61" s="20"/>
      <c r="K61" s="20"/>
      <c r="L61" s="20"/>
      <c r="M61" s="20"/>
    </row>
    <row r="62" customFormat="false" ht="15.75" hidden="false" customHeight="true" outlineLevel="0" collapsed="false">
      <c r="A62" s="18" t="s">
        <v>1591</v>
      </c>
      <c r="B62" s="17" t="s">
        <v>1568</v>
      </c>
      <c r="C62" s="18" t="s">
        <v>1586</v>
      </c>
      <c r="D62" s="79" t="n">
        <v>4</v>
      </c>
      <c r="E62" s="20" t="s">
        <v>1592</v>
      </c>
      <c r="F62" s="20"/>
      <c r="G62" s="20"/>
      <c r="H62" s="20"/>
      <c r="I62" s="20"/>
      <c r="J62" s="20"/>
      <c r="K62" s="20"/>
      <c r="L62" s="20"/>
      <c r="M62" s="20"/>
    </row>
    <row r="63" customFormat="false" ht="15.75" hidden="false" customHeight="true" outlineLevel="0" collapsed="false">
      <c r="A63" s="18" t="s">
        <v>1593</v>
      </c>
      <c r="B63" s="17" t="s">
        <v>1571</v>
      </c>
      <c r="C63" s="18" t="s">
        <v>1586</v>
      </c>
      <c r="D63" s="79" t="n">
        <v>4</v>
      </c>
      <c r="E63" s="20" t="s">
        <v>1594</v>
      </c>
      <c r="F63" s="20"/>
      <c r="G63" s="20"/>
      <c r="H63" s="20"/>
      <c r="I63" s="20"/>
      <c r="J63" s="20"/>
      <c r="K63" s="20"/>
      <c r="L63" s="20"/>
      <c r="M63" s="20"/>
    </row>
    <row r="64" customFormat="false" ht="15.75" hidden="false" customHeight="true" outlineLevel="0" collapsed="false">
      <c r="A64" s="18" t="s">
        <v>1595</v>
      </c>
      <c r="B64" s="17" t="s">
        <v>1578</v>
      </c>
      <c r="C64" s="18" t="s">
        <v>1586</v>
      </c>
      <c r="D64" s="79" t="n">
        <v>4</v>
      </c>
      <c r="E64" s="20" t="s">
        <v>1596</v>
      </c>
      <c r="F64" s="20"/>
      <c r="G64" s="20"/>
      <c r="H64" s="20"/>
      <c r="I64" s="20"/>
      <c r="J64" s="20"/>
      <c r="K64" s="20"/>
      <c r="L64" s="20"/>
      <c r="M64" s="20"/>
    </row>
    <row r="65" customFormat="false" ht="15.75" hidden="false" customHeight="true" outlineLevel="0" collapsed="false">
      <c r="A65" s="18" t="s">
        <v>1597</v>
      </c>
      <c r="B65" s="17" t="s">
        <v>1581</v>
      </c>
      <c r="C65" s="18" t="s">
        <v>1586</v>
      </c>
      <c r="D65" s="79" t="n">
        <v>4</v>
      </c>
      <c r="E65" s="20" t="s">
        <v>1598</v>
      </c>
      <c r="F65" s="20"/>
      <c r="G65" s="20"/>
      <c r="H65" s="20"/>
      <c r="I65" s="20"/>
      <c r="J65" s="20"/>
      <c r="K65" s="20"/>
      <c r="L65" s="20"/>
      <c r="M65" s="20"/>
    </row>
    <row r="67" customFormat="false" ht="21" hidden="false" customHeight="true" outlineLevel="0" collapsed="false">
      <c r="A67" s="15" t="s">
        <v>1599</v>
      </c>
      <c r="B67" s="15"/>
      <c r="C67" s="15"/>
      <c r="D67" s="15"/>
      <c r="E67" s="15"/>
      <c r="F67" s="15"/>
      <c r="G67" s="15"/>
      <c r="H67" s="15"/>
      <c r="I67" s="15"/>
      <c r="J67" s="15"/>
      <c r="K67" s="15"/>
      <c r="L67" s="15"/>
      <c r="M67" s="15"/>
    </row>
    <row r="68" customFormat="false" ht="31.5" hidden="false" customHeight="true" outlineLevel="0" collapsed="false">
      <c r="A68" s="13" t="s">
        <v>1600</v>
      </c>
      <c r="B68" s="13" t="s">
        <v>1601</v>
      </c>
      <c r="C68" s="13" t="s">
        <v>1602</v>
      </c>
      <c r="D68" s="13" t="s">
        <v>1603</v>
      </c>
      <c r="E68" s="13" t="s">
        <v>44</v>
      </c>
      <c r="F68" s="13" t="s">
        <v>1604</v>
      </c>
      <c r="G68" s="13" t="s">
        <v>1605</v>
      </c>
      <c r="H68" s="13" t="s">
        <v>1434</v>
      </c>
      <c r="I68" s="13" t="s">
        <v>1606</v>
      </c>
      <c r="J68" s="13" t="s">
        <v>1607</v>
      </c>
      <c r="K68" s="13" t="s">
        <v>1608</v>
      </c>
      <c r="L68" s="13" t="s">
        <v>1609</v>
      </c>
      <c r="M68" s="13" t="s">
        <v>1610</v>
      </c>
    </row>
    <row r="69" customFormat="false" ht="18" hidden="false" customHeight="true" outlineLevel="0" collapsed="false">
      <c r="A69" s="80" t="s">
        <v>1611</v>
      </c>
      <c r="B69" s="17" t="s">
        <v>1612</v>
      </c>
      <c r="C69" s="20" t="s">
        <v>1545</v>
      </c>
      <c r="D69" s="18" t="s">
        <v>1613</v>
      </c>
      <c r="E69" s="18" t="s">
        <v>1614</v>
      </c>
      <c r="F69" s="54" t="s">
        <v>1451</v>
      </c>
      <c r="G69" s="66" t="n">
        <v>170</v>
      </c>
      <c r="H69" s="79" t="n">
        <v>10</v>
      </c>
      <c r="I69" s="66" t="n">
        <f aca="false">IF(H69=0,0,G69/H69)</f>
        <v>17</v>
      </c>
      <c r="J69" s="64" t="n">
        <v>46204</v>
      </c>
      <c r="K69" s="64" t="n">
        <v>46223</v>
      </c>
      <c r="L69" s="66" t="n">
        <v>0</v>
      </c>
      <c r="M69" s="19" t="n">
        <v>0</v>
      </c>
    </row>
    <row r="70" customFormat="false" ht="18" hidden="false" customHeight="true" outlineLevel="0" collapsed="false">
      <c r="A70" s="80" t="s">
        <v>1615</v>
      </c>
      <c r="B70" s="17" t="s">
        <v>1616</v>
      </c>
      <c r="C70" s="20" t="s">
        <v>1512</v>
      </c>
      <c r="D70" s="18" t="s">
        <v>1617</v>
      </c>
      <c r="E70" s="18" t="s">
        <v>1614</v>
      </c>
      <c r="F70" s="54" t="s">
        <v>1438</v>
      </c>
      <c r="G70" s="66" t="n">
        <v>0</v>
      </c>
      <c r="H70" s="79" t="n">
        <v>10</v>
      </c>
      <c r="I70" s="66" t="n">
        <f aca="false">IF(H70=0,0,G70/H70)</f>
        <v>0</v>
      </c>
      <c r="J70" s="64" t="n">
        <v>46204</v>
      </c>
      <c r="K70" s="64" t="n">
        <v>46204</v>
      </c>
      <c r="L70" s="66" t="n">
        <v>0</v>
      </c>
      <c r="M70" s="19" t="n">
        <v>0</v>
      </c>
    </row>
    <row r="71" customFormat="false" ht="18" hidden="false" customHeight="true" outlineLevel="0" collapsed="false">
      <c r="A71" s="80" t="s">
        <v>1618</v>
      </c>
      <c r="B71" s="17" t="s">
        <v>1619</v>
      </c>
      <c r="C71" s="20" t="s">
        <v>1515</v>
      </c>
      <c r="D71" s="18" t="s">
        <v>1620</v>
      </c>
      <c r="E71" s="18" t="s">
        <v>1614</v>
      </c>
      <c r="F71" s="54" t="s">
        <v>1451</v>
      </c>
      <c r="G71" s="66" t="n">
        <v>0</v>
      </c>
      <c r="H71" s="79" t="n">
        <v>10</v>
      </c>
      <c r="I71" s="66" t="n">
        <f aca="false">IF(H71=0,0,G71/H71)</f>
        <v>0</v>
      </c>
      <c r="J71" s="64" t="n">
        <v>46204</v>
      </c>
      <c r="K71" s="64" t="n">
        <v>46204</v>
      </c>
      <c r="L71" s="66" t="n">
        <v>0</v>
      </c>
      <c r="M71" s="19" t="n">
        <v>0</v>
      </c>
    </row>
    <row r="72" customFormat="false" ht="18" hidden="false" customHeight="true" outlineLevel="0" collapsed="false">
      <c r="A72" s="80" t="s">
        <v>1621</v>
      </c>
      <c r="B72" s="17" t="s">
        <v>1622</v>
      </c>
      <c r="C72" s="20" t="s">
        <v>1545</v>
      </c>
      <c r="D72" s="18" t="s">
        <v>1613</v>
      </c>
      <c r="E72" s="18" t="s">
        <v>1614</v>
      </c>
      <c r="F72" s="54" t="s">
        <v>1451</v>
      </c>
      <c r="G72" s="66" t="n">
        <v>90</v>
      </c>
      <c r="H72" s="79" t="n">
        <v>10</v>
      </c>
      <c r="I72" s="66" t="n">
        <f aca="false">IF(H72=0,0,G72/H72)</f>
        <v>9</v>
      </c>
      <c r="J72" s="64" t="n">
        <v>46224</v>
      </c>
      <c r="K72" s="64" t="n">
        <v>46233</v>
      </c>
      <c r="L72" s="66" t="n">
        <v>0</v>
      </c>
      <c r="M72" s="19" t="n">
        <v>0</v>
      </c>
    </row>
    <row r="73" customFormat="false" ht="30" hidden="false" customHeight="true" outlineLevel="0" collapsed="false">
      <c r="A73" s="80" t="s">
        <v>1623</v>
      </c>
      <c r="B73" s="17" t="s">
        <v>1624</v>
      </c>
      <c r="C73" s="20" t="s">
        <v>1542</v>
      </c>
      <c r="D73" s="18" t="s">
        <v>1613</v>
      </c>
      <c r="E73" s="18" t="s">
        <v>1614</v>
      </c>
      <c r="F73" s="54" t="s">
        <v>1451</v>
      </c>
      <c r="G73" s="66" t="n">
        <v>80</v>
      </c>
      <c r="H73" s="79" t="n">
        <v>10</v>
      </c>
      <c r="I73" s="66" t="n">
        <f aca="false">IF(H73=0,0,G73/H73)</f>
        <v>8</v>
      </c>
      <c r="J73" s="64" t="n">
        <v>46224</v>
      </c>
      <c r="K73" s="64" t="n">
        <v>46232</v>
      </c>
      <c r="L73" s="66" t="n">
        <v>240</v>
      </c>
      <c r="M73" s="19" t="n">
        <v>4694.84</v>
      </c>
    </row>
    <row r="74" customFormat="false" ht="30" hidden="false" customHeight="true" outlineLevel="0" collapsed="false">
      <c r="A74" s="80" t="s">
        <v>1625</v>
      </c>
      <c r="B74" s="17" t="s">
        <v>1626</v>
      </c>
      <c r="C74" s="20" t="s">
        <v>1542</v>
      </c>
      <c r="D74" s="18" t="s">
        <v>1613</v>
      </c>
      <c r="E74" s="18" t="s">
        <v>1614</v>
      </c>
      <c r="F74" s="54" t="s">
        <v>1451</v>
      </c>
      <c r="G74" s="66" t="n">
        <v>80</v>
      </c>
      <c r="H74" s="79" t="n">
        <v>10</v>
      </c>
      <c r="I74" s="66" t="n">
        <f aca="false">IF(H74=0,0,G74/H74)</f>
        <v>8</v>
      </c>
      <c r="J74" s="64" t="n">
        <v>46224</v>
      </c>
      <c r="K74" s="64" t="n">
        <v>46232</v>
      </c>
      <c r="L74" s="66" t="n">
        <v>240</v>
      </c>
      <c r="M74" s="19" t="n">
        <v>6572.78</v>
      </c>
    </row>
    <row r="75" customFormat="false" ht="30" hidden="false" customHeight="true" outlineLevel="0" collapsed="false">
      <c r="A75" s="80" t="s">
        <v>1627</v>
      </c>
      <c r="B75" s="17" t="s">
        <v>1628</v>
      </c>
      <c r="C75" s="20" t="s">
        <v>1539</v>
      </c>
      <c r="D75" s="18" t="s">
        <v>1613</v>
      </c>
      <c r="E75" s="18" t="s">
        <v>1614</v>
      </c>
      <c r="F75" s="54" t="s">
        <v>1453</v>
      </c>
      <c r="G75" s="66" t="n">
        <v>110</v>
      </c>
      <c r="H75" s="79" t="n">
        <v>10</v>
      </c>
      <c r="I75" s="66" t="n">
        <f aca="false">IF(H75=0,0,G75/H75)</f>
        <v>11</v>
      </c>
      <c r="J75" s="64" t="n">
        <v>46233</v>
      </c>
      <c r="K75" s="64" t="n">
        <v>46247</v>
      </c>
      <c r="L75" s="66" t="n">
        <v>200</v>
      </c>
      <c r="M75" s="19" t="n">
        <v>3756.88</v>
      </c>
    </row>
    <row r="76" customFormat="false" ht="30" hidden="false" customHeight="true" outlineLevel="0" collapsed="false">
      <c r="A76" s="80" t="s">
        <v>1629</v>
      </c>
      <c r="B76" s="17" t="s">
        <v>1630</v>
      </c>
      <c r="C76" s="20" t="s">
        <v>1539</v>
      </c>
      <c r="D76" s="18" t="s">
        <v>1613</v>
      </c>
      <c r="E76" s="18" t="s">
        <v>1614</v>
      </c>
      <c r="F76" s="54" t="s">
        <v>1453</v>
      </c>
      <c r="G76" s="66" t="n">
        <v>110</v>
      </c>
      <c r="H76" s="79" t="n">
        <v>10</v>
      </c>
      <c r="I76" s="66" t="n">
        <f aca="false">IF(H76=0,0,G76/H76)</f>
        <v>11</v>
      </c>
      <c r="J76" s="64" t="n">
        <v>46233</v>
      </c>
      <c r="K76" s="64" t="n">
        <v>46247</v>
      </c>
      <c r="L76" s="66" t="n">
        <v>200</v>
      </c>
      <c r="M76" s="19" t="n">
        <v>4694.84</v>
      </c>
    </row>
    <row r="77" customFormat="false" ht="30" hidden="false" customHeight="true" outlineLevel="0" collapsed="false">
      <c r="A77" s="80" t="s">
        <v>1631</v>
      </c>
      <c r="B77" s="17" t="s">
        <v>1632</v>
      </c>
      <c r="C77" s="20" t="s">
        <v>1533</v>
      </c>
      <c r="D77" s="18" t="s">
        <v>1613</v>
      </c>
      <c r="E77" s="18" t="s">
        <v>1614</v>
      </c>
      <c r="F77" s="54" t="s">
        <v>1451</v>
      </c>
      <c r="G77" s="66" t="n">
        <v>110</v>
      </c>
      <c r="H77" s="79" t="n">
        <v>10</v>
      </c>
      <c r="I77" s="66" t="n">
        <f aca="false">IF(H77=0,0,G77/H77)</f>
        <v>11</v>
      </c>
      <c r="J77" s="64" t="n">
        <v>46235</v>
      </c>
      <c r="K77" s="64" t="n">
        <v>46246</v>
      </c>
      <c r="L77" s="66" t="n">
        <v>180</v>
      </c>
      <c r="M77" s="19" t="n">
        <v>4694.84</v>
      </c>
    </row>
    <row r="78" customFormat="false" ht="30" hidden="false" customHeight="true" outlineLevel="0" collapsed="false">
      <c r="A78" s="80" t="s">
        <v>1633</v>
      </c>
      <c r="B78" s="17" t="s">
        <v>1634</v>
      </c>
      <c r="C78" s="20" t="s">
        <v>1533</v>
      </c>
      <c r="D78" s="18" t="s">
        <v>1613</v>
      </c>
      <c r="E78" s="18" t="s">
        <v>1614</v>
      </c>
      <c r="F78" s="54" t="s">
        <v>1451</v>
      </c>
      <c r="G78" s="66" t="n">
        <v>120</v>
      </c>
      <c r="H78" s="79" t="n">
        <v>10</v>
      </c>
      <c r="I78" s="66" t="n">
        <f aca="false">IF(H78=0,0,G78/H78)</f>
        <v>12</v>
      </c>
      <c r="J78" s="64" t="n">
        <v>46235</v>
      </c>
      <c r="K78" s="64" t="n">
        <v>46247</v>
      </c>
      <c r="L78" s="66" t="n">
        <v>320</v>
      </c>
      <c r="M78" s="19" t="n">
        <v>4694.84</v>
      </c>
    </row>
    <row r="79" customFormat="false" ht="30" hidden="false" customHeight="true" outlineLevel="0" collapsed="false">
      <c r="A79" s="80" t="s">
        <v>1635</v>
      </c>
      <c r="B79" s="17" t="s">
        <v>1636</v>
      </c>
      <c r="C79" s="20" t="s">
        <v>1533</v>
      </c>
      <c r="D79" s="18" t="s">
        <v>1613</v>
      </c>
      <c r="E79" s="18" t="s">
        <v>1614</v>
      </c>
      <c r="F79" s="54" t="s">
        <v>1451</v>
      </c>
      <c r="G79" s="66" t="n">
        <v>110</v>
      </c>
      <c r="H79" s="79" t="n">
        <v>10</v>
      </c>
      <c r="I79" s="66" t="n">
        <f aca="false">IF(H79=0,0,G79/H79)</f>
        <v>11</v>
      </c>
      <c r="J79" s="64" t="n">
        <v>46235</v>
      </c>
      <c r="K79" s="64" t="n">
        <v>46246</v>
      </c>
      <c r="L79" s="66" t="n">
        <v>180</v>
      </c>
      <c r="M79" s="19" t="n">
        <v>7512.76</v>
      </c>
    </row>
    <row r="80" customFormat="false" ht="30" hidden="false" customHeight="true" outlineLevel="0" collapsed="false">
      <c r="A80" s="80" t="s">
        <v>1637</v>
      </c>
      <c r="B80" s="17" t="s">
        <v>1638</v>
      </c>
      <c r="C80" s="20" t="s">
        <v>1533</v>
      </c>
      <c r="D80" s="18" t="s">
        <v>1613</v>
      </c>
      <c r="E80" s="18" t="s">
        <v>1614</v>
      </c>
      <c r="F80" s="54" t="s">
        <v>1451</v>
      </c>
      <c r="G80" s="66" t="n">
        <v>110</v>
      </c>
      <c r="H80" s="79" t="n">
        <v>10</v>
      </c>
      <c r="I80" s="66" t="n">
        <f aca="false">IF(H80=0,0,G80/H80)</f>
        <v>11</v>
      </c>
      <c r="J80" s="64" t="n">
        <v>46235</v>
      </c>
      <c r="K80" s="64" t="n">
        <v>46246</v>
      </c>
      <c r="L80" s="66" t="n">
        <v>180</v>
      </c>
      <c r="M80" s="19" t="n">
        <v>3755.87</v>
      </c>
    </row>
    <row r="81" customFormat="false" ht="30" hidden="false" customHeight="true" outlineLevel="0" collapsed="false">
      <c r="A81" s="80" t="s">
        <v>1639</v>
      </c>
      <c r="B81" s="17" t="s">
        <v>1640</v>
      </c>
      <c r="C81" s="20" t="s">
        <v>1533</v>
      </c>
      <c r="D81" s="18" t="s">
        <v>1613</v>
      </c>
      <c r="E81" s="18" t="s">
        <v>1614</v>
      </c>
      <c r="F81" s="54" t="s">
        <v>1451</v>
      </c>
      <c r="G81" s="66" t="n">
        <v>80</v>
      </c>
      <c r="H81" s="79" t="n">
        <v>10</v>
      </c>
      <c r="I81" s="66" t="n">
        <f aca="false">IF(H81=0,0,G81/H81)</f>
        <v>8</v>
      </c>
      <c r="J81" s="64" t="n">
        <v>46235</v>
      </c>
      <c r="K81" s="64" t="n">
        <v>46243</v>
      </c>
      <c r="L81" s="66" t="n">
        <v>210</v>
      </c>
      <c r="M81" s="19" t="n">
        <v>7512.76</v>
      </c>
    </row>
    <row r="82" customFormat="false" ht="30" hidden="false" customHeight="true" outlineLevel="0" collapsed="false">
      <c r="A82" s="80" t="s">
        <v>1641</v>
      </c>
      <c r="B82" s="17" t="s">
        <v>1642</v>
      </c>
      <c r="C82" s="20" t="s">
        <v>1542</v>
      </c>
      <c r="D82" s="18" t="s">
        <v>1613</v>
      </c>
      <c r="E82" s="18" t="s">
        <v>1614</v>
      </c>
      <c r="F82" s="54" t="s">
        <v>1451</v>
      </c>
      <c r="G82" s="66" t="n">
        <v>110</v>
      </c>
      <c r="H82" s="79" t="n">
        <v>10</v>
      </c>
      <c r="I82" s="66" t="n">
        <f aca="false">IF(H82=0,0,G82/H82)</f>
        <v>11</v>
      </c>
      <c r="J82" s="64" t="n">
        <v>46235</v>
      </c>
      <c r="K82" s="64" t="n">
        <v>46246</v>
      </c>
      <c r="L82" s="66" t="n">
        <v>250</v>
      </c>
      <c r="M82" s="19" t="n">
        <v>4694.84</v>
      </c>
    </row>
    <row r="83" customFormat="false" ht="30" hidden="false" customHeight="true" outlineLevel="0" collapsed="false">
      <c r="A83" s="80" t="s">
        <v>1643</v>
      </c>
      <c r="B83" s="17" t="s">
        <v>1644</v>
      </c>
      <c r="C83" s="20" t="s">
        <v>1542</v>
      </c>
      <c r="D83" s="18" t="s">
        <v>1613</v>
      </c>
      <c r="E83" s="18" t="s">
        <v>1614</v>
      </c>
      <c r="F83" s="54" t="s">
        <v>1451</v>
      </c>
      <c r="G83" s="66" t="n">
        <v>110</v>
      </c>
      <c r="H83" s="79" t="n">
        <v>10</v>
      </c>
      <c r="I83" s="66" t="n">
        <f aca="false">IF(H83=0,0,G83/H83)</f>
        <v>11</v>
      </c>
      <c r="J83" s="64" t="n">
        <v>46235</v>
      </c>
      <c r="K83" s="64" t="n">
        <v>46246</v>
      </c>
      <c r="L83" s="66" t="n">
        <v>250</v>
      </c>
      <c r="M83" s="19" t="n">
        <v>4694.84</v>
      </c>
    </row>
    <row r="84" customFormat="false" ht="30" hidden="false" customHeight="true" outlineLevel="0" collapsed="false">
      <c r="A84" s="80" t="s">
        <v>1645</v>
      </c>
      <c r="B84" s="17" t="s">
        <v>1646</v>
      </c>
      <c r="C84" s="20" t="s">
        <v>1542</v>
      </c>
      <c r="D84" s="18" t="s">
        <v>1613</v>
      </c>
      <c r="E84" s="18" t="s">
        <v>1614</v>
      </c>
      <c r="F84" s="54" t="s">
        <v>1451</v>
      </c>
      <c r="G84" s="66" t="n">
        <v>130</v>
      </c>
      <c r="H84" s="79" t="n">
        <v>10</v>
      </c>
      <c r="I84" s="66" t="n">
        <f aca="false">IF(H84=0,0,G84/H84)</f>
        <v>13</v>
      </c>
      <c r="J84" s="64" t="n">
        <v>46235</v>
      </c>
      <c r="K84" s="64" t="n">
        <v>46249</v>
      </c>
      <c r="L84" s="66" t="n">
        <v>270</v>
      </c>
      <c r="M84" s="19" t="n">
        <v>4694.84</v>
      </c>
    </row>
    <row r="85" customFormat="false" ht="30" hidden="false" customHeight="true" outlineLevel="0" collapsed="false">
      <c r="A85" s="80" t="s">
        <v>1647</v>
      </c>
      <c r="B85" s="17" t="s">
        <v>1648</v>
      </c>
      <c r="C85" s="20" t="s">
        <v>1582</v>
      </c>
      <c r="D85" s="18" t="s">
        <v>1613</v>
      </c>
      <c r="E85" s="18" t="s">
        <v>1614</v>
      </c>
      <c r="F85" s="54" t="s">
        <v>1451</v>
      </c>
      <c r="G85" s="66" t="n">
        <v>10</v>
      </c>
      <c r="H85" s="79" t="n">
        <v>10</v>
      </c>
      <c r="I85" s="66" t="n">
        <f aca="false">IF(H85=0,0,G85/H85)</f>
        <v>1</v>
      </c>
      <c r="J85" s="64" t="n">
        <v>46235</v>
      </c>
      <c r="K85" s="64" t="n">
        <v>46235</v>
      </c>
      <c r="L85" s="66" t="n">
        <v>0</v>
      </c>
      <c r="M85" s="19" t="n">
        <v>0</v>
      </c>
    </row>
    <row r="86" customFormat="false" ht="30" hidden="false" customHeight="true" outlineLevel="0" collapsed="false">
      <c r="A86" s="80" t="s">
        <v>1649</v>
      </c>
      <c r="B86" s="17" t="s">
        <v>1650</v>
      </c>
      <c r="C86" s="20" t="s">
        <v>1569</v>
      </c>
      <c r="D86" s="18" t="s">
        <v>1613</v>
      </c>
      <c r="E86" s="18" t="s">
        <v>1614</v>
      </c>
      <c r="F86" s="54" t="s">
        <v>1451</v>
      </c>
      <c r="G86" s="66" t="n">
        <v>10</v>
      </c>
      <c r="H86" s="79" t="n">
        <v>10</v>
      </c>
      <c r="I86" s="66" t="n">
        <f aca="false">IF(H86=0,0,G86/H86)</f>
        <v>1</v>
      </c>
      <c r="J86" s="64" t="n">
        <v>46235</v>
      </c>
      <c r="K86" s="64" t="n">
        <v>46235</v>
      </c>
      <c r="L86" s="66" t="n">
        <v>0</v>
      </c>
      <c r="M86" s="19" t="n">
        <v>0</v>
      </c>
    </row>
    <row r="87" customFormat="false" ht="30" hidden="false" customHeight="true" outlineLevel="0" collapsed="false">
      <c r="A87" s="80" t="s">
        <v>1651</v>
      </c>
      <c r="B87" s="17" t="s">
        <v>1652</v>
      </c>
      <c r="C87" s="20" t="s">
        <v>1598</v>
      </c>
      <c r="D87" s="18" t="s">
        <v>1613</v>
      </c>
      <c r="E87" s="18" t="s">
        <v>1614</v>
      </c>
      <c r="F87" s="54" t="s">
        <v>1451</v>
      </c>
      <c r="G87" s="66" t="n">
        <v>50</v>
      </c>
      <c r="H87" s="79" t="n">
        <v>10</v>
      </c>
      <c r="I87" s="66" t="n">
        <f aca="false">IF(H87=0,0,G87/H87)</f>
        <v>5</v>
      </c>
      <c r="J87" s="64" t="n">
        <v>46235</v>
      </c>
      <c r="K87" s="64" t="n">
        <v>46239</v>
      </c>
      <c r="L87" s="66" t="n">
        <v>230</v>
      </c>
      <c r="M87" s="19" t="n">
        <v>0</v>
      </c>
    </row>
    <row r="88" customFormat="false" ht="30" hidden="false" customHeight="true" outlineLevel="0" collapsed="false">
      <c r="A88" s="80" t="s">
        <v>1653</v>
      </c>
      <c r="B88" s="17" t="s">
        <v>1654</v>
      </c>
      <c r="C88" s="20" t="s">
        <v>1582</v>
      </c>
      <c r="D88" s="18" t="s">
        <v>1613</v>
      </c>
      <c r="E88" s="18" t="s">
        <v>1614</v>
      </c>
      <c r="F88" s="54" t="s">
        <v>1451</v>
      </c>
      <c r="G88" s="66" t="n">
        <v>20</v>
      </c>
      <c r="H88" s="79" t="n">
        <v>10</v>
      </c>
      <c r="I88" s="66" t="n">
        <f aca="false">IF(H88=0,0,G88/H88)</f>
        <v>2</v>
      </c>
      <c r="J88" s="64" t="n">
        <v>46236</v>
      </c>
      <c r="K88" s="64" t="n">
        <v>46237</v>
      </c>
      <c r="L88" s="66" t="n">
        <v>0</v>
      </c>
      <c r="M88" s="19" t="n">
        <v>0</v>
      </c>
    </row>
    <row r="89" customFormat="false" ht="30" hidden="false" customHeight="true" outlineLevel="0" collapsed="false">
      <c r="A89" s="80" t="s">
        <v>1655</v>
      </c>
      <c r="B89" s="17" t="s">
        <v>1656</v>
      </c>
      <c r="C89" s="20" t="s">
        <v>1569</v>
      </c>
      <c r="D89" s="18" t="s">
        <v>1613</v>
      </c>
      <c r="E89" s="18" t="s">
        <v>1614</v>
      </c>
      <c r="F89" s="54" t="s">
        <v>1453</v>
      </c>
      <c r="G89" s="66" t="n">
        <v>20</v>
      </c>
      <c r="H89" s="79" t="n">
        <v>10</v>
      </c>
      <c r="I89" s="66" t="n">
        <f aca="false">IF(H89=0,0,G89/H89)</f>
        <v>2</v>
      </c>
      <c r="J89" s="64" t="n">
        <v>46236</v>
      </c>
      <c r="K89" s="64" t="n">
        <v>46237</v>
      </c>
      <c r="L89" s="66" t="n">
        <v>0</v>
      </c>
      <c r="M89" s="19" t="n">
        <v>0</v>
      </c>
    </row>
    <row r="90" customFormat="false" ht="18" hidden="false" customHeight="true" outlineLevel="0" collapsed="false">
      <c r="A90" s="80" t="s">
        <v>1657</v>
      </c>
      <c r="B90" s="17" t="s">
        <v>1658</v>
      </c>
      <c r="C90" s="20" t="s">
        <v>1579</v>
      </c>
      <c r="D90" s="18" t="s">
        <v>1613</v>
      </c>
      <c r="E90" s="18" t="s">
        <v>1614</v>
      </c>
      <c r="F90" s="54" t="s">
        <v>1451</v>
      </c>
      <c r="G90" s="66" t="n">
        <v>30</v>
      </c>
      <c r="H90" s="79" t="n">
        <v>10</v>
      </c>
      <c r="I90" s="66" t="n">
        <f aca="false">IF(H90=0,0,G90/H90)</f>
        <v>3</v>
      </c>
      <c r="J90" s="64" t="n">
        <v>46238</v>
      </c>
      <c r="K90" s="64" t="n">
        <v>46240</v>
      </c>
      <c r="L90" s="66" t="n">
        <v>0</v>
      </c>
      <c r="M90" s="19" t="n">
        <v>348110.34</v>
      </c>
    </row>
    <row r="91" customFormat="false" ht="30" hidden="false" customHeight="true" outlineLevel="0" collapsed="false">
      <c r="A91" s="80" t="s">
        <v>1659</v>
      </c>
      <c r="B91" s="17" t="s">
        <v>1660</v>
      </c>
      <c r="C91" s="20" t="s">
        <v>1598</v>
      </c>
      <c r="D91" s="18" t="s">
        <v>1613</v>
      </c>
      <c r="E91" s="18" t="s">
        <v>1614</v>
      </c>
      <c r="F91" s="54" t="s">
        <v>1453</v>
      </c>
      <c r="G91" s="66" t="n">
        <v>120</v>
      </c>
      <c r="H91" s="79" t="n">
        <v>10</v>
      </c>
      <c r="I91" s="66" t="n">
        <f aca="false">IF(H91=0,0,G91/H91)</f>
        <v>12</v>
      </c>
      <c r="J91" s="64" t="n">
        <v>46240</v>
      </c>
      <c r="K91" s="64" t="n">
        <v>46257</v>
      </c>
      <c r="L91" s="66" t="n">
        <v>190</v>
      </c>
      <c r="M91" s="19" t="n">
        <v>0</v>
      </c>
    </row>
    <row r="92" customFormat="false" ht="18" hidden="false" customHeight="true" outlineLevel="0" collapsed="false">
      <c r="A92" s="80" t="s">
        <v>1661</v>
      </c>
      <c r="B92" s="17" t="s">
        <v>1662</v>
      </c>
      <c r="C92" s="20" t="s">
        <v>1509</v>
      </c>
      <c r="D92" s="18" t="s">
        <v>1613</v>
      </c>
      <c r="E92" s="18" t="s">
        <v>1614</v>
      </c>
      <c r="F92" s="54" t="s">
        <v>1438</v>
      </c>
      <c r="G92" s="66" t="n">
        <v>50</v>
      </c>
      <c r="H92" s="79" t="n">
        <v>10</v>
      </c>
      <c r="I92" s="66" t="n">
        <f aca="false">IF(H92=0,0,G92/H92)</f>
        <v>5</v>
      </c>
      <c r="J92" s="64" t="n">
        <v>46241</v>
      </c>
      <c r="K92" s="64" t="n">
        <v>46245</v>
      </c>
      <c r="L92" s="66" t="n">
        <v>350</v>
      </c>
      <c r="M92" s="19" t="n">
        <v>62475</v>
      </c>
    </row>
    <row r="93" customFormat="false" ht="30" hidden="false" customHeight="true" outlineLevel="0" collapsed="false">
      <c r="A93" s="80" t="s">
        <v>1663</v>
      </c>
      <c r="B93" s="17" t="s">
        <v>1664</v>
      </c>
      <c r="C93" s="20" t="s">
        <v>1566</v>
      </c>
      <c r="D93" s="18" t="s">
        <v>1613</v>
      </c>
      <c r="E93" s="18" t="s">
        <v>1614</v>
      </c>
      <c r="F93" s="54" t="s">
        <v>1451</v>
      </c>
      <c r="G93" s="66" t="n">
        <v>690</v>
      </c>
      <c r="H93" s="79" t="n">
        <v>10</v>
      </c>
      <c r="I93" s="66" t="n">
        <f aca="false">IF(H93=0,0,G93/H93)</f>
        <v>69</v>
      </c>
      <c r="J93" s="64" t="n">
        <v>46242</v>
      </c>
      <c r="K93" s="64" t="n">
        <v>46322</v>
      </c>
      <c r="L93" s="66" t="n">
        <v>0</v>
      </c>
      <c r="M93" s="19" t="n">
        <v>542616.31</v>
      </c>
    </row>
    <row r="94" customFormat="false" ht="30" hidden="false" customHeight="true" outlineLevel="0" collapsed="false">
      <c r="A94" s="80" t="s">
        <v>1665</v>
      </c>
      <c r="B94" s="17" t="s">
        <v>1664</v>
      </c>
      <c r="C94" s="20" t="s">
        <v>1563</v>
      </c>
      <c r="D94" s="18" t="s">
        <v>1613</v>
      </c>
      <c r="E94" s="18" t="s">
        <v>1614</v>
      </c>
      <c r="F94" s="54" t="s">
        <v>1451</v>
      </c>
      <c r="G94" s="66" t="n">
        <v>560</v>
      </c>
      <c r="H94" s="79" t="n">
        <v>10</v>
      </c>
      <c r="I94" s="66" t="n">
        <f aca="false">IF(H94=0,0,G94/H94)</f>
        <v>56</v>
      </c>
      <c r="J94" s="64" t="n">
        <v>46242</v>
      </c>
      <c r="K94" s="64" t="n">
        <v>46307</v>
      </c>
      <c r="L94" s="66" t="n">
        <v>140</v>
      </c>
      <c r="M94" s="19" t="n">
        <v>542659.99</v>
      </c>
    </row>
    <row r="95" customFormat="false" ht="30" hidden="false" customHeight="true" outlineLevel="0" collapsed="false">
      <c r="A95" s="80" t="s">
        <v>1666</v>
      </c>
      <c r="B95" s="17" t="s">
        <v>1667</v>
      </c>
      <c r="C95" s="20" t="s">
        <v>1530</v>
      </c>
      <c r="D95" s="18" t="s">
        <v>1613</v>
      </c>
      <c r="E95" s="18" t="s">
        <v>1614</v>
      </c>
      <c r="F95" s="54" t="s">
        <v>1453</v>
      </c>
      <c r="G95" s="66" t="n">
        <v>60</v>
      </c>
      <c r="H95" s="79" t="n">
        <v>10</v>
      </c>
      <c r="I95" s="66" t="n">
        <f aca="false">IF(H95=0,0,G95/H95)</f>
        <v>6</v>
      </c>
      <c r="J95" s="64" t="n">
        <v>46244</v>
      </c>
      <c r="K95" s="64" t="n">
        <v>46251</v>
      </c>
      <c r="L95" s="66" t="n">
        <v>180</v>
      </c>
      <c r="M95" s="19" t="n">
        <v>2816.9</v>
      </c>
    </row>
    <row r="96" customFormat="false" ht="18" hidden="false" customHeight="true" outlineLevel="0" collapsed="false">
      <c r="A96" s="80" t="s">
        <v>1668</v>
      </c>
      <c r="B96" s="17" t="s">
        <v>1669</v>
      </c>
      <c r="C96" s="20" t="s">
        <v>1509</v>
      </c>
      <c r="D96" s="18" t="s">
        <v>1613</v>
      </c>
      <c r="E96" s="18" t="s">
        <v>1614</v>
      </c>
      <c r="F96" s="54" t="s">
        <v>1438</v>
      </c>
      <c r="G96" s="66" t="n">
        <v>140</v>
      </c>
      <c r="H96" s="79" t="n">
        <v>10</v>
      </c>
      <c r="I96" s="66" t="n">
        <f aca="false">IF(H96=0,0,G96/H96)</f>
        <v>14</v>
      </c>
      <c r="J96" s="64" t="n">
        <v>46246</v>
      </c>
      <c r="K96" s="64" t="n">
        <v>46259</v>
      </c>
      <c r="L96" s="66" t="n">
        <v>350</v>
      </c>
      <c r="M96" s="19" t="n">
        <v>26775</v>
      </c>
    </row>
    <row r="97" customFormat="false" ht="30" hidden="false" customHeight="true" outlineLevel="0" collapsed="false">
      <c r="A97" s="80" t="s">
        <v>1670</v>
      </c>
      <c r="B97" s="17" t="s">
        <v>1671</v>
      </c>
      <c r="C97" s="20" t="s">
        <v>1530</v>
      </c>
      <c r="D97" s="18" t="s">
        <v>1613</v>
      </c>
      <c r="E97" s="18" t="s">
        <v>1614</v>
      </c>
      <c r="F97" s="54" t="s">
        <v>1453</v>
      </c>
      <c r="G97" s="66" t="n">
        <v>60</v>
      </c>
      <c r="H97" s="79" t="n">
        <v>10</v>
      </c>
      <c r="I97" s="66" t="n">
        <f aca="false">IF(H97=0,0,G97/H97)</f>
        <v>6</v>
      </c>
      <c r="J97" s="64" t="n">
        <v>46247</v>
      </c>
      <c r="K97" s="64" t="n">
        <v>46254</v>
      </c>
      <c r="L97" s="66" t="n">
        <v>150</v>
      </c>
      <c r="M97" s="19" t="n">
        <v>2816.9</v>
      </c>
    </row>
    <row r="98" customFormat="false" ht="30" hidden="false" customHeight="true" outlineLevel="0" collapsed="false">
      <c r="A98" s="80" t="s">
        <v>1672</v>
      </c>
      <c r="B98" s="17" t="s">
        <v>1673</v>
      </c>
      <c r="C98" s="20" t="s">
        <v>1530</v>
      </c>
      <c r="D98" s="18" t="s">
        <v>1613</v>
      </c>
      <c r="E98" s="18" t="s">
        <v>1614</v>
      </c>
      <c r="F98" s="54" t="s">
        <v>1453</v>
      </c>
      <c r="G98" s="66" t="n">
        <v>60</v>
      </c>
      <c r="H98" s="79" t="n">
        <v>10</v>
      </c>
      <c r="I98" s="66" t="n">
        <f aca="false">IF(H98=0,0,G98/H98)</f>
        <v>6</v>
      </c>
      <c r="J98" s="64" t="n">
        <v>46247</v>
      </c>
      <c r="K98" s="64" t="n">
        <v>46254</v>
      </c>
      <c r="L98" s="66" t="n">
        <v>150</v>
      </c>
      <c r="M98" s="19" t="n">
        <v>2816.9</v>
      </c>
    </row>
    <row r="99" customFormat="false" ht="30" hidden="false" customHeight="true" outlineLevel="0" collapsed="false">
      <c r="A99" s="80" t="s">
        <v>1674</v>
      </c>
      <c r="B99" s="17" t="s">
        <v>1675</v>
      </c>
      <c r="C99" s="20" t="s">
        <v>1530</v>
      </c>
      <c r="D99" s="18" t="s">
        <v>1613</v>
      </c>
      <c r="E99" s="18" t="s">
        <v>1614</v>
      </c>
      <c r="F99" s="54" t="s">
        <v>1453</v>
      </c>
      <c r="G99" s="66" t="n">
        <v>60</v>
      </c>
      <c r="H99" s="79" t="n">
        <v>10</v>
      </c>
      <c r="I99" s="66" t="n">
        <f aca="false">IF(H99=0,0,G99/H99)</f>
        <v>6</v>
      </c>
      <c r="J99" s="64" t="n">
        <v>46247</v>
      </c>
      <c r="K99" s="64" t="n">
        <v>46254</v>
      </c>
      <c r="L99" s="66" t="n">
        <v>150</v>
      </c>
      <c r="M99" s="19" t="n">
        <v>1877.94</v>
      </c>
    </row>
    <row r="100" customFormat="false" ht="30" hidden="false" customHeight="true" outlineLevel="0" collapsed="false">
      <c r="A100" s="80" t="s">
        <v>1676</v>
      </c>
      <c r="B100" s="17" t="s">
        <v>1677</v>
      </c>
      <c r="C100" s="20" t="s">
        <v>1539</v>
      </c>
      <c r="D100" s="18" t="s">
        <v>1613</v>
      </c>
      <c r="E100" s="18" t="s">
        <v>1614</v>
      </c>
      <c r="F100" s="54" t="s">
        <v>1453</v>
      </c>
      <c r="G100" s="66" t="n">
        <v>90</v>
      </c>
      <c r="H100" s="79" t="n">
        <v>10</v>
      </c>
      <c r="I100" s="66" t="n">
        <f aca="false">IF(H100=0,0,G100/H100)</f>
        <v>9</v>
      </c>
      <c r="J100" s="64" t="n">
        <v>46247</v>
      </c>
      <c r="K100" s="64" t="n">
        <v>46259</v>
      </c>
      <c r="L100" s="66" t="n">
        <v>240</v>
      </c>
      <c r="M100" s="19" t="n">
        <v>3756.88</v>
      </c>
    </row>
    <row r="101" customFormat="false" ht="30" hidden="false" customHeight="true" outlineLevel="0" collapsed="false">
      <c r="A101" s="80" t="s">
        <v>1678</v>
      </c>
      <c r="B101" s="17" t="s">
        <v>1679</v>
      </c>
      <c r="C101" s="20" t="s">
        <v>1539</v>
      </c>
      <c r="D101" s="18" t="s">
        <v>1613</v>
      </c>
      <c r="E101" s="18" t="s">
        <v>1614</v>
      </c>
      <c r="F101" s="54" t="s">
        <v>1453</v>
      </c>
      <c r="G101" s="66" t="n">
        <v>90</v>
      </c>
      <c r="H101" s="79" t="n">
        <v>10</v>
      </c>
      <c r="I101" s="66" t="n">
        <f aca="false">IF(H101=0,0,G101/H101)</f>
        <v>9</v>
      </c>
      <c r="J101" s="64" t="n">
        <v>46247</v>
      </c>
      <c r="K101" s="64" t="n">
        <v>46259</v>
      </c>
      <c r="L101" s="66" t="n">
        <v>240</v>
      </c>
      <c r="M101" s="19" t="n">
        <v>3756.88</v>
      </c>
    </row>
    <row r="102" customFormat="false" ht="30" hidden="false" customHeight="true" outlineLevel="0" collapsed="false">
      <c r="A102" s="80" t="s">
        <v>1680</v>
      </c>
      <c r="B102" s="17" t="s">
        <v>1681</v>
      </c>
      <c r="C102" s="20" t="s">
        <v>1530</v>
      </c>
      <c r="D102" s="18" t="s">
        <v>1613</v>
      </c>
      <c r="E102" s="18" t="s">
        <v>1614</v>
      </c>
      <c r="F102" s="54" t="s">
        <v>1453</v>
      </c>
      <c r="G102" s="66" t="n">
        <v>60</v>
      </c>
      <c r="H102" s="79" t="n">
        <v>10</v>
      </c>
      <c r="I102" s="66" t="n">
        <f aca="false">IF(H102=0,0,G102/H102)</f>
        <v>6</v>
      </c>
      <c r="J102" s="64" t="n">
        <v>46250</v>
      </c>
      <c r="K102" s="64" t="n">
        <v>46257</v>
      </c>
      <c r="L102" s="66" t="n">
        <v>260</v>
      </c>
      <c r="M102" s="19" t="n">
        <v>1877.94</v>
      </c>
    </row>
    <row r="103" customFormat="false" ht="30" hidden="false" customHeight="true" outlineLevel="0" collapsed="false">
      <c r="A103" s="80" t="s">
        <v>1682</v>
      </c>
      <c r="B103" s="17" t="s">
        <v>1683</v>
      </c>
      <c r="C103" s="20" t="s">
        <v>1539</v>
      </c>
      <c r="D103" s="18" t="s">
        <v>1613</v>
      </c>
      <c r="E103" s="18" t="s">
        <v>1614</v>
      </c>
      <c r="F103" s="54" t="s">
        <v>1453</v>
      </c>
      <c r="G103" s="66" t="n">
        <v>90</v>
      </c>
      <c r="H103" s="79" t="n">
        <v>10</v>
      </c>
      <c r="I103" s="66" t="n">
        <f aca="false">IF(H103=0,0,G103/H103)</f>
        <v>9</v>
      </c>
      <c r="J103" s="64" t="n">
        <v>46250</v>
      </c>
      <c r="K103" s="64" t="n">
        <v>46260</v>
      </c>
      <c r="L103" s="66" t="n">
        <v>230</v>
      </c>
      <c r="M103" s="19" t="n">
        <v>3756.88</v>
      </c>
    </row>
    <row r="104" customFormat="false" ht="18" hidden="false" customHeight="true" outlineLevel="0" collapsed="false">
      <c r="A104" s="80" t="s">
        <v>1684</v>
      </c>
      <c r="B104" s="17" t="s">
        <v>1685</v>
      </c>
      <c r="C104" s="20" t="s">
        <v>1521</v>
      </c>
      <c r="D104" s="18" t="s">
        <v>1613</v>
      </c>
      <c r="E104" s="18" t="s">
        <v>1614</v>
      </c>
      <c r="F104" s="54" t="s">
        <v>1451</v>
      </c>
      <c r="G104" s="66" t="n">
        <v>50</v>
      </c>
      <c r="H104" s="79" t="n">
        <v>10</v>
      </c>
      <c r="I104" s="66" t="n">
        <f aca="false">IF(H104=0,0,G104/H104)</f>
        <v>5</v>
      </c>
      <c r="J104" s="64" t="n">
        <v>46256</v>
      </c>
      <c r="K104" s="64" t="n">
        <v>46260</v>
      </c>
      <c r="L104" s="66" t="n">
        <v>180</v>
      </c>
      <c r="M104" s="19" t="n">
        <v>260346.53</v>
      </c>
    </row>
    <row r="105" customFormat="false" ht="18" hidden="false" customHeight="true" outlineLevel="0" collapsed="false">
      <c r="A105" s="80" t="s">
        <v>1686</v>
      </c>
      <c r="B105" s="17" t="s">
        <v>1687</v>
      </c>
      <c r="C105" s="20" t="s">
        <v>1548</v>
      </c>
      <c r="D105" s="18" t="s">
        <v>1613</v>
      </c>
      <c r="E105" s="18" t="s">
        <v>1614</v>
      </c>
      <c r="F105" s="54" t="s">
        <v>1451</v>
      </c>
      <c r="G105" s="66" t="n">
        <v>50</v>
      </c>
      <c r="H105" s="79" t="n">
        <v>10</v>
      </c>
      <c r="I105" s="66" t="n">
        <f aca="false">IF(H105=0,0,G105/H105)</f>
        <v>5</v>
      </c>
      <c r="J105" s="64" t="n">
        <v>46256</v>
      </c>
      <c r="K105" s="64" t="n">
        <v>46260</v>
      </c>
      <c r="L105" s="66" t="n">
        <v>180</v>
      </c>
      <c r="M105" s="19" t="n">
        <v>318201.32</v>
      </c>
    </row>
    <row r="106" customFormat="false" ht="30" hidden="false" customHeight="true" outlineLevel="0" collapsed="false">
      <c r="A106" s="80" t="s">
        <v>1688</v>
      </c>
      <c r="B106" s="17" t="s">
        <v>1650</v>
      </c>
      <c r="C106" s="20" t="s">
        <v>1592</v>
      </c>
      <c r="D106" s="18" t="s">
        <v>1613</v>
      </c>
      <c r="E106" s="18" t="s">
        <v>1614</v>
      </c>
      <c r="F106" s="54" t="s">
        <v>1451</v>
      </c>
      <c r="G106" s="66" t="n">
        <v>70</v>
      </c>
      <c r="H106" s="79" t="n">
        <v>10</v>
      </c>
      <c r="I106" s="66" t="n">
        <f aca="false">IF(H106=0,0,G106/H106)</f>
        <v>7</v>
      </c>
      <c r="J106" s="64" t="n">
        <v>46258</v>
      </c>
      <c r="K106" s="64" t="n">
        <v>46265</v>
      </c>
      <c r="L106" s="66" t="n">
        <v>230</v>
      </c>
      <c r="M106" s="19" t="n">
        <v>0</v>
      </c>
    </row>
    <row r="107" customFormat="false" ht="18" hidden="false" customHeight="true" outlineLevel="0" collapsed="false">
      <c r="A107" s="80" t="s">
        <v>1689</v>
      </c>
      <c r="B107" s="17" t="s">
        <v>1690</v>
      </c>
      <c r="C107" s="20" t="s">
        <v>1469</v>
      </c>
      <c r="D107" s="18" t="s">
        <v>1613</v>
      </c>
      <c r="E107" s="18" t="s">
        <v>1614</v>
      </c>
      <c r="F107" s="54" t="s">
        <v>1451</v>
      </c>
      <c r="G107" s="66" t="n">
        <v>40</v>
      </c>
      <c r="H107" s="79" t="n">
        <v>10</v>
      </c>
      <c r="I107" s="66" t="n">
        <f aca="false">IF(H107=0,0,G107/H107)</f>
        <v>4</v>
      </c>
      <c r="J107" s="64" t="n">
        <v>46261</v>
      </c>
      <c r="K107" s="64" t="n">
        <v>46265</v>
      </c>
      <c r="L107" s="66" t="n">
        <v>180</v>
      </c>
      <c r="M107" s="19" t="n">
        <v>12086.23</v>
      </c>
    </row>
    <row r="108" customFormat="false" ht="18" hidden="false" customHeight="true" outlineLevel="0" collapsed="false">
      <c r="A108" s="80" t="s">
        <v>1691</v>
      </c>
      <c r="B108" s="17" t="s">
        <v>1692</v>
      </c>
      <c r="C108" s="20" t="s">
        <v>1469</v>
      </c>
      <c r="D108" s="18" t="s">
        <v>1613</v>
      </c>
      <c r="E108" s="18" t="s">
        <v>1614</v>
      </c>
      <c r="F108" s="54" t="s">
        <v>1451</v>
      </c>
      <c r="G108" s="66" t="n">
        <v>70</v>
      </c>
      <c r="H108" s="79" t="n">
        <v>10</v>
      </c>
      <c r="I108" s="66" t="n">
        <f aca="false">IF(H108=0,0,G108/H108)</f>
        <v>7</v>
      </c>
      <c r="J108" s="64" t="n">
        <v>46266</v>
      </c>
      <c r="K108" s="64" t="n">
        <v>46273</v>
      </c>
      <c r="L108" s="66" t="n">
        <v>180</v>
      </c>
      <c r="M108" s="19" t="n">
        <v>12086.23</v>
      </c>
    </row>
    <row r="109" customFormat="false" ht="30" hidden="false" customHeight="true" outlineLevel="0" collapsed="false">
      <c r="A109" s="80" t="s">
        <v>1693</v>
      </c>
      <c r="B109" s="17" t="s">
        <v>1656</v>
      </c>
      <c r="C109" s="20" t="s">
        <v>1592</v>
      </c>
      <c r="D109" s="18" t="s">
        <v>1613</v>
      </c>
      <c r="E109" s="18" t="s">
        <v>1614</v>
      </c>
      <c r="F109" s="54" t="s">
        <v>1453</v>
      </c>
      <c r="G109" s="66" t="n">
        <v>140</v>
      </c>
      <c r="H109" s="79" t="n">
        <v>10</v>
      </c>
      <c r="I109" s="66" t="n">
        <f aca="false">IF(H109=0,0,G109/H109)</f>
        <v>14</v>
      </c>
      <c r="J109" s="64" t="n">
        <v>46266</v>
      </c>
      <c r="K109" s="64" t="n">
        <v>46285</v>
      </c>
      <c r="L109" s="66" t="n">
        <v>190</v>
      </c>
      <c r="M109" s="19" t="n">
        <v>0</v>
      </c>
    </row>
    <row r="110" customFormat="false" ht="18" hidden="false" customHeight="true" outlineLevel="0" collapsed="false">
      <c r="A110" s="80" t="s">
        <v>1694</v>
      </c>
      <c r="B110" s="17" t="s">
        <v>1695</v>
      </c>
      <c r="C110" s="20" t="s">
        <v>1469</v>
      </c>
      <c r="D110" s="18" t="s">
        <v>1613</v>
      </c>
      <c r="E110" s="18" t="s">
        <v>1614</v>
      </c>
      <c r="F110" s="54" t="s">
        <v>1451</v>
      </c>
      <c r="G110" s="66" t="n">
        <v>70</v>
      </c>
      <c r="H110" s="79" t="n">
        <v>10</v>
      </c>
      <c r="I110" s="66" t="n">
        <f aca="false">IF(H110=0,0,G110/H110)</f>
        <v>7</v>
      </c>
      <c r="J110" s="64" t="n">
        <v>46270</v>
      </c>
      <c r="K110" s="64" t="n">
        <v>46277</v>
      </c>
      <c r="L110" s="66" t="n">
        <v>180</v>
      </c>
      <c r="M110" s="19" t="n">
        <v>56402.53</v>
      </c>
    </row>
    <row r="111" customFormat="false" ht="30" hidden="false" customHeight="true" outlineLevel="0" collapsed="false">
      <c r="A111" s="80" t="s">
        <v>1696</v>
      </c>
      <c r="B111" s="17" t="s">
        <v>1697</v>
      </c>
      <c r="C111" s="20" t="s">
        <v>1472</v>
      </c>
      <c r="D111" s="18" t="s">
        <v>1613</v>
      </c>
      <c r="E111" s="18" t="s">
        <v>1614</v>
      </c>
      <c r="F111" s="54" t="s">
        <v>1451</v>
      </c>
      <c r="G111" s="66" t="n">
        <v>60</v>
      </c>
      <c r="H111" s="79" t="n">
        <v>10</v>
      </c>
      <c r="I111" s="66" t="n">
        <f aca="false">IF(H111=0,0,G111/H111)</f>
        <v>6</v>
      </c>
      <c r="J111" s="64" t="n">
        <v>46272</v>
      </c>
      <c r="K111" s="64" t="n">
        <v>46278</v>
      </c>
      <c r="L111" s="66" t="n">
        <v>180</v>
      </c>
      <c r="M111" s="19" t="n">
        <v>5000</v>
      </c>
    </row>
    <row r="112" customFormat="false" ht="30" hidden="false" customHeight="true" outlineLevel="0" collapsed="false">
      <c r="A112" s="80" t="s">
        <v>1698</v>
      </c>
      <c r="B112" s="17" t="s">
        <v>1699</v>
      </c>
      <c r="C112" s="20" t="s">
        <v>1563</v>
      </c>
      <c r="D112" s="18" t="s">
        <v>1613</v>
      </c>
      <c r="E112" s="18" t="s">
        <v>1614</v>
      </c>
      <c r="F112" s="54" t="s">
        <v>1451</v>
      </c>
      <c r="G112" s="66" t="n">
        <v>210</v>
      </c>
      <c r="H112" s="79" t="n">
        <v>10</v>
      </c>
      <c r="I112" s="66" t="n">
        <f aca="false">IF(H112=0,0,G112/H112)</f>
        <v>21</v>
      </c>
      <c r="J112" s="64" t="n">
        <v>46273</v>
      </c>
      <c r="K112" s="64" t="n">
        <v>46298</v>
      </c>
      <c r="L112" s="66" t="n">
        <v>140</v>
      </c>
      <c r="M112" s="19" t="n">
        <v>147998.19</v>
      </c>
    </row>
    <row r="113" customFormat="false" ht="30" hidden="false" customHeight="true" outlineLevel="0" collapsed="false">
      <c r="A113" s="80" t="s">
        <v>1700</v>
      </c>
      <c r="B113" s="17" t="s">
        <v>1701</v>
      </c>
      <c r="C113" s="20" t="s">
        <v>1574</v>
      </c>
      <c r="D113" s="18" t="s">
        <v>1613</v>
      </c>
      <c r="E113" s="18" t="s">
        <v>1614</v>
      </c>
      <c r="F113" s="54" t="s">
        <v>1451</v>
      </c>
      <c r="G113" s="66" t="n">
        <v>210</v>
      </c>
      <c r="H113" s="79" t="n">
        <v>10</v>
      </c>
      <c r="I113" s="66" t="n">
        <f aca="false">IF(H113=0,0,G113/H113)</f>
        <v>21</v>
      </c>
      <c r="J113" s="64" t="n">
        <v>46273</v>
      </c>
      <c r="K113" s="64" t="n">
        <v>46298</v>
      </c>
      <c r="L113" s="66" t="n">
        <v>140</v>
      </c>
      <c r="M113" s="19" t="n">
        <v>0</v>
      </c>
    </row>
    <row r="114" customFormat="false" ht="30" hidden="false" customHeight="true" outlineLevel="0" collapsed="false">
      <c r="A114" s="80" t="s">
        <v>1702</v>
      </c>
      <c r="B114" s="17" t="s">
        <v>1703</v>
      </c>
      <c r="C114" s="20" t="s">
        <v>1574</v>
      </c>
      <c r="D114" s="18" t="s">
        <v>1613</v>
      </c>
      <c r="E114" s="18" t="s">
        <v>1614</v>
      </c>
      <c r="F114" s="54" t="s">
        <v>1453</v>
      </c>
      <c r="G114" s="66" t="n">
        <v>170</v>
      </c>
      <c r="H114" s="79" t="n">
        <v>10</v>
      </c>
      <c r="I114" s="66" t="n">
        <f aca="false">IF(H114=0,0,G114/H114)</f>
        <v>17</v>
      </c>
      <c r="J114" s="64" t="n">
        <v>46274</v>
      </c>
      <c r="K114" s="64" t="n">
        <v>46299</v>
      </c>
      <c r="L114" s="66" t="n">
        <v>120</v>
      </c>
      <c r="M114" s="19" t="n">
        <v>0</v>
      </c>
    </row>
    <row r="115" customFormat="false" ht="30" hidden="false" customHeight="true" outlineLevel="0" collapsed="false">
      <c r="A115" s="80" t="s">
        <v>1704</v>
      </c>
      <c r="B115" s="17" t="s">
        <v>1705</v>
      </c>
      <c r="C115" s="20" t="s">
        <v>1481</v>
      </c>
      <c r="D115" s="18" t="s">
        <v>1613</v>
      </c>
      <c r="E115" s="18" t="s">
        <v>1614</v>
      </c>
      <c r="F115" s="54" t="s">
        <v>1451</v>
      </c>
      <c r="G115" s="66" t="n">
        <v>200</v>
      </c>
      <c r="H115" s="79" t="n">
        <v>10</v>
      </c>
      <c r="I115" s="66" t="n">
        <f aca="false">IF(H115=0,0,G115/H115)</f>
        <v>20</v>
      </c>
      <c r="J115" s="64" t="n">
        <v>46277</v>
      </c>
      <c r="K115" s="64" t="n">
        <v>46300</v>
      </c>
      <c r="L115" s="66" t="n">
        <v>150</v>
      </c>
      <c r="M115" s="19" t="n">
        <v>441252.18</v>
      </c>
    </row>
    <row r="116" customFormat="false" ht="30" hidden="false" customHeight="true" outlineLevel="0" collapsed="false">
      <c r="A116" s="80" t="s">
        <v>1706</v>
      </c>
      <c r="B116" s="17" t="s">
        <v>1658</v>
      </c>
      <c r="C116" s="20" t="s">
        <v>1596</v>
      </c>
      <c r="D116" s="18" t="s">
        <v>1613</v>
      </c>
      <c r="E116" s="18" t="s">
        <v>1614</v>
      </c>
      <c r="F116" s="54" t="s">
        <v>1451</v>
      </c>
      <c r="G116" s="66" t="n">
        <v>40</v>
      </c>
      <c r="H116" s="79" t="n">
        <v>10</v>
      </c>
      <c r="I116" s="66" t="n">
        <f aca="false">IF(H116=0,0,G116/H116)</f>
        <v>4</v>
      </c>
      <c r="J116" s="64" t="n">
        <v>46286</v>
      </c>
      <c r="K116" s="64" t="n">
        <v>46291</v>
      </c>
      <c r="L116" s="66" t="n">
        <v>230</v>
      </c>
      <c r="M116" s="19" t="n">
        <v>26471.87</v>
      </c>
    </row>
    <row r="117" customFormat="false" ht="30" hidden="false" customHeight="true" outlineLevel="0" collapsed="false">
      <c r="A117" s="80" t="s">
        <v>1707</v>
      </c>
      <c r="B117" s="17" t="s">
        <v>1708</v>
      </c>
      <c r="C117" s="20" t="s">
        <v>1590</v>
      </c>
      <c r="D117" s="18" t="s">
        <v>1613</v>
      </c>
      <c r="E117" s="18" t="s">
        <v>1614</v>
      </c>
      <c r="F117" s="54" t="s">
        <v>1451</v>
      </c>
      <c r="G117" s="66" t="n">
        <v>300</v>
      </c>
      <c r="H117" s="79" t="n">
        <v>10</v>
      </c>
      <c r="I117" s="66" t="n">
        <f aca="false">IF(H117=0,0,G117/H117)</f>
        <v>30</v>
      </c>
      <c r="J117" s="64" t="n">
        <v>46292</v>
      </c>
      <c r="K117" s="64" t="n">
        <v>46326</v>
      </c>
      <c r="L117" s="66" t="n">
        <v>230</v>
      </c>
      <c r="M117" s="19" t="n">
        <v>149928.13</v>
      </c>
    </row>
    <row r="118" customFormat="false" ht="30" hidden="false" customHeight="true" outlineLevel="0" collapsed="false">
      <c r="A118" s="80" t="s">
        <v>1709</v>
      </c>
      <c r="B118" s="17" t="s">
        <v>1710</v>
      </c>
      <c r="C118" s="20" t="s">
        <v>1563</v>
      </c>
      <c r="D118" s="18" t="s">
        <v>1613</v>
      </c>
      <c r="E118" s="18" t="s">
        <v>1614</v>
      </c>
      <c r="F118" s="54" t="s">
        <v>1451</v>
      </c>
      <c r="G118" s="66" t="n">
        <v>140</v>
      </c>
      <c r="H118" s="79" t="n">
        <v>10</v>
      </c>
      <c r="I118" s="66" t="n">
        <f aca="false">IF(H118=0,0,G118/H118)</f>
        <v>14</v>
      </c>
      <c r="J118" s="64" t="n">
        <v>46299</v>
      </c>
      <c r="K118" s="64" t="n">
        <v>46314</v>
      </c>
      <c r="L118" s="66" t="n">
        <v>150</v>
      </c>
      <c r="M118" s="19" t="n">
        <v>295996.37</v>
      </c>
    </row>
    <row r="119" customFormat="false" ht="30" hidden="false" customHeight="true" outlineLevel="0" collapsed="false">
      <c r="A119" s="80" t="s">
        <v>1711</v>
      </c>
      <c r="B119" s="17" t="s">
        <v>1712</v>
      </c>
      <c r="C119" s="20" t="s">
        <v>1574</v>
      </c>
      <c r="D119" s="18" t="s">
        <v>1613</v>
      </c>
      <c r="E119" s="18" t="s">
        <v>1614</v>
      </c>
      <c r="F119" s="54" t="s">
        <v>1451</v>
      </c>
      <c r="G119" s="66" t="n">
        <v>140</v>
      </c>
      <c r="H119" s="79" t="n">
        <v>10</v>
      </c>
      <c r="I119" s="66" t="n">
        <f aca="false">IF(H119=0,0,G119/H119)</f>
        <v>14</v>
      </c>
      <c r="J119" s="64" t="n">
        <v>46299</v>
      </c>
      <c r="K119" s="64" t="n">
        <v>46314</v>
      </c>
      <c r="L119" s="66" t="n">
        <v>150</v>
      </c>
      <c r="M119" s="19" t="n">
        <v>0</v>
      </c>
    </row>
    <row r="120" customFormat="false" ht="30" hidden="false" customHeight="true" outlineLevel="0" collapsed="false">
      <c r="A120" s="80" t="s">
        <v>1713</v>
      </c>
      <c r="B120" s="17" t="s">
        <v>1714</v>
      </c>
      <c r="C120" s="20" t="s">
        <v>1574</v>
      </c>
      <c r="D120" s="18" t="s">
        <v>1613</v>
      </c>
      <c r="E120" s="18" t="s">
        <v>1614</v>
      </c>
      <c r="F120" s="54" t="s">
        <v>1453</v>
      </c>
      <c r="G120" s="66" t="n">
        <v>120</v>
      </c>
      <c r="H120" s="79" t="n">
        <v>10</v>
      </c>
      <c r="I120" s="66" t="n">
        <f aca="false">IF(H120=0,0,G120/H120)</f>
        <v>12</v>
      </c>
      <c r="J120" s="64" t="n">
        <v>46300</v>
      </c>
      <c r="K120" s="64" t="n">
        <v>46315</v>
      </c>
      <c r="L120" s="66" t="n">
        <v>130</v>
      </c>
      <c r="M120" s="19" t="n">
        <v>0</v>
      </c>
    </row>
    <row r="121" customFormat="false" ht="30" hidden="false" customHeight="true" outlineLevel="0" collapsed="false">
      <c r="A121" s="80" t="s">
        <v>1715</v>
      </c>
      <c r="B121" s="17" t="s">
        <v>1716</v>
      </c>
      <c r="C121" s="20" t="s">
        <v>1481</v>
      </c>
      <c r="D121" s="18" t="s">
        <v>1613</v>
      </c>
      <c r="E121" s="18" t="s">
        <v>1614</v>
      </c>
      <c r="F121" s="54" t="s">
        <v>1451</v>
      </c>
      <c r="G121" s="66" t="n">
        <v>160</v>
      </c>
      <c r="H121" s="79" t="n">
        <v>10</v>
      </c>
      <c r="I121" s="66" t="n">
        <f aca="false">IF(H121=0,0,G121/H121)</f>
        <v>16</v>
      </c>
      <c r="J121" s="64" t="n">
        <v>46301</v>
      </c>
      <c r="K121" s="64" t="n">
        <v>46319</v>
      </c>
      <c r="L121" s="66" t="n">
        <v>150</v>
      </c>
      <c r="M121" s="19" t="n">
        <v>701992.11</v>
      </c>
    </row>
    <row r="122" customFormat="false" ht="18" hidden="false" customHeight="true" outlineLevel="0" collapsed="false">
      <c r="A122" s="80" t="s">
        <v>1717</v>
      </c>
      <c r="B122" s="17" t="s">
        <v>1718</v>
      </c>
      <c r="C122" s="20" t="s">
        <v>1481</v>
      </c>
      <c r="D122" s="18" t="s">
        <v>1613</v>
      </c>
      <c r="E122" s="18" t="s">
        <v>1614</v>
      </c>
      <c r="F122" s="54" t="s">
        <v>1451</v>
      </c>
      <c r="G122" s="66" t="n">
        <v>190</v>
      </c>
      <c r="H122" s="79" t="n">
        <v>10</v>
      </c>
      <c r="I122" s="66" t="n">
        <f aca="false">IF(H122=0,0,G122/H122)</f>
        <v>19</v>
      </c>
      <c r="J122" s="64" t="n">
        <v>46303</v>
      </c>
      <c r="K122" s="64" t="n">
        <v>46324</v>
      </c>
      <c r="L122" s="66" t="n">
        <v>150</v>
      </c>
      <c r="M122" s="19" t="n">
        <v>260739.93</v>
      </c>
    </row>
    <row r="123" customFormat="false" ht="30" hidden="false" customHeight="true" outlineLevel="0" collapsed="false">
      <c r="A123" s="80" t="s">
        <v>1719</v>
      </c>
      <c r="B123" s="17" t="s">
        <v>1720</v>
      </c>
      <c r="C123" s="20" t="s">
        <v>1566</v>
      </c>
      <c r="D123" s="18" t="s">
        <v>1613</v>
      </c>
      <c r="E123" s="18" t="s">
        <v>1614</v>
      </c>
      <c r="F123" s="54" t="s">
        <v>1451</v>
      </c>
      <c r="G123" s="66" t="n">
        <v>140</v>
      </c>
      <c r="H123" s="79" t="n">
        <v>10</v>
      </c>
      <c r="I123" s="66" t="n">
        <f aca="false">IF(H123=0,0,G123/H123)</f>
        <v>14</v>
      </c>
      <c r="J123" s="64" t="n">
        <v>46315</v>
      </c>
      <c r="K123" s="64" t="n">
        <v>46330</v>
      </c>
      <c r="L123" s="66" t="n">
        <v>0</v>
      </c>
      <c r="M123" s="19" t="n">
        <v>443958.8</v>
      </c>
    </row>
    <row r="124" customFormat="false" ht="30" hidden="false" customHeight="true" outlineLevel="0" collapsed="false">
      <c r="A124" s="80" t="s">
        <v>1721</v>
      </c>
      <c r="B124" s="17" t="s">
        <v>1722</v>
      </c>
      <c r="C124" s="20" t="s">
        <v>1576</v>
      </c>
      <c r="D124" s="18" t="s">
        <v>1613</v>
      </c>
      <c r="E124" s="18" t="s">
        <v>1614</v>
      </c>
      <c r="F124" s="54" t="s">
        <v>1451</v>
      </c>
      <c r="G124" s="66" t="n">
        <v>140</v>
      </c>
      <c r="H124" s="79" t="n">
        <v>10</v>
      </c>
      <c r="I124" s="66" t="n">
        <f aca="false">IF(H124=0,0,G124/H124)</f>
        <v>14</v>
      </c>
      <c r="J124" s="64" t="n">
        <v>46315</v>
      </c>
      <c r="K124" s="64" t="n">
        <v>46330</v>
      </c>
      <c r="L124" s="66" t="n">
        <v>0</v>
      </c>
      <c r="M124" s="19" t="n">
        <v>0</v>
      </c>
    </row>
    <row r="125" customFormat="false" ht="30" hidden="false" customHeight="true" outlineLevel="0" collapsed="false">
      <c r="A125" s="80" t="s">
        <v>1723</v>
      </c>
      <c r="B125" s="17" t="s">
        <v>1705</v>
      </c>
      <c r="C125" s="20" t="s">
        <v>1488</v>
      </c>
      <c r="D125" s="18" t="s">
        <v>1613</v>
      </c>
      <c r="E125" s="18" t="s">
        <v>1614</v>
      </c>
      <c r="F125" s="54" t="s">
        <v>1451</v>
      </c>
      <c r="G125" s="66" t="n">
        <v>60</v>
      </c>
      <c r="H125" s="79" t="n">
        <v>10</v>
      </c>
      <c r="I125" s="66" t="n">
        <f aca="false">IF(H125=0,0,G125/H125)</f>
        <v>6</v>
      </c>
      <c r="J125" s="64" t="n">
        <v>46317</v>
      </c>
      <c r="K125" s="64" t="n">
        <v>46323</v>
      </c>
      <c r="L125" s="66" t="n">
        <v>0</v>
      </c>
      <c r="M125" s="19" t="n">
        <v>441252.18</v>
      </c>
    </row>
    <row r="126" customFormat="false" ht="30" hidden="false" customHeight="true" outlineLevel="0" collapsed="false">
      <c r="A126" s="80" t="s">
        <v>1724</v>
      </c>
      <c r="B126" s="17" t="s">
        <v>1725</v>
      </c>
      <c r="C126" s="20" t="s">
        <v>1576</v>
      </c>
      <c r="D126" s="18" t="s">
        <v>1613</v>
      </c>
      <c r="E126" s="18" t="s">
        <v>1614</v>
      </c>
      <c r="F126" s="54" t="s">
        <v>1451</v>
      </c>
      <c r="G126" s="66" t="n">
        <v>130</v>
      </c>
      <c r="H126" s="79" t="n">
        <v>10</v>
      </c>
      <c r="I126" s="66" t="n">
        <f aca="false">IF(H126=0,0,G126/H126)</f>
        <v>13</v>
      </c>
      <c r="J126" s="64" t="n">
        <v>46317</v>
      </c>
      <c r="K126" s="64" t="n">
        <v>46331</v>
      </c>
      <c r="L126" s="66" t="n">
        <v>0</v>
      </c>
      <c r="M126" s="19" t="n">
        <v>0</v>
      </c>
    </row>
    <row r="127" customFormat="false" ht="30" hidden="false" customHeight="true" outlineLevel="0" collapsed="false">
      <c r="A127" s="80" t="s">
        <v>1726</v>
      </c>
      <c r="B127" s="17" t="s">
        <v>1716</v>
      </c>
      <c r="C127" s="20" t="s">
        <v>1488</v>
      </c>
      <c r="D127" s="18" t="s">
        <v>1613</v>
      </c>
      <c r="E127" s="18" t="s">
        <v>1614</v>
      </c>
      <c r="F127" s="54" t="s">
        <v>1451</v>
      </c>
      <c r="G127" s="66" t="n">
        <v>120</v>
      </c>
      <c r="H127" s="79" t="n">
        <v>10</v>
      </c>
      <c r="I127" s="66" t="n">
        <f aca="false">IF(H127=0,0,G127/H127)</f>
        <v>12</v>
      </c>
      <c r="J127" s="64" t="n">
        <v>46324</v>
      </c>
      <c r="K127" s="64" t="n">
        <v>46337</v>
      </c>
      <c r="L127" s="66" t="n">
        <v>0</v>
      </c>
      <c r="M127" s="19" t="n">
        <v>701992.11</v>
      </c>
    </row>
    <row r="128" customFormat="false" ht="18" hidden="false" customHeight="true" outlineLevel="0" collapsed="false">
      <c r="A128" s="80" t="s">
        <v>1727</v>
      </c>
      <c r="B128" s="17" t="s">
        <v>1728</v>
      </c>
      <c r="C128" s="20" t="s">
        <v>1481</v>
      </c>
      <c r="D128" s="18" t="s">
        <v>1613</v>
      </c>
      <c r="E128" s="18" t="s">
        <v>1614</v>
      </c>
      <c r="F128" s="54" t="s">
        <v>1451</v>
      </c>
      <c r="G128" s="66" t="n">
        <v>50</v>
      </c>
      <c r="H128" s="79" t="n">
        <v>10</v>
      </c>
      <c r="I128" s="66" t="n">
        <f aca="false">IF(H128=0,0,G128/H128)</f>
        <v>5</v>
      </c>
      <c r="J128" s="64" t="n">
        <v>46326</v>
      </c>
      <c r="K128" s="64" t="n">
        <v>46330</v>
      </c>
      <c r="L128" s="66" t="n">
        <v>150</v>
      </c>
      <c r="M128" s="19" t="n">
        <v>260739.93</v>
      </c>
    </row>
    <row r="129" customFormat="false" ht="18" hidden="false" customHeight="true" outlineLevel="0" collapsed="false">
      <c r="A129" s="80" t="s">
        <v>1729</v>
      </c>
      <c r="B129" s="17" t="s">
        <v>1718</v>
      </c>
      <c r="C129" s="20" t="s">
        <v>1488</v>
      </c>
      <c r="D129" s="18" t="s">
        <v>1613</v>
      </c>
      <c r="E129" s="18" t="s">
        <v>1614</v>
      </c>
      <c r="F129" s="54" t="s">
        <v>1451</v>
      </c>
      <c r="G129" s="66" t="n">
        <v>150</v>
      </c>
      <c r="H129" s="79" t="n">
        <v>10</v>
      </c>
      <c r="I129" s="66" t="n">
        <f aca="false">IF(H129=0,0,G129/H129)</f>
        <v>15</v>
      </c>
      <c r="J129" s="64" t="n">
        <v>46327</v>
      </c>
      <c r="K129" s="64" t="n">
        <v>46343</v>
      </c>
      <c r="L129" s="66" t="n">
        <v>0</v>
      </c>
      <c r="M129" s="19" t="n">
        <v>260739.93</v>
      </c>
    </row>
    <row r="130" customFormat="false" ht="30" hidden="false" customHeight="true" outlineLevel="0" collapsed="false">
      <c r="A130" s="80" t="s">
        <v>1730</v>
      </c>
      <c r="B130" s="17" t="s">
        <v>1731</v>
      </c>
      <c r="C130" s="20" t="s">
        <v>1594</v>
      </c>
      <c r="D130" s="18" t="s">
        <v>1613</v>
      </c>
      <c r="E130" s="18" t="s">
        <v>1614</v>
      </c>
      <c r="F130" s="54" t="s">
        <v>1451</v>
      </c>
      <c r="G130" s="66" t="n">
        <v>10</v>
      </c>
      <c r="H130" s="79" t="n">
        <v>10</v>
      </c>
      <c r="I130" s="66" t="n">
        <f aca="false">IF(H130=0,0,G130/H130)</f>
        <v>1</v>
      </c>
      <c r="J130" s="64" t="n">
        <v>46327</v>
      </c>
      <c r="K130" s="64" t="n">
        <v>46327</v>
      </c>
      <c r="L130" s="66" t="n">
        <v>230</v>
      </c>
      <c r="M130" s="19" t="n">
        <v>0</v>
      </c>
    </row>
    <row r="131" customFormat="false" ht="30" hidden="false" customHeight="true" outlineLevel="0" collapsed="false">
      <c r="A131" s="80" t="s">
        <v>1732</v>
      </c>
      <c r="B131" s="17" t="s">
        <v>1733</v>
      </c>
      <c r="C131" s="20" t="s">
        <v>1594</v>
      </c>
      <c r="D131" s="18" t="s">
        <v>1613</v>
      </c>
      <c r="E131" s="18" t="s">
        <v>1614</v>
      </c>
      <c r="F131" s="54" t="s">
        <v>1453</v>
      </c>
      <c r="G131" s="66" t="n">
        <v>20</v>
      </c>
      <c r="H131" s="79" t="n">
        <v>10</v>
      </c>
      <c r="I131" s="66" t="n">
        <f aca="false">IF(H131=0,0,G131/H131)</f>
        <v>2</v>
      </c>
      <c r="J131" s="64" t="n">
        <v>46328</v>
      </c>
      <c r="K131" s="64" t="n">
        <v>46329</v>
      </c>
      <c r="L131" s="66" t="n">
        <v>190</v>
      </c>
      <c r="M131" s="19" t="n">
        <v>0</v>
      </c>
    </row>
    <row r="132" customFormat="false" ht="30" hidden="false" customHeight="true" outlineLevel="0" collapsed="false">
      <c r="A132" s="80" t="s">
        <v>1734</v>
      </c>
      <c r="B132" s="17" t="s">
        <v>1735</v>
      </c>
      <c r="C132" s="20" t="s">
        <v>1481</v>
      </c>
      <c r="D132" s="18" t="s">
        <v>1613</v>
      </c>
      <c r="E132" s="18" t="s">
        <v>1614</v>
      </c>
      <c r="F132" s="54" t="s">
        <v>1451</v>
      </c>
      <c r="G132" s="66" t="n">
        <v>60</v>
      </c>
      <c r="H132" s="79" t="n">
        <v>10</v>
      </c>
      <c r="I132" s="66" t="n">
        <f aca="false">IF(H132=0,0,G132/H132)</f>
        <v>6</v>
      </c>
      <c r="J132" s="64" t="n">
        <v>46331</v>
      </c>
      <c r="K132" s="64" t="n">
        <v>46337</v>
      </c>
      <c r="L132" s="66" t="n">
        <v>150</v>
      </c>
      <c r="M132" s="19" t="n">
        <v>340967.6</v>
      </c>
    </row>
    <row r="133" customFormat="false" ht="30" hidden="false" customHeight="true" outlineLevel="0" collapsed="false">
      <c r="A133" s="80" t="s">
        <v>1736</v>
      </c>
      <c r="B133" s="17" t="s">
        <v>1737</v>
      </c>
      <c r="C133" s="20" t="s">
        <v>1478</v>
      </c>
      <c r="D133" s="18" t="s">
        <v>1613</v>
      </c>
      <c r="E133" s="18" t="s">
        <v>1614</v>
      </c>
      <c r="F133" s="54" t="s">
        <v>1451</v>
      </c>
      <c r="G133" s="66" t="n">
        <v>50</v>
      </c>
      <c r="H133" s="79" t="n">
        <v>10</v>
      </c>
      <c r="I133" s="66" t="n">
        <f aca="false">IF(H133=0,0,G133/H133)</f>
        <v>5</v>
      </c>
      <c r="J133" s="64" t="n">
        <v>46335</v>
      </c>
      <c r="K133" s="64" t="n">
        <v>46340</v>
      </c>
      <c r="L133" s="66" t="n">
        <v>170</v>
      </c>
      <c r="M133" s="19" t="n">
        <v>44773.92</v>
      </c>
    </row>
    <row r="134" customFormat="false" ht="30" hidden="false" customHeight="true" outlineLevel="0" collapsed="false">
      <c r="A134" s="80" t="s">
        <v>1738</v>
      </c>
      <c r="B134" s="17" t="s">
        <v>1739</v>
      </c>
      <c r="C134" s="20" t="s">
        <v>1478</v>
      </c>
      <c r="D134" s="18" t="s">
        <v>1613</v>
      </c>
      <c r="E134" s="18" t="s">
        <v>1614</v>
      </c>
      <c r="F134" s="54" t="s">
        <v>1451</v>
      </c>
      <c r="G134" s="66" t="n">
        <v>30</v>
      </c>
      <c r="H134" s="79" t="n">
        <v>10</v>
      </c>
      <c r="I134" s="66" t="n">
        <f aca="false">IF(H134=0,0,G134/H134)</f>
        <v>3</v>
      </c>
      <c r="J134" s="64" t="n">
        <v>46337</v>
      </c>
      <c r="K134" s="64" t="n">
        <v>46340</v>
      </c>
      <c r="L134" s="66" t="n">
        <v>170</v>
      </c>
      <c r="M134" s="19" t="n">
        <v>22386.96</v>
      </c>
    </row>
    <row r="135" customFormat="false" ht="18" hidden="false" customHeight="true" outlineLevel="0" collapsed="false">
      <c r="A135" s="80" t="s">
        <v>1740</v>
      </c>
      <c r="B135" s="17" t="s">
        <v>1741</v>
      </c>
      <c r="C135" s="20" t="s">
        <v>1478</v>
      </c>
      <c r="D135" s="18" t="s">
        <v>1613</v>
      </c>
      <c r="E135" s="18" t="s">
        <v>1614</v>
      </c>
      <c r="F135" s="54" t="s">
        <v>1451</v>
      </c>
      <c r="G135" s="66" t="n">
        <v>40</v>
      </c>
      <c r="H135" s="79" t="n">
        <v>10</v>
      </c>
      <c r="I135" s="66" t="n">
        <f aca="false">IF(H135=0,0,G135/H135)</f>
        <v>4</v>
      </c>
      <c r="J135" s="64" t="n">
        <v>46338</v>
      </c>
      <c r="K135" s="64" t="n">
        <v>46342</v>
      </c>
      <c r="L135" s="66" t="n">
        <v>150</v>
      </c>
      <c r="M135" s="19" t="n">
        <v>156708.71</v>
      </c>
    </row>
    <row r="136" customFormat="false" ht="18" hidden="false" customHeight="true" outlineLevel="0" collapsed="false">
      <c r="A136" s="80" t="s">
        <v>1742</v>
      </c>
      <c r="B136" s="17" t="s">
        <v>1728</v>
      </c>
      <c r="C136" s="20" t="s">
        <v>1488</v>
      </c>
      <c r="D136" s="18" t="s">
        <v>1613</v>
      </c>
      <c r="E136" s="18" t="s">
        <v>1614</v>
      </c>
      <c r="F136" s="54" t="s">
        <v>1451</v>
      </c>
      <c r="G136" s="66" t="n">
        <v>50</v>
      </c>
      <c r="H136" s="79" t="n">
        <v>10</v>
      </c>
      <c r="I136" s="66" t="n">
        <f aca="false">IF(H136=0,0,G136/H136)</f>
        <v>5</v>
      </c>
      <c r="J136" s="64" t="n">
        <v>46344</v>
      </c>
      <c r="K136" s="64" t="n">
        <v>46349</v>
      </c>
      <c r="L136" s="66" t="n">
        <v>0</v>
      </c>
      <c r="M136" s="19" t="n">
        <v>260739.93</v>
      </c>
    </row>
    <row r="137" customFormat="false" ht="30" hidden="false" customHeight="true" outlineLevel="0" collapsed="false">
      <c r="A137" s="80" t="s">
        <v>1743</v>
      </c>
      <c r="B137" s="17" t="s">
        <v>1735</v>
      </c>
      <c r="C137" s="20" t="s">
        <v>1488</v>
      </c>
      <c r="D137" s="18" t="s">
        <v>1613</v>
      </c>
      <c r="E137" s="18" t="s">
        <v>1614</v>
      </c>
      <c r="F137" s="54" t="s">
        <v>1451</v>
      </c>
      <c r="G137" s="66" t="n">
        <v>60</v>
      </c>
      <c r="H137" s="79" t="n">
        <v>10</v>
      </c>
      <c r="I137" s="66" t="n">
        <f aca="false">IF(H137=0,0,G137/H137)</f>
        <v>6</v>
      </c>
      <c r="J137" s="64" t="n">
        <v>46350</v>
      </c>
      <c r="K137" s="64" t="n">
        <v>46356</v>
      </c>
      <c r="L137" s="66" t="n">
        <v>0</v>
      </c>
      <c r="M137" s="19" t="n">
        <v>340967.6</v>
      </c>
    </row>
    <row r="138" customFormat="false" ht="30" hidden="false" customHeight="true" outlineLevel="0" collapsed="false">
      <c r="A138" s="80" t="s">
        <v>1744</v>
      </c>
      <c r="B138" s="17" t="s">
        <v>1737</v>
      </c>
      <c r="C138" s="20" t="s">
        <v>1486</v>
      </c>
      <c r="D138" s="18" t="s">
        <v>1613</v>
      </c>
      <c r="E138" s="18" t="s">
        <v>1614</v>
      </c>
      <c r="F138" s="54" t="s">
        <v>1451</v>
      </c>
      <c r="G138" s="66" t="n">
        <v>50</v>
      </c>
      <c r="H138" s="79" t="n">
        <v>10</v>
      </c>
      <c r="I138" s="66" t="n">
        <f aca="false">IF(H138=0,0,G138/H138)</f>
        <v>5</v>
      </c>
      <c r="J138" s="64" t="n">
        <v>46354</v>
      </c>
      <c r="K138" s="64" t="n">
        <v>46358</v>
      </c>
      <c r="L138" s="66" t="n">
        <v>0</v>
      </c>
      <c r="M138" s="19" t="n">
        <v>44773.92</v>
      </c>
    </row>
    <row r="139" customFormat="false" ht="30" hidden="false" customHeight="true" outlineLevel="0" collapsed="false">
      <c r="A139" s="80" t="s">
        <v>1745</v>
      </c>
      <c r="B139" s="17" t="s">
        <v>1739</v>
      </c>
      <c r="C139" s="20" t="s">
        <v>1486</v>
      </c>
      <c r="D139" s="18" t="s">
        <v>1613</v>
      </c>
      <c r="E139" s="18" t="s">
        <v>1614</v>
      </c>
      <c r="F139" s="54" t="s">
        <v>1451</v>
      </c>
      <c r="G139" s="66" t="n">
        <v>30</v>
      </c>
      <c r="H139" s="79" t="n">
        <v>10</v>
      </c>
      <c r="I139" s="66" t="n">
        <f aca="false">IF(H139=0,0,G139/H139)</f>
        <v>3</v>
      </c>
      <c r="J139" s="64" t="n">
        <v>46356</v>
      </c>
      <c r="K139" s="64" t="n">
        <v>46358</v>
      </c>
      <c r="L139" s="66" t="n">
        <v>50</v>
      </c>
      <c r="M139" s="19" t="n">
        <v>22386.96</v>
      </c>
    </row>
    <row r="140" customFormat="false" ht="18" hidden="false" customHeight="true" outlineLevel="0" collapsed="false">
      <c r="A140" s="80" t="s">
        <v>1746</v>
      </c>
      <c r="B140" s="17" t="s">
        <v>1741</v>
      </c>
      <c r="C140" s="20" t="s">
        <v>1486</v>
      </c>
      <c r="D140" s="18" t="s">
        <v>1613</v>
      </c>
      <c r="E140" s="18" t="s">
        <v>1614</v>
      </c>
      <c r="F140" s="54" t="s">
        <v>1451</v>
      </c>
      <c r="G140" s="66" t="n">
        <v>30</v>
      </c>
      <c r="H140" s="79" t="n">
        <v>10</v>
      </c>
      <c r="I140" s="66" t="n">
        <f aca="false">IF(H140=0,0,G140/H140)</f>
        <v>3</v>
      </c>
      <c r="J140" s="64" t="n">
        <v>46357</v>
      </c>
      <c r="K140" s="64" t="n">
        <v>46359</v>
      </c>
      <c r="L140" s="66" t="n">
        <v>0</v>
      </c>
      <c r="M140" s="19" t="n">
        <v>156708.71</v>
      </c>
    </row>
    <row r="141" customFormat="false" ht="18" hidden="false" customHeight="true" outlineLevel="0" collapsed="false">
      <c r="A141" s="80" t="s">
        <v>1747</v>
      </c>
      <c r="B141" s="17" t="s">
        <v>1748</v>
      </c>
      <c r="C141" s="20" t="s">
        <v>1494</v>
      </c>
      <c r="D141" s="18" t="s">
        <v>1620</v>
      </c>
      <c r="E141" s="18" t="s">
        <v>1614</v>
      </c>
      <c r="F141" s="54" t="s">
        <v>1451</v>
      </c>
      <c r="G141" s="66" t="n">
        <v>0</v>
      </c>
      <c r="H141" s="79" t="n">
        <v>10</v>
      </c>
      <c r="I141" s="66" t="n">
        <f aca="false">IF(H141=0,0,G141/H141)</f>
        <v>0</v>
      </c>
      <c r="J141" s="64" t="n">
        <v>46359</v>
      </c>
      <c r="K141" s="64" t="n">
        <v>46359</v>
      </c>
      <c r="L141" s="66" t="n">
        <v>0</v>
      </c>
      <c r="M141" s="19" t="n">
        <v>0</v>
      </c>
    </row>
    <row r="142" customFormat="false" ht="18" hidden="false" customHeight="true" outlineLevel="0" collapsed="false">
      <c r="A142" s="80" t="s">
        <v>1401</v>
      </c>
      <c r="B142" s="17" t="s">
        <v>1749</v>
      </c>
      <c r="C142" s="20" t="s">
        <v>1494</v>
      </c>
      <c r="D142" s="18" t="s">
        <v>1613</v>
      </c>
      <c r="E142" s="18" t="s">
        <v>1614</v>
      </c>
      <c r="F142" s="54" t="s">
        <v>1451</v>
      </c>
      <c r="G142" s="66" t="n">
        <v>40</v>
      </c>
      <c r="H142" s="79" t="n">
        <v>10</v>
      </c>
      <c r="I142" s="66" t="n">
        <f aca="false">IF(H142=0,0,G142/H142)</f>
        <v>4</v>
      </c>
      <c r="J142" s="64" t="n">
        <v>46361</v>
      </c>
      <c r="K142" s="64" t="n">
        <v>46364</v>
      </c>
      <c r="L142" s="66" t="n">
        <v>0</v>
      </c>
      <c r="M142" s="19" t="n">
        <v>64302.97</v>
      </c>
    </row>
    <row r="143" customFormat="false" ht="18" hidden="false" customHeight="true" outlineLevel="0" collapsed="false">
      <c r="A143" s="80" t="s">
        <v>1750</v>
      </c>
      <c r="B143" s="17" t="s">
        <v>1751</v>
      </c>
      <c r="C143" s="20" t="s">
        <v>1491</v>
      </c>
      <c r="D143" s="18" t="s">
        <v>1613</v>
      </c>
      <c r="E143" s="18" t="s">
        <v>1614</v>
      </c>
      <c r="F143" s="54" t="s">
        <v>1451</v>
      </c>
      <c r="G143" s="66" t="n">
        <v>70</v>
      </c>
      <c r="H143" s="79" t="n">
        <v>10</v>
      </c>
      <c r="I143" s="66" t="n">
        <f aca="false">IF(H143=0,0,G143/H143)</f>
        <v>7</v>
      </c>
      <c r="J143" s="64" t="n">
        <v>46365</v>
      </c>
      <c r="K143" s="64" t="n">
        <v>46372</v>
      </c>
      <c r="L143" s="66" t="n">
        <v>0</v>
      </c>
      <c r="M143" s="19" t="n">
        <v>100152.99</v>
      </c>
    </row>
    <row r="144" customFormat="false" ht="18" hidden="false" customHeight="true" outlineLevel="0" collapsed="false">
      <c r="A144" s="80" t="s">
        <v>1752</v>
      </c>
      <c r="B144" s="17" t="s">
        <v>1753</v>
      </c>
      <c r="C144" s="20" t="s">
        <v>1491</v>
      </c>
      <c r="D144" s="18" t="s">
        <v>1613</v>
      </c>
      <c r="E144" s="18" t="s">
        <v>1614</v>
      </c>
      <c r="F144" s="54" t="s">
        <v>1451</v>
      </c>
      <c r="G144" s="66" t="n">
        <v>70</v>
      </c>
      <c r="H144" s="79" t="n">
        <v>10</v>
      </c>
      <c r="I144" s="66" t="n">
        <f aca="false">IF(H144=0,0,G144/H144)</f>
        <v>7</v>
      </c>
      <c r="J144" s="64" t="n">
        <v>46365</v>
      </c>
      <c r="K144" s="64" t="n">
        <v>46372</v>
      </c>
      <c r="L144" s="66" t="n">
        <v>0</v>
      </c>
      <c r="M144" s="19" t="n">
        <v>100152.99</v>
      </c>
    </row>
    <row r="145" customFormat="false" ht="18" hidden="false" customHeight="true" outlineLevel="0" collapsed="false">
      <c r="A145" s="80" t="s">
        <v>1754</v>
      </c>
      <c r="B145" s="17" t="s">
        <v>1755</v>
      </c>
      <c r="C145" s="20" t="s">
        <v>1515</v>
      </c>
      <c r="D145" s="18" t="s">
        <v>1620</v>
      </c>
      <c r="E145" s="18" t="s">
        <v>1614</v>
      </c>
      <c r="F145" s="54" t="s">
        <v>1451</v>
      </c>
      <c r="G145" s="66" t="n">
        <v>0</v>
      </c>
      <c r="H145" s="79" t="n">
        <v>10</v>
      </c>
      <c r="I145" s="66" t="n">
        <f aca="false">IF(H145=0,0,G145/H145)</f>
        <v>0</v>
      </c>
      <c r="J145" s="64" t="n">
        <v>46372</v>
      </c>
      <c r="K145" s="64" t="n">
        <v>46372</v>
      </c>
      <c r="L145" s="66" t="n">
        <v>70</v>
      </c>
      <c r="M145" s="19" t="n">
        <v>0</v>
      </c>
    </row>
    <row r="146" customFormat="false" ht="18" hidden="false" customHeight="true" outlineLevel="0" collapsed="false">
      <c r="A146" s="80" t="s">
        <v>1756</v>
      </c>
      <c r="B146" s="17" t="s">
        <v>1757</v>
      </c>
      <c r="C146" s="20" t="s">
        <v>1515</v>
      </c>
      <c r="D146" s="18" t="s">
        <v>1620</v>
      </c>
      <c r="E146" s="18" t="s">
        <v>1614</v>
      </c>
      <c r="F146" s="54" t="s">
        <v>1451</v>
      </c>
      <c r="G146" s="66" t="n">
        <v>0</v>
      </c>
      <c r="H146" s="79" t="n">
        <v>10</v>
      </c>
      <c r="I146" s="66" t="n">
        <f aca="false">IF(H146=0,0,G146/H146)</f>
        <v>0</v>
      </c>
      <c r="J146" s="64" t="n">
        <v>46372</v>
      </c>
      <c r="K146" s="64" t="n">
        <v>46372</v>
      </c>
      <c r="L146" s="66" t="n">
        <v>70</v>
      </c>
      <c r="M146" s="19" t="n">
        <v>0</v>
      </c>
    </row>
    <row r="147" customFormat="false" ht="30" hidden="false" customHeight="true" outlineLevel="0" collapsed="false">
      <c r="A147" s="80" t="s">
        <v>1194</v>
      </c>
      <c r="B147" s="17" t="s">
        <v>1758</v>
      </c>
      <c r="C147" s="20" t="s">
        <v>1503</v>
      </c>
      <c r="D147" s="18" t="s">
        <v>1613</v>
      </c>
      <c r="E147" s="18" t="s">
        <v>1614</v>
      </c>
      <c r="F147" s="54" t="s">
        <v>1451</v>
      </c>
      <c r="G147" s="66" t="n">
        <v>70</v>
      </c>
      <c r="H147" s="79" t="n">
        <v>10</v>
      </c>
      <c r="I147" s="66" t="n">
        <f aca="false">IF(H147=0,0,G147/H147)</f>
        <v>7</v>
      </c>
      <c r="J147" s="64" t="n">
        <v>46373</v>
      </c>
      <c r="K147" s="64" t="n">
        <v>46380</v>
      </c>
      <c r="L147" s="66" t="n">
        <v>0</v>
      </c>
      <c r="M147" s="19" t="n">
        <v>50000</v>
      </c>
    </row>
    <row r="148" customFormat="false" ht="18" hidden="false" customHeight="true" outlineLevel="0" collapsed="false">
      <c r="A148" s="80" t="s">
        <v>1355</v>
      </c>
      <c r="B148" s="17" t="s">
        <v>1759</v>
      </c>
      <c r="C148" s="20" t="s">
        <v>1500</v>
      </c>
      <c r="D148" s="18" t="s">
        <v>1613</v>
      </c>
      <c r="E148" s="18" t="s">
        <v>1614</v>
      </c>
      <c r="F148" s="54" t="s">
        <v>1451</v>
      </c>
      <c r="G148" s="66" t="n">
        <v>70</v>
      </c>
      <c r="H148" s="79" t="n">
        <v>10</v>
      </c>
      <c r="I148" s="66" t="n">
        <f aca="false">IF(H148=0,0,G148/H148)</f>
        <v>7</v>
      </c>
      <c r="J148" s="64" t="n">
        <v>46373</v>
      </c>
      <c r="K148" s="64" t="n">
        <v>46380</v>
      </c>
      <c r="L148" s="66" t="n">
        <v>0</v>
      </c>
      <c r="M148" s="19" t="n">
        <v>0</v>
      </c>
    </row>
    <row r="149" customFormat="false" ht="18" hidden="false" customHeight="true" outlineLevel="0" collapsed="false">
      <c r="A149" s="80" t="s">
        <v>1760</v>
      </c>
      <c r="B149" s="17" t="s">
        <v>1761</v>
      </c>
      <c r="C149" s="20" t="s">
        <v>1512</v>
      </c>
      <c r="D149" s="18" t="s">
        <v>1620</v>
      </c>
      <c r="E149" s="18" t="s">
        <v>1614</v>
      </c>
      <c r="F149" s="54" t="s">
        <v>1438</v>
      </c>
      <c r="G149" s="66" t="n">
        <v>0</v>
      </c>
      <c r="H149" s="79" t="n">
        <v>10</v>
      </c>
      <c r="I149" s="66" t="n">
        <f aca="false">IF(H149=0,0,G149/H149)</f>
        <v>0</v>
      </c>
      <c r="J149" s="64" t="n">
        <v>46380</v>
      </c>
      <c r="K149" s="64" t="n">
        <v>46380</v>
      </c>
      <c r="L149" s="66" t="n">
        <v>0</v>
      </c>
      <c r="M149" s="19" t="n">
        <v>0</v>
      </c>
    </row>
    <row r="150" customFormat="false" ht="19.5" hidden="false" customHeight="true" outlineLevel="0" collapsed="false">
      <c r="A150" s="25"/>
      <c r="B150" s="25" t="s">
        <v>1762</v>
      </c>
      <c r="C150" s="25"/>
      <c r="D150" s="25"/>
      <c r="E150" s="25"/>
      <c r="F150" s="25"/>
      <c r="G150" s="25"/>
      <c r="H150" s="25"/>
      <c r="I150" s="25"/>
      <c r="J150" s="25"/>
      <c r="K150" s="25"/>
      <c r="L150" s="25"/>
      <c r="M150" s="39" t="n">
        <f aca="false">SUM(M69:M149)</f>
        <v>8110296.62</v>
      </c>
    </row>
    <row r="152" customFormat="false" ht="21" hidden="false" customHeight="true" outlineLevel="0" collapsed="false">
      <c r="A152" s="15" t="s">
        <v>1763</v>
      </c>
      <c r="B152" s="15"/>
      <c r="C152" s="15"/>
      <c r="D152" s="15"/>
      <c r="E152" s="15"/>
      <c r="F152" s="15"/>
      <c r="G152" s="15"/>
      <c r="H152" s="15"/>
      <c r="I152" s="15"/>
      <c r="J152" s="15"/>
      <c r="K152" s="15"/>
      <c r="L152" s="15"/>
      <c r="M152" s="15"/>
    </row>
    <row r="153" customFormat="false" ht="31.5" hidden="false" customHeight="true" outlineLevel="0" collapsed="false">
      <c r="A153" s="13" t="s">
        <v>1764</v>
      </c>
      <c r="B153" s="13" t="s">
        <v>1765</v>
      </c>
      <c r="C153" s="13" t="s">
        <v>1766</v>
      </c>
      <c r="D153" s="13" t="s">
        <v>1603</v>
      </c>
      <c r="E153" s="13" t="s">
        <v>1767</v>
      </c>
      <c r="F153" s="13" t="s">
        <v>1768</v>
      </c>
      <c r="G153" s="13" t="s">
        <v>1769</v>
      </c>
      <c r="H153" s="13"/>
      <c r="I153" s="13"/>
      <c r="J153" s="13"/>
      <c r="K153" s="13"/>
      <c r="L153" s="13"/>
      <c r="M153" s="13"/>
    </row>
    <row r="154" customFormat="false" ht="15.75" hidden="false" customHeight="true" outlineLevel="0" collapsed="false">
      <c r="A154" s="80" t="s">
        <v>1689</v>
      </c>
      <c r="B154" s="17" t="s">
        <v>1690</v>
      </c>
      <c r="C154" s="80" t="s">
        <v>1623</v>
      </c>
      <c r="D154" s="18" t="s">
        <v>1770</v>
      </c>
      <c r="E154" s="66" t="n">
        <v>0</v>
      </c>
      <c r="F154" s="66" t="n">
        <f aca="false">E154/10</f>
        <v>0</v>
      </c>
      <c r="G154" s="20" t="s">
        <v>1624</v>
      </c>
      <c r="H154" s="20"/>
      <c r="I154" s="20"/>
      <c r="J154" s="20"/>
      <c r="K154" s="20"/>
      <c r="L154" s="20"/>
      <c r="M154" s="20"/>
    </row>
    <row r="155" customFormat="false" ht="15.75" hidden="false" customHeight="true" outlineLevel="0" collapsed="false">
      <c r="A155" s="80" t="s">
        <v>1689</v>
      </c>
      <c r="B155" s="17" t="s">
        <v>1690</v>
      </c>
      <c r="C155" s="80" t="s">
        <v>1684</v>
      </c>
      <c r="D155" s="18" t="s">
        <v>1770</v>
      </c>
      <c r="E155" s="66" t="n">
        <v>0</v>
      </c>
      <c r="F155" s="66" t="n">
        <f aca="false">E155/10</f>
        <v>0</v>
      </c>
      <c r="G155" s="20" t="s">
        <v>1685</v>
      </c>
      <c r="H155" s="20"/>
      <c r="I155" s="20"/>
      <c r="J155" s="20"/>
      <c r="K155" s="20"/>
      <c r="L155" s="20"/>
      <c r="M155" s="20"/>
    </row>
    <row r="156" customFormat="false" ht="15.75" hidden="false" customHeight="true" outlineLevel="0" collapsed="false">
      <c r="A156" s="80" t="s">
        <v>1689</v>
      </c>
      <c r="B156" s="17" t="s">
        <v>1690</v>
      </c>
      <c r="C156" s="80" t="s">
        <v>1686</v>
      </c>
      <c r="D156" s="18" t="s">
        <v>1770</v>
      </c>
      <c r="E156" s="66" t="n">
        <v>0</v>
      </c>
      <c r="F156" s="66" t="n">
        <f aca="false">E156/10</f>
        <v>0</v>
      </c>
      <c r="G156" s="20" t="s">
        <v>1687</v>
      </c>
      <c r="H156" s="20"/>
      <c r="I156" s="20"/>
      <c r="J156" s="20"/>
      <c r="K156" s="20"/>
      <c r="L156" s="20"/>
      <c r="M156" s="20"/>
    </row>
    <row r="157" customFormat="false" ht="15.75" hidden="false" customHeight="true" outlineLevel="0" collapsed="false">
      <c r="A157" s="80" t="s">
        <v>1689</v>
      </c>
      <c r="B157" s="17" t="s">
        <v>1690</v>
      </c>
      <c r="C157" s="80" t="s">
        <v>1615</v>
      </c>
      <c r="D157" s="18" t="s">
        <v>1771</v>
      </c>
      <c r="E157" s="66" t="n">
        <v>0</v>
      </c>
      <c r="F157" s="66" t="n">
        <f aca="false">E157/10</f>
        <v>0</v>
      </c>
      <c r="G157" s="20" t="s">
        <v>1616</v>
      </c>
      <c r="H157" s="20"/>
      <c r="I157" s="20"/>
      <c r="J157" s="20"/>
      <c r="K157" s="20"/>
      <c r="L157" s="20"/>
      <c r="M157" s="20"/>
    </row>
    <row r="158" customFormat="false" ht="15.75" hidden="false" customHeight="true" outlineLevel="0" collapsed="false">
      <c r="A158" s="80" t="s">
        <v>1694</v>
      </c>
      <c r="B158" s="17" t="s">
        <v>1695</v>
      </c>
      <c r="C158" s="80" t="s">
        <v>1691</v>
      </c>
      <c r="D158" s="18" t="s">
        <v>1772</v>
      </c>
      <c r="E158" s="66" t="n">
        <v>30</v>
      </c>
      <c r="F158" s="66" t="n">
        <f aca="false">E158/10</f>
        <v>3</v>
      </c>
      <c r="G158" s="20" t="s">
        <v>1692</v>
      </c>
      <c r="H158" s="20"/>
      <c r="I158" s="20"/>
      <c r="J158" s="20"/>
      <c r="K158" s="20"/>
      <c r="L158" s="20"/>
      <c r="M158" s="20"/>
    </row>
    <row r="159" customFormat="false" ht="15.75" hidden="false" customHeight="true" outlineLevel="0" collapsed="false">
      <c r="A159" s="80" t="s">
        <v>1694</v>
      </c>
      <c r="B159" s="17" t="s">
        <v>1695</v>
      </c>
      <c r="C159" s="80" t="s">
        <v>1691</v>
      </c>
      <c r="D159" s="18" t="s">
        <v>1771</v>
      </c>
      <c r="E159" s="66" t="n">
        <v>30</v>
      </c>
      <c r="F159" s="66" t="n">
        <f aca="false">E159/10</f>
        <v>3</v>
      </c>
      <c r="G159" s="20" t="s">
        <v>1692</v>
      </c>
      <c r="H159" s="20"/>
      <c r="I159" s="20"/>
      <c r="J159" s="20"/>
      <c r="K159" s="20"/>
      <c r="L159" s="20"/>
      <c r="M159" s="20"/>
    </row>
    <row r="160" customFormat="false" ht="15.75" hidden="false" customHeight="true" outlineLevel="0" collapsed="false">
      <c r="A160" s="80" t="s">
        <v>1694</v>
      </c>
      <c r="B160" s="17" t="s">
        <v>1695</v>
      </c>
      <c r="C160" s="80" t="s">
        <v>1623</v>
      </c>
      <c r="D160" s="18" t="s">
        <v>1770</v>
      </c>
      <c r="E160" s="66" t="n">
        <v>0</v>
      </c>
      <c r="F160" s="66" t="n">
        <f aca="false">E160/10</f>
        <v>0</v>
      </c>
      <c r="G160" s="20" t="s">
        <v>1624</v>
      </c>
      <c r="H160" s="20"/>
      <c r="I160" s="20"/>
      <c r="J160" s="20"/>
      <c r="K160" s="20"/>
      <c r="L160" s="20"/>
      <c r="M160" s="20"/>
    </row>
    <row r="161" customFormat="false" ht="15.75" hidden="false" customHeight="true" outlineLevel="0" collapsed="false">
      <c r="A161" s="80" t="s">
        <v>1694</v>
      </c>
      <c r="B161" s="17" t="s">
        <v>1695</v>
      </c>
      <c r="C161" s="80" t="s">
        <v>1672</v>
      </c>
      <c r="D161" s="18" t="s">
        <v>1770</v>
      </c>
      <c r="E161" s="66" t="n">
        <v>0</v>
      </c>
      <c r="F161" s="66" t="n">
        <f aca="false">E161/10</f>
        <v>0</v>
      </c>
      <c r="G161" s="20" t="s">
        <v>1673</v>
      </c>
      <c r="H161" s="20"/>
      <c r="I161" s="20"/>
      <c r="J161" s="20"/>
      <c r="K161" s="20"/>
      <c r="L161" s="20"/>
      <c r="M161" s="20"/>
    </row>
    <row r="162" customFormat="false" ht="15.75" hidden="false" customHeight="true" outlineLevel="0" collapsed="false">
      <c r="A162" s="80" t="s">
        <v>1694</v>
      </c>
      <c r="B162" s="17" t="s">
        <v>1695</v>
      </c>
      <c r="C162" s="80" t="s">
        <v>1674</v>
      </c>
      <c r="D162" s="18" t="s">
        <v>1770</v>
      </c>
      <c r="E162" s="66" t="n">
        <v>0</v>
      </c>
      <c r="F162" s="66" t="n">
        <f aca="false">E162/10</f>
        <v>0</v>
      </c>
      <c r="G162" s="20" t="s">
        <v>1675</v>
      </c>
      <c r="H162" s="20"/>
      <c r="I162" s="20"/>
      <c r="J162" s="20"/>
      <c r="K162" s="20"/>
      <c r="L162" s="20"/>
      <c r="M162" s="20"/>
    </row>
    <row r="163" customFormat="false" ht="15.75" hidden="false" customHeight="true" outlineLevel="0" collapsed="false">
      <c r="A163" s="80" t="s">
        <v>1694</v>
      </c>
      <c r="B163" s="17" t="s">
        <v>1695</v>
      </c>
      <c r="C163" s="80" t="s">
        <v>1686</v>
      </c>
      <c r="D163" s="18" t="s">
        <v>1770</v>
      </c>
      <c r="E163" s="66" t="n">
        <v>0</v>
      </c>
      <c r="F163" s="66" t="n">
        <f aca="false">E163/10</f>
        <v>0</v>
      </c>
      <c r="G163" s="20" t="s">
        <v>1687</v>
      </c>
      <c r="H163" s="20"/>
      <c r="I163" s="20"/>
      <c r="J163" s="20"/>
      <c r="K163" s="20"/>
      <c r="L163" s="20"/>
      <c r="M163" s="20"/>
    </row>
    <row r="164" customFormat="false" ht="15.75" hidden="false" customHeight="true" outlineLevel="0" collapsed="false">
      <c r="A164" s="80" t="s">
        <v>1691</v>
      </c>
      <c r="B164" s="17" t="s">
        <v>1692</v>
      </c>
      <c r="C164" s="80" t="s">
        <v>1689</v>
      </c>
      <c r="D164" s="18" t="s">
        <v>1770</v>
      </c>
      <c r="E164" s="66" t="n">
        <v>0</v>
      </c>
      <c r="F164" s="66" t="n">
        <f aca="false">E164/10</f>
        <v>0</v>
      </c>
      <c r="G164" s="20" t="s">
        <v>1690</v>
      </c>
      <c r="H164" s="20"/>
      <c r="I164" s="20"/>
      <c r="J164" s="20"/>
      <c r="K164" s="20"/>
      <c r="L164" s="20"/>
      <c r="M164" s="20"/>
    </row>
    <row r="165" customFormat="false" ht="15.75" hidden="false" customHeight="true" outlineLevel="0" collapsed="false">
      <c r="A165" s="80" t="s">
        <v>1691</v>
      </c>
      <c r="B165" s="17" t="s">
        <v>1692</v>
      </c>
      <c r="C165" s="80" t="s">
        <v>1623</v>
      </c>
      <c r="D165" s="18" t="s">
        <v>1770</v>
      </c>
      <c r="E165" s="66" t="n">
        <v>0</v>
      </c>
      <c r="F165" s="66" t="n">
        <f aca="false">E165/10</f>
        <v>0</v>
      </c>
      <c r="G165" s="20" t="s">
        <v>1624</v>
      </c>
      <c r="H165" s="20"/>
      <c r="I165" s="20"/>
      <c r="J165" s="20"/>
      <c r="K165" s="20"/>
      <c r="L165" s="20"/>
      <c r="M165" s="20"/>
    </row>
    <row r="166" customFormat="false" ht="15.75" hidden="false" customHeight="true" outlineLevel="0" collapsed="false">
      <c r="A166" s="80" t="s">
        <v>1691</v>
      </c>
      <c r="B166" s="17" t="s">
        <v>1692</v>
      </c>
      <c r="C166" s="80" t="s">
        <v>1672</v>
      </c>
      <c r="D166" s="18" t="s">
        <v>1770</v>
      </c>
      <c r="E166" s="66" t="n">
        <v>0</v>
      </c>
      <c r="F166" s="66" t="n">
        <f aca="false">E166/10</f>
        <v>0</v>
      </c>
      <c r="G166" s="20" t="s">
        <v>1673</v>
      </c>
      <c r="H166" s="20"/>
      <c r="I166" s="20"/>
      <c r="J166" s="20"/>
      <c r="K166" s="20"/>
      <c r="L166" s="20"/>
      <c r="M166" s="20"/>
    </row>
    <row r="167" customFormat="false" ht="15.75" hidden="false" customHeight="true" outlineLevel="0" collapsed="false">
      <c r="A167" s="80" t="s">
        <v>1691</v>
      </c>
      <c r="B167" s="17" t="s">
        <v>1692</v>
      </c>
      <c r="C167" s="80" t="s">
        <v>1674</v>
      </c>
      <c r="D167" s="18" t="s">
        <v>1770</v>
      </c>
      <c r="E167" s="66" t="n">
        <v>0</v>
      </c>
      <c r="F167" s="66" t="n">
        <f aca="false">E167/10</f>
        <v>0</v>
      </c>
      <c r="G167" s="20" t="s">
        <v>1675</v>
      </c>
      <c r="H167" s="20"/>
      <c r="I167" s="20"/>
      <c r="J167" s="20"/>
      <c r="K167" s="20"/>
      <c r="L167" s="20"/>
      <c r="M167" s="20"/>
    </row>
    <row r="168" customFormat="false" ht="15.75" hidden="false" customHeight="true" outlineLevel="0" collapsed="false">
      <c r="A168" s="80" t="s">
        <v>1691</v>
      </c>
      <c r="B168" s="17" t="s">
        <v>1692</v>
      </c>
      <c r="C168" s="80" t="s">
        <v>1686</v>
      </c>
      <c r="D168" s="18" t="s">
        <v>1770</v>
      </c>
      <c r="E168" s="66" t="n">
        <v>0</v>
      </c>
      <c r="F168" s="66" t="n">
        <f aca="false">E168/10</f>
        <v>0</v>
      </c>
      <c r="G168" s="20" t="s">
        <v>1687</v>
      </c>
      <c r="H168" s="20"/>
      <c r="I168" s="20"/>
      <c r="J168" s="20"/>
      <c r="K168" s="20"/>
      <c r="L168" s="20"/>
      <c r="M168" s="20"/>
    </row>
    <row r="169" customFormat="false" ht="15.75" hidden="false" customHeight="true" outlineLevel="0" collapsed="false">
      <c r="A169" s="80" t="s">
        <v>1747</v>
      </c>
      <c r="B169" s="17" t="s">
        <v>1748</v>
      </c>
      <c r="C169" s="80" t="s">
        <v>1740</v>
      </c>
      <c r="D169" s="18" t="s">
        <v>1772</v>
      </c>
      <c r="E169" s="66" t="n">
        <v>0</v>
      </c>
      <c r="F169" s="66" t="n">
        <f aca="false">E169/10</f>
        <v>0</v>
      </c>
      <c r="G169" s="20" t="s">
        <v>1741</v>
      </c>
      <c r="H169" s="20"/>
      <c r="I169" s="20"/>
      <c r="J169" s="20"/>
      <c r="K169" s="20"/>
      <c r="L169" s="20"/>
      <c r="M169" s="20"/>
    </row>
    <row r="170" customFormat="false" ht="15.75" hidden="false" customHeight="true" outlineLevel="0" collapsed="false">
      <c r="A170" s="80" t="s">
        <v>1747</v>
      </c>
      <c r="B170" s="17" t="s">
        <v>1748</v>
      </c>
      <c r="C170" s="80" t="s">
        <v>1738</v>
      </c>
      <c r="D170" s="18" t="s">
        <v>1772</v>
      </c>
      <c r="E170" s="66" t="n">
        <v>0</v>
      </c>
      <c r="F170" s="66" t="n">
        <f aca="false">E170/10</f>
        <v>0</v>
      </c>
      <c r="G170" s="20" t="s">
        <v>1739</v>
      </c>
      <c r="H170" s="20"/>
      <c r="I170" s="20"/>
      <c r="J170" s="20"/>
      <c r="K170" s="20"/>
      <c r="L170" s="20"/>
      <c r="M170" s="20"/>
    </row>
    <row r="171" customFormat="false" ht="15.75" hidden="false" customHeight="true" outlineLevel="0" collapsed="false">
      <c r="A171" s="80" t="s">
        <v>1747</v>
      </c>
      <c r="B171" s="17" t="s">
        <v>1748</v>
      </c>
      <c r="C171" s="80" t="s">
        <v>1743</v>
      </c>
      <c r="D171" s="18" t="s">
        <v>1770</v>
      </c>
      <c r="E171" s="66" t="n">
        <v>0</v>
      </c>
      <c r="F171" s="66" t="n">
        <f aca="false">E171/10</f>
        <v>0</v>
      </c>
      <c r="G171" s="20" t="s">
        <v>1735</v>
      </c>
      <c r="H171" s="20"/>
      <c r="I171" s="20"/>
      <c r="J171" s="20"/>
      <c r="K171" s="20"/>
      <c r="L171" s="20"/>
      <c r="M171" s="20"/>
    </row>
    <row r="172" customFormat="false" ht="15.75" hidden="false" customHeight="true" outlineLevel="0" collapsed="false">
      <c r="A172" s="80" t="s">
        <v>1747</v>
      </c>
      <c r="B172" s="17" t="s">
        <v>1748</v>
      </c>
      <c r="C172" s="80" t="s">
        <v>1746</v>
      </c>
      <c r="D172" s="18" t="s">
        <v>1772</v>
      </c>
      <c r="E172" s="66" t="n">
        <v>0</v>
      </c>
      <c r="F172" s="66" t="n">
        <f aca="false">E172/10</f>
        <v>0</v>
      </c>
      <c r="G172" s="20" t="s">
        <v>1741</v>
      </c>
      <c r="H172" s="20"/>
      <c r="I172" s="20"/>
      <c r="J172" s="20"/>
      <c r="K172" s="20"/>
      <c r="L172" s="20"/>
      <c r="M172" s="20"/>
    </row>
    <row r="173" customFormat="false" ht="15.75" hidden="false" customHeight="true" outlineLevel="0" collapsed="false">
      <c r="A173" s="80" t="s">
        <v>1696</v>
      </c>
      <c r="B173" s="17" t="s">
        <v>1697</v>
      </c>
      <c r="C173" s="80" t="s">
        <v>1689</v>
      </c>
      <c r="D173" s="18" t="s">
        <v>1770</v>
      </c>
      <c r="E173" s="66" t="n">
        <v>0</v>
      </c>
      <c r="F173" s="66" t="n">
        <f aca="false">E173/10</f>
        <v>0</v>
      </c>
      <c r="G173" s="20" t="s">
        <v>1690</v>
      </c>
      <c r="H173" s="20"/>
      <c r="I173" s="20"/>
      <c r="J173" s="20"/>
      <c r="K173" s="20"/>
      <c r="L173" s="20"/>
      <c r="M173" s="20"/>
    </row>
    <row r="174" customFormat="false" ht="15.75" hidden="false" customHeight="true" outlineLevel="0" collapsed="false">
      <c r="A174" s="80" t="s">
        <v>1696</v>
      </c>
      <c r="B174" s="17" t="s">
        <v>1697</v>
      </c>
      <c r="C174" s="80" t="s">
        <v>1694</v>
      </c>
      <c r="D174" s="18" t="s">
        <v>1772</v>
      </c>
      <c r="E174" s="66" t="n">
        <v>10</v>
      </c>
      <c r="F174" s="66" t="n">
        <f aca="false">E174/10</f>
        <v>1</v>
      </c>
      <c r="G174" s="20" t="s">
        <v>1695</v>
      </c>
      <c r="H174" s="20"/>
      <c r="I174" s="20"/>
      <c r="J174" s="20"/>
      <c r="K174" s="20"/>
      <c r="L174" s="20"/>
      <c r="M174" s="20"/>
    </row>
    <row r="175" customFormat="false" ht="15.75" hidden="false" customHeight="true" outlineLevel="0" collapsed="false">
      <c r="A175" s="80" t="s">
        <v>1696</v>
      </c>
      <c r="B175" s="17" t="s">
        <v>1697</v>
      </c>
      <c r="C175" s="80" t="s">
        <v>1694</v>
      </c>
      <c r="D175" s="18" t="s">
        <v>1771</v>
      </c>
      <c r="E175" s="66" t="n">
        <v>0</v>
      </c>
      <c r="F175" s="66" t="n">
        <f aca="false">E175/10</f>
        <v>0</v>
      </c>
      <c r="G175" s="20" t="s">
        <v>1695</v>
      </c>
      <c r="H175" s="20"/>
      <c r="I175" s="20"/>
      <c r="J175" s="20"/>
      <c r="K175" s="20"/>
      <c r="L175" s="20"/>
      <c r="M175" s="20"/>
    </row>
    <row r="176" customFormat="false" ht="15.75" hidden="false" customHeight="true" outlineLevel="0" collapsed="false">
      <c r="A176" s="80" t="s">
        <v>1696</v>
      </c>
      <c r="B176" s="17" t="s">
        <v>1697</v>
      </c>
      <c r="C176" s="80" t="s">
        <v>1691</v>
      </c>
      <c r="D176" s="18" t="s">
        <v>1772</v>
      </c>
      <c r="E176" s="66" t="n">
        <v>10</v>
      </c>
      <c r="F176" s="66" t="n">
        <f aca="false">E176/10</f>
        <v>1</v>
      </c>
      <c r="G176" s="20" t="s">
        <v>1692</v>
      </c>
      <c r="H176" s="20"/>
      <c r="I176" s="20"/>
      <c r="J176" s="20"/>
      <c r="K176" s="20"/>
      <c r="L176" s="20"/>
      <c r="M176" s="20"/>
    </row>
    <row r="177" customFormat="false" ht="15.75" hidden="false" customHeight="true" outlineLevel="0" collapsed="false">
      <c r="A177" s="80" t="s">
        <v>1696</v>
      </c>
      <c r="B177" s="17" t="s">
        <v>1697</v>
      </c>
      <c r="C177" s="80" t="s">
        <v>1686</v>
      </c>
      <c r="D177" s="18" t="s">
        <v>1770</v>
      </c>
      <c r="E177" s="66" t="n">
        <v>0</v>
      </c>
      <c r="F177" s="66" t="n">
        <f aca="false">E177/10</f>
        <v>0</v>
      </c>
      <c r="G177" s="20" t="s">
        <v>1687</v>
      </c>
      <c r="H177" s="20"/>
      <c r="I177" s="20"/>
      <c r="J177" s="20"/>
      <c r="K177" s="20"/>
      <c r="L177" s="20"/>
      <c r="M177" s="20"/>
    </row>
    <row r="178" customFormat="false" ht="15.75" hidden="false" customHeight="true" outlineLevel="0" collapsed="false">
      <c r="A178" s="80" t="s">
        <v>1704</v>
      </c>
      <c r="B178" s="17" t="s">
        <v>1705</v>
      </c>
      <c r="C178" s="80" t="s">
        <v>1696</v>
      </c>
      <c r="D178" s="18" t="s">
        <v>1771</v>
      </c>
      <c r="E178" s="66" t="n">
        <v>10</v>
      </c>
      <c r="F178" s="66" t="n">
        <f aca="false">E178/10</f>
        <v>1</v>
      </c>
      <c r="G178" s="20" t="s">
        <v>1697</v>
      </c>
      <c r="H178" s="20"/>
      <c r="I178" s="20"/>
      <c r="J178" s="20"/>
      <c r="K178" s="20"/>
      <c r="L178" s="20"/>
      <c r="M178" s="20"/>
    </row>
    <row r="179" customFormat="false" ht="15.75" hidden="false" customHeight="true" outlineLevel="0" collapsed="false">
      <c r="A179" s="80" t="s">
        <v>1704</v>
      </c>
      <c r="B179" s="17" t="s">
        <v>1705</v>
      </c>
      <c r="C179" s="80" t="s">
        <v>1668</v>
      </c>
      <c r="D179" s="18" t="s">
        <v>1770</v>
      </c>
      <c r="E179" s="66" t="n">
        <v>0</v>
      </c>
      <c r="F179" s="66" t="n">
        <f aca="false">E179/10</f>
        <v>0</v>
      </c>
      <c r="G179" s="20" t="s">
        <v>1669</v>
      </c>
      <c r="H179" s="20"/>
      <c r="I179" s="20"/>
      <c r="J179" s="20"/>
      <c r="K179" s="20"/>
      <c r="L179" s="20"/>
      <c r="M179" s="20"/>
    </row>
    <row r="180" customFormat="false" ht="15.75" hidden="false" customHeight="true" outlineLevel="0" collapsed="false">
      <c r="A180" s="80" t="s">
        <v>1704</v>
      </c>
      <c r="B180" s="17" t="s">
        <v>1705</v>
      </c>
      <c r="C180" s="80" t="s">
        <v>1629</v>
      </c>
      <c r="D180" s="18" t="s">
        <v>1770</v>
      </c>
      <c r="E180" s="66" t="n">
        <v>0</v>
      </c>
      <c r="F180" s="66" t="n">
        <f aca="false">E180/10</f>
        <v>0</v>
      </c>
      <c r="G180" s="20" t="s">
        <v>1630</v>
      </c>
      <c r="H180" s="20"/>
      <c r="I180" s="20"/>
      <c r="J180" s="20"/>
      <c r="K180" s="20"/>
      <c r="L180" s="20"/>
      <c r="M180" s="20"/>
    </row>
    <row r="181" customFormat="false" ht="15.75" hidden="false" customHeight="true" outlineLevel="0" collapsed="false">
      <c r="A181" s="80" t="s">
        <v>1704</v>
      </c>
      <c r="B181" s="17" t="s">
        <v>1705</v>
      </c>
      <c r="C181" s="80" t="s">
        <v>1676</v>
      </c>
      <c r="D181" s="18" t="s">
        <v>1770</v>
      </c>
      <c r="E181" s="66" t="n">
        <v>0</v>
      </c>
      <c r="F181" s="66" t="n">
        <f aca="false">E181/10</f>
        <v>0</v>
      </c>
      <c r="G181" s="20" t="s">
        <v>1677</v>
      </c>
      <c r="H181" s="20"/>
      <c r="I181" s="20"/>
      <c r="J181" s="20"/>
      <c r="K181" s="20"/>
      <c r="L181" s="20"/>
      <c r="M181" s="20"/>
    </row>
    <row r="182" customFormat="false" ht="15.75" hidden="false" customHeight="true" outlineLevel="0" collapsed="false">
      <c r="A182" s="80" t="s">
        <v>1704</v>
      </c>
      <c r="B182" s="17" t="s">
        <v>1705</v>
      </c>
      <c r="C182" s="80" t="s">
        <v>1678</v>
      </c>
      <c r="D182" s="18" t="s">
        <v>1770</v>
      </c>
      <c r="E182" s="66" t="n">
        <v>0</v>
      </c>
      <c r="F182" s="66" t="n">
        <f aca="false">E182/10</f>
        <v>0</v>
      </c>
      <c r="G182" s="20" t="s">
        <v>1679</v>
      </c>
      <c r="H182" s="20"/>
      <c r="I182" s="20"/>
      <c r="J182" s="20"/>
      <c r="K182" s="20"/>
      <c r="L182" s="20"/>
      <c r="M182" s="20"/>
    </row>
    <row r="183" customFormat="false" ht="15.75" hidden="false" customHeight="true" outlineLevel="0" collapsed="false">
      <c r="A183" s="80" t="s">
        <v>1704</v>
      </c>
      <c r="B183" s="17" t="s">
        <v>1705</v>
      </c>
      <c r="C183" s="80" t="s">
        <v>1680</v>
      </c>
      <c r="D183" s="18" t="s">
        <v>1770</v>
      </c>
      <c r="E183" s="66" t="n">
        <v>0</v>
      </c>
      <c r="F183" s="66" t="n">
        <f aca="false">E183/10</f>
        <v>0</v>
      </c>
      <c r="G183" s="20" t="s">
        <v>1681</v>
      </c>
      <c r="H183" s="20"/>
      <c r="I183" s="20"/>
      <c r="J183" s="20"/>
      <c r="K183" s="20"/>
      <c r="L183" s="20"/>
      <c r="M183" s="20"/>
    </row>
    <row r="184" customFormat="false" ht="15.75" hidden="false" customHeight="true" outlineLevel="0" collapsed="false">
      <c r="A184" s="80" t="s">
        <v>1704</v>
      </c>
      <c r="B184" s="17" t="s">
        <v>1705</v>
      </c>
      <c r="C184" s="80" t="s">
        <v>1682</v>
      </c>
      <c r="D184" s="18" t="s">
        <v>1770</v>
      </c>
      <c r="E184" s="66" t="n">
        <v>0</v>
      </c>
      <c r="F184" s="66" t="n">
        <f aca="false">E184/10</f>
        <v>0</v>
      </c>
      <c r="G184" s="20" t="s">
        <v>1683</v>
      </c>
      <c r="H184" s="20"/>
      <c r="I184" s="20"/>
      <c r="J184" s="20"/>
      <c r="K184" s="20"/>
      <c r="L184" s="20"/>
      <c r="M184" s="20"/>
    </row>
    <row r="185" customFormat="false" ht="15.75" hidden="false" customHeight="true" outlineLevel="0" collapsed="false">
      <c r="A185" s="80" t="s">
        <v>1704</v>
      </c>
      <c r="B185" s="17" t="s">
        <v>1705</v>
      </c>
      <c r="C185" s="80" t="s">
        <v>1684</v>
      </c>
      <c r="D185" s="18" t="s">
        <v>1770</v>
      </c>
      <c r="E185" s="66" t="n">
        <v>0</v>
      </c>
      <c r="F185" s="66" t="n">
        <f aca="false">E185/10</f>
        <v>0</v>
      </c>
      <c r="G185" s="20" t="s">
        <v>1685</v>
      </c>
      <c r="H185" s="20"/>
      <c r="I185" s="20"/>
      <c r="J185" s="20"/>
      <c r="K185" s="20"/>
      <c r="L185" s="20"/>
      <c r="M185" s="20"/>
    </row>
    <row r="186" customFormat="false" ht="15.75" hidden="false" customHeight="true" outlineLevel="0" collapsed="false">
      <c r="A186" s="80" t="s">
        <v>1704</v>
      </c>
      <c r="B186" s="17" t="s">
        <v>1705</v>
      </c>
      <c r="C186" s="80" t="s">
        <v>1686</v>
      </c>
      <c r="D186" s="18" t="s">
        <v>1770</v>
      </c>
      <c r="E186" s="66" t="n">
        <v>0</v>
      </c>
      <c r="F186" s="66" t="n">
        <f aca="false">E186/10</f>
        <v>0</v>
      </c>
      <c r="G186" s="20" t="s">
        <v>1687</v>
      </c>
      <c r="H186" s="20"/>
      <c r="I186" s="20"/>
      <c r="J186" s="20"/>
      <c r="K186" s="20"/>
      <c r="L186" s="20"/>
      <c r="M186" s="20"/>
    </row>
    <row r="187" customFormat="false" ht="15.75" hidden="false" customHeight="true" outlineLevel="0" collapsed="false">
      <c r="A187" s="80" t="s">
        <v>1704</v>
      </c>
      <c r="B187" s="17" t="s">
        <v>1705</v>
      </c>
      <c r="C187" s="80" t="s">
        <v>1698</v>
      </c>
      <c r="D187" s="18" t="s">
        <v>1772</v>
      </c>
      <c r="E187" s="66" t="n">
        <v>20</v>
      </c>
      <c r="F187" s="66" t="n">
        <f aca="false">E187/10</f>
        <v>2</v>
      </c>
      <c r="G187" s="20" t="s">
        <v>1699</v>
      </c>
      <c r="H187" s="20"/>
      <c r="I187" s="20"/>
      <c r="J187" s="20"/>
      <c r="K187" s="20"/>
      <c r="L187" s="20"/>
      <c r="M187" s="20"/>
    </row>
    <row r="188" customFormat="false" ht="15.75" hidden="false" customHeight="true" outlineLevel="0" collapsed="false">
      <c r="A188" s="80" t="s">
        <v>1704</v>
      </c>
      <c r="B188" s="17" t="s">
        <v>1705</v>
      </c>
      <c r="C188" s="80" t="s">
        <v>1698</v>
      </c>
      <c r="D188" s="18" t="s">
        <v>1771</v>
      </c>
      <c r="E188" s="66" t="n">
        <v>30</v>
      </c>
      <c r="F188" s="66" t="n">
        <f aca="false">E188/10</f>
        <v>3</v>
      </c>
      <c r="G188" s="20" t="s">
        <v>1699</v>
      </c>
      <c r="H188" s="20"/>
      <c r="I188" s="20"/>
      <c r="J188" s="20"/>
      <c r="K188" s="20"/>
      <c r="L188" s="20"/>
      <c r="M188" s="20"/>
    </row>
    <row r="189" customFormat="false" ht="15.75" hidden="false" customHeight="true" outlineLevel="0" collapsed="false">
      <c r="A189" s="80" t="s">
        <v>1704</v>
      </c>
      <c r="B189" s="17" t="s">
        <v>1705</v>
      </c>
      <c r="C189" s="80" t="s">
        <v>1702</v>
      </c>
      <c r="D189" s="18" t="s">
        <v>1771</v>
      </c>
      <c r="E189" s="66" t="n">
        <v>20</v>
      </c>
      <c r="F189" s="66" t="n">
        <f aca="false">E189/10</f>
        <v>2</v>
      </c>
      <c r="G189" s="20" t="s">
        <v>1703</v>
      </c>
      <c r="H189" s="20"/>
      <c r="I189" s="20"/>
      <c r="J189" s="20"/>
      <c r="K189" s="20"/>
      <c r="L189" s="20"/>
      <c r="M189" s="20"/>
    </row>
    <row r="190" customFormat="false" ht="15.75" hidden="false" customHeight="true" outlineLevel="0" collapsed="false">
      <c r="A190" s="80" t="s">
        <v>1704</v>
      </c>
      <c r="B190" s="17" t="s">
        <v>1705</v>
      </c>
      <c r="C190" s="80" t="s">
        <v>1702</v>
      </c>
      <c r="D190" s="18" t="s">
        <v>1772</v>
      </c>
      <c r="E190" s="66" t="n">
        <v>10</v>
      </c>
      <c r="F190" s="66" t="n">
        <f aca="false">E190/10</f>
        <v>1</v>
      </c>
      <c r="G190" s="20" t="s">
        <v>1703</v>
      </c>
      <c r="H190" s="20"/>
      <c r="I190" s="20"/>
      <c r="J190" s="20"/>
      <c r="K190" s="20"/>
      <c r="L190" s="20"/>
      <c r="M190" s="20"/>
    </row>
    <row r="191" customFormat="false" ht="15.75" hidden="false" customHeight="true" outlineLevel="0" collapsed="false">
      <c r="A191" s="80" t="s">
        <v>1715</v>
      </c>
      <c r="B191" s="17" t="s">
        <v>1716</v>
      </c>
      <c r="C191" s="80" t="s">
        <v>1704</v>
      </c>
      <c r="D191" s="18" t="s">
        <v>1770</v>
      </c>
      <c r="E191" s="66" t="n">
        <v>0</v>
      </c>
      <c r="F191" s="66" t="n">
        <f aca="false">E191/10</f>
        <v>0</v>
      </c>
      <c r="G191" s="20" t="s">
        <v>1705</v>
      </c>
      <c r="H191" s="20"/>
      <c r="I191" s="20"/>
      <c r="J191" s="20"/>
      <c r="K191" s="20"/>
      <c r="L191" s="20"/>
      <c r="M191" s="20"/>
    </row>
    <row r="192" customFormat="false" ht="15.75" hidden="false" customHeight="true" outlineLevel="0" collapsed="false">
      <c r="A192" s="80" t="s">
        <v>1715</v>
      </c>
      <c r="B192" s="17" t="s">
        <v>1716</v>
      </c>
      <c r="C192" s="80" t="s">
        <v>1629</v>
      </c>
      <c r="D192" s="18" t="s">
        <v>1770</v>
      </c>
      <c r="E192" s="66" t="n">
        <v>0</v>
      </c>
      <c r="F192" s="66" t="n">
        <f aca="false">E192/10</f>
        <v>0</v>
      </c>
      <c r="G192" s="20" t="s">
        <v>1630</v>
      </c>
      <c r="H192" s="20"/>
      <c r="I192" s="20"/>
      <c r="J192" s="20"/>
      <c r="K192" s="20"/>
      <c r="L192" s="20"/>
      <c r="M192" s="20"/>
    </row>
    <row r="193" customFormat="false" ht="15.75" hidden="false" customHeight="true" outlineLevel="0" collapsed="false">
      <c r="A193" s="80" t="s">
        <v>1715</v>
      </c>
      <c r="B193" s="17" t="s">
        <v>1716</v>
      </c>
      <c r="C193" s="80" t="s">
        <v>1684</v>
      </c>
      <c r="D193" s="18" t="s">
        <v>1770</v>
      </c>
      <c r="E193" s="66" t="n">
        <v>0</v>
      </c>
      <c r="F193" s="66" t="n">
        <f aca="false">E193/10</f>
        <v>0</v>
      </c>
      <c r="G193" s="20" t="s">
        <v>1685</v>
      </c>
      <c r="H193" s="20"/>
      <c r="I193" s="20"/>
      <c r="J193" s="20"/>
      <c r="K193" s="20"/>
      <c r="L193" s="20"/>
      <c r="M193" s="20"/>
    </row>
    <row r="194" customFormat="false" ht="15.75" hidden="false" customHeight="true" outlineLevel="0" collapsed="false">
      <c r="A194" s="80" t="s">
        <v>1715</v>
      </c>
      <c r="B194" s="17" t="s">
        <v>1716</v>
      </c>
      <c r="C194" s="80" t="s">
        <v>1709</v>
      </c>
      <c r="D194" s="18" t="s">
        <v>1771</v>
      </c>
      <c r="E194" s="66" t="n">
        <v>20</v>
      </c>
      <c r="F194" s="66" t="n">
        <f aca="false">E194/10</f>
        <v>2</v>
      </c>
      <c r="G194" s="20" t="s">
        <v>1710</v>
      </c>
      <c r="H194" s="20"/>
      <c r="I194" s="20"/>
      <c r="J194" s="20"/>
      <c r="K194" s="20"/>
      <c r="L194" s="20"/>
      <c r="M194" s="20"/>
    </row>
    <row r="195" customFormat="false" ht="15.75" hidden="false" customHeight="true" outlineLevel="0" collapsed="false">
      <c r="A195" s="80" t="s">
        <v>1715</v>
      </c>
      <c r="B195" s="17" t="s">
        <v>1716</v>
      </c>
      <c r="C195" s="80" t="s">
        <v>1709</v>
      </c>
      <c r="D195" s="18" t="s">
        <v>1772</v>
      </c>
      <c r="E195" s="66" t="n">
        <v>40</v>
      </c>
      <c r="F195" s="66" t="n">
        <f aca="false">E195/10</f>
        <v>4</v>
      </c>
      <c r="G195" s="20" t="s">
        <v>1710</v>
      </c>
      <c r="H195" s="20"/>
      <c r="I195" s="20"/>
      <c r="J195" s="20"/>
      <c r="K195" s="20"/>
      <c r="L195" s="20"/>
      <c r="M195" s="20"/>
    </row>
    <row r="196" customFormat="false" ht="15.75" hidden="false" customHeight="true" outlineLevel="0" collapsed="false">
      <c r="A196" s="80" t="s">
        <v>1715</v>
      </c>
      <c r="B196" s="17" t="s">
        <v>1716</v>
      </c>
      <c r="C196" s="80" t="s">
        <v>1713</v>
      </c>
      <c r="D196" s="18" t="s">
        <v>1771</v>
      </c>
      <c r="E196" s="66" t="n">
        <v>10</v>
      </c>
      <c r="F196" s="66" t="n">
        <f aca="false">E196/10</f>
        <v>1</v>
      </c>
      <c r="G196" s="20" t="s">
        <v>1714</v>
      </c>
      <c r="H196" s="20"/>
      <c r="I196" s="20"/>
      <c r="J196" s="20"/>
      <c r="K196" s="20"/>
      <c r="L196" s="20"/>
      <c r="M196" s="20"/>
    </row>
    <row r="197" customFormat="false" ht="15.75" hidden="false" customHeight="true" outlineLevel="0" collapsed="false">
      <c r="A197" s="80" t="s">
        <v>1727</v>
      </c>
      <c r="B197" s="17" t="s">
        <v>1728</v>
      </c>
      <c r="C197" s="80" t="s">
        <v>1717</v>
      </c>
      <c r="D197" s="18" t="s">
        <v>1770</v>
      </c>
      <c r="E197" s="66" t="n">
        <v>0</v>
      </c>
      <c r="F197" s="66" t="n">
        <f aca="false">E197/10</f>
        <v>0</v>
      </c>
      <c r="G197" s="20" t="s">
        <v>1718</v>
      </c>
      <c r="H197" s="20"/>
      <c r="I197" s="20"/>
      <c r="J197" s="20"/>
      <c r="K197" s="20"/>
      <c r="L197" s="20"/>
      <c r="M197" s="20"/>
    </row>
    <row r="198" customFormat="false" ht="15.75" hidden="false" customHeight="true" outlineLevel="0" collapsed="false">
      <c r="A198" s="80" t="s">
        <v>1734</v>
      </c>
      <c r="B198" s="17" t="s">
        <v>1735</v>
      </c>
      <c r="C198" s="80" t="s">
        <v>1727</v>
      </c>
      <c r="D198" s="18" t="s">
        <v>1770</v>
      </c>
      <c r="E198" s="66" t="n">
        <v>0</v>
      </c>
      <c r="F198" s="66" t="n">
        <f aca="false">E198/10</f>
        <v>0</v>
      </c>
      <c r="G198" s="20" t="s">
        <v>1728</v>
      </c>
      <c r="H198" s="20"/>
      <c r="I198" s="20"/>
      <c r="J198" s="20"/>
      <c r="K198" s="20"/>
      <c r="L198" s="20"/>
      <c r="M198" s="20"/>
    </row>
    <row r="199" customFormat="false" ht="15.75" hidden="false" customHeight="true" outlineLevel="0" collapsed="false">
      <c r="A199" s="80" t="s">
        <v>1717</v>
      </c>
      <c r="B199" s="17" t="s">
        <v>1718</v>
      </c>
      <c r="C199" s="80" t="s">
        <v>1715</v>
      </c>
      <c r="D199" s="18" t="s">
        <v>1771</v>
      </c>
      <c r="E199" s="66" t="n">
        <v>20</v>
      </c>
      <c r="F199" s="66" t="n">
        <f aca="false">E199/10</f>
        <v>2</v>
      </c>
      <c r="G199" s="20" t="s">
        <v>1716</v>
      </c>
      <c r="H199" s="20"/>
      <c r="I199" s="20"/>
      <c r="J199" s="20"/>
      <c r="K199" s="20"/>
      <c r="L199" s="20"/>
      <c r="M199" s="20"/>
    </row>
    <row r="200" customFormat="false" ht="15.75" hidden="false" customHeight="true" outlineLevel="0" collapsed="false">
      <c r="A200" s="80" t="s">
        <v>1717</v>
      </c>
      <c r="B200" s="17" t="s">
        <v>1718</v>
      </c>
      <c r="C200" s="80" t="s">
        <v>1715</v>
      </c>
      <c r="D200" s="18" t="s">
        <v>1772</v>
      </c>
      <c r="E200" s="66" t="n">
        <v>50</v>
      </c>
      <c r="F200" s="66" t="n">
        <f aca="false">E200/10</f>
        <v>5</v>
      </c>
      <c r="G200" s="20" t="s">
        <v>1716</v>
      </c>
      <c r="H200" s="20"/>
      <c r="I200" s="20"/>
      <c r="J200" s="20"/>
      <c r="K200" s="20"/>
      <c r="L200" s="20"/>
      <c r="M200" s="20"/>
    </row>
    <row r="201" customFormat="false" ht="15.75" hidden="false" customHeight="true" outlineLevel="0" collapsed="false">
      <c r="A201" s="80" t="s">
        <v>1736</v>
      </c>
      <c r="B201" s="17" t="s">
        <v>1737</v>
      </c>
      <c r="C201" s="80" t="s">
        <v>1734</v>
      </c>
      <c r="D201" s="18" t="s">
        <v>1772</v>
      </c>
      <c r="E201" s="66" t="n">
        <v>20</v>
      </c>
      <c r="F201" s="66" t="n">
        <f aca="false">E201/10</f>
        <v>2</v>
      </c>
      <c r="G201" s="20" t="s">
        <v>1735</v>
      </c>
      <c r="H201" s="20"/>
      <c r="I201" s="20"/>
      <c r="J201" s="20"/>
      <c r="K201" s="20"/>
      <c r="L201" s="20"/>
      <c r="M201" s="20"/>
    </row>
    <row r="202" customFormat="false" ht="15.75" hidden="false" customHeight="true" outlineLevel="0" collapsed="false">
      <c r="A202" s="80" t="s">
        <v>1740</v>
      </c>
      <c r="B202" s="17" t="s">
        <v>1741</v>
      </c>
      <c r="C202" s="80" t="s">
        <v>1734</v>
      </c>
      <c r="D202" s="18" t="s">
        <v>1770</v>
      </c>
      <c r="E202" s="66" t="n">
        <v>0</v>
      </c>
      <c r="F202" s="66" t="n">
        <f aca="false">E202/10</f>
        <v>0</v>
      </c>
      <c r="G202" s="20" t="s">
        <v>1735</v>
      </c>
      <c r="H202" s="20"/>
      <c r="I202" s="20"/>
      <c r="J202" s="20"/>
      <c r="K202" s="20"/>
      <c r="L202" s="20"/>
      <c r="M202" s="20"/>
    </row>
    <row r="203" customFormat="false" ht="15.75" hidden="false" customHeight="true" outlineLevel="0" collapsed="false">
      <c r="A203" s="80" t="s">
        <v>1738</v>
      </c>
      <c r="B203" s="17" t="s">
        <v>1739</v>
      </c>
      <c r="C203" s="80" t="s">
        <v>1734</v>
      </c>
      <c r="D203" s="18" t="s">
        <v>1772</v>
      </c>
      <c r="E203" s="66" t="n">
        <v>20</v>
      </c>
      <c r="F203" s="66" t="n">
        <f aca="false">E203/10</f>
        <v>2</v>
      </c>
      <c r="G203" s="20" t="s">
        <v>1735</v>
      </c>
      <c r="H203" s="20"/>
      <c r="I203" s="20"/>
      <c r="J203" s="20"/>
      <c r="K203" s="20"/>
      <c r="L203" s="20"/>
      <c r="M203" s="20"/>
    </row>
    <row r="204" customFormat="false" ht="15.75" hidden="false" customHeight="true" outlineLevel="0" collapsed="false">
      <c r="A204" s="80" t="s">
        <v>1738</v>
      </c>
      <c r="B204" s="17" t="s">
        <v>1739</v>
      </c>
      <c r="C204" s="80" t="s">
        <v>1736</v>
      </c>
      <c r="D204" s="18" t="s">
        <v>1772</v>
      </c>
      <c r="E204" s="66" t="n">
        <v>0</v>
      </c>
      <c r="F204" s="66" t="n">
        <f aca="false">E204/10</f>
        <v>0</v>
      </c>
      <c r="G204" s="20" t="s">
        <v>1737</v>
      </c>
      <c r="H204" s="20"/>
      <c r="I204" s="20"/>
      <c r="J204" s="20"/>
      <c r="K204" s="20"/>
      <c r="L204" s="20"/>
      <c r="M204" s="20"/>
    </row>
    <row r="205" customFormat="false" ht="15.75" hidden="false" customHeight="true" outlineLevel="0" collapsed="false">
      <c r="A205" s="80" t="s">
        <v>1723</v>
      </c>
      <c r="B205" s="17" t="s">
        <v>1705</v>
      </c>
      <c r="C205" s="80" t="s">
        <v>1689</v>
      </c>
      <c r="D205" s="18" t="s">
        <v>1770</v>
      </c>
      <c r="E205" s="66" t="n">
        <v>0</v>
      </c>
      <c r="F205" s="66" t="n">
        <f aca="false">E205/10</f>
        <v>0</v>
      </c>
      <c r="G205" s="20" t="s">
        <v>1690</v>
      </c>
      <c r="H205" s="20"/>
      <c r="I205" s="20"/>
      <c r="J205" s="20"/>
      <c r="K205" s="20"/>
      <c r="L205" s="20"/>
      <c r="M205" s="20"/>
    </row>
    <row r="206" customFormat="false" ht="15.75" hidden="false" customHeight="true" outlineLevel="0" collapsed="false">
      <c r="A206" s="80" t="s">
        <v>1723</v>
      </c>
      <c r="B206" s="17" t="s">
        <v>1705</v>
      </c>
      <c r="C206" s="80" t="s">
        <v>1694</v>
      </c>
      <c r="D206" s="18" t="s">
        <v>1770</v>
      </c>
      <c r="E206" s="66" t="n">
        <v>0</v>
      </c>
      <c r="F206" s="66" t="n">
        <f aca="false">E206/10</f>
        <v>0</v>
      </c>
      <c r="G206" s="20" t="s">
        <v>1695</v>
      </c>
      <c r="H206" s="20"/>
      <c r="I206" s="20"/>
      <c r="J206" s="20"/>
      <c r="K206" s="20"/>
      <c r="L206" s="20"/>
      <c r="M206" s="20"/>
    </row>
    <row r="207" customFormat="false" ht="15.75" hidden="false" customHeight="true" outlineLevel="0" collapsed="false">
      <c r="A207" s="80" t="s">
        <v>1723</v>
      </c>
      <c r="B207" s="17" t="s">
        <v>1705</v>
      </c>
      <c r="C207" s="80" t="s">
        <v>1691</v>
      </c>
      <c r="D207" s="18" t="s">
        <v>1770</v>
      </c>
      <c r="E207" s="66" t="n">
        <v>0</v>
      </c>
      <c r="F207" s="66" t="n">
        <f aca="false">E207/10</f>
        <v>0</v>
      </c>
      <c r="G207" s="20" t="s">
        <v>1692</v>
      </c>
      <c r="H207" s="20"/>
      <c r="I207" s="20"/>
      <c r="J207" s="20"/>
      <c r="K207" s="20"/>
      <c r="L207" s="20"/>
      <c r="M207" s="20"/>
    </row>
    <row r="208" customFormat="false" ht="15.75" hidden="false" customHeight="true" outlineLevel="0" collapsed="false">
      <c r="A208" s="80" t="s">
        <v>1723</v>
      </c>
      <c r="B208" s="17" t="s">
        <v>1705</v>
      </c>
      <c r="C208" s="80" t="s">
        <v>1696</v>
      </c>
      <c r="D208" s="18" t="s">
        <v>1770</v>
      </c>
      <c r="E208" s="66" t="n">
        <v>0</v>
      </c>
      <c r="F208" s="66" t="n">
        <f aca="false">E208/10</f>
        <v>0</v>
      </c>
      <c r="G208" s="20" t="s">
        <v>1697</v>
      </c>
      <c r="H208" s="20"/>
      <c r="I208" s="20"/>
      <c r="J208" s="20"/>
      <c r="K208" s="20"/>
      <c r="L208" s="20"/>
      <c r="M208" s="20"/>
    </row>
    <row r="209" customFormat="false" ht="15.75" hidden="false" customHeight="true" outlineLevel="0" collapsed="false">
      <c r="A209" s="80" t="s">
        <v>1723</v>
      </c>
      <c r="B209" s="17" t="s">
        <v>1705</v>
      </c>
      <c r="C209" s="80" t="s">
        <v>1629</v>
      </c>
      <c r="D209" s="18" t="s">
        <v>1770</v>
      </c>
      <c r="E209" s="66" t="n">
        <v>0</v>
      </c>
      <c r="F209" s="66" t="n">
        <f aca="false">E209/10</f>
        <v>0</v>
      </c>
      <c r="G209" s="20" t="s">
        <v>1630</v>
      </c>
      <c r="H209" s="20"/>
      <c r="I209" s="20"/>
      <c r="J209" s="20"/>
      <c r="K209" s="20"/>
      <c r="L209" s="20"/>
      <c r="M209" s="20"/>
    </row>
    <row r="210" customFormat="false" ht="15.75" hidden="false" customHeight="true" outlineLevel="0" collapsed="false">
      <c r="A210" s="80" t="s">
        <v>1723</v>
      </c>
      <c r="B210" s="17" t="s">
        <v>1705</v>
      </c>
      <c r="C210" s="80" t="s">
        <v>1684</v>
      </c>
      <c r="D210" s="18" t="s">
        <v>1770</v>
      </c>
      <c r="E210" s="66" t="n">
        <v>0</v>
      </c>
      <c r="F210" s="66" t="n">
        <f aca="false">E210/10</f>
        <v>0</v>
      </c>
      <c r="G210" s="20" t="s">
        <v>1685</v>
      </c>
      <c r="H210" s="20"/>
      <c r="I210" s="20"/>
      <c r="J210" s="20"/>
      <c r="K210" s="20"/>
      <c r="L210" s="20"/>
      <c r="M210" s="20"/>
    </row>
    <row r="211" customFormat="false" ht="15.75" hidden="false" customHeight="true" outlineLevel="0" collapsed="false">
      <c r="A211" s="80" t="s">
        <v>1723</v>
      </c>
      <c r="B211" s="17" t="s">
        <v>1705</v>
      </c>
      <c r="C211" s="80" t="s">
        <v>1686</v>
      </c>
      <c r="D211" s="18" t="s">
        <v>1770</v>
      </c>
      <c r="E211" s="66" t="n">
        <v>0</v>
      </c>
      <c r="F211" s="66" t="n">
        <f aca="false">E211/10</f>
        <v>0</v>
      </c>
      <c r="G211" s="20" t="s">
        <v>1687</v>
      </c>
      <c r="H211" s="20"/>
      <c r="I211" s="20"/>
      <c r="J211" s="20"/>
      <c r="K211" s="20"/>
      <c r="L211" s="20"/>
      <c r="M211" s="20"/>
    </row>
    <row r="212" customFormat="false" ht="15.75" hidden="false" customHeight="true" outlineLevel="0" collapsed="false">
      <c r="A212" s="80" t="s">
        <v>1723</v>
      </c>
      <c r="B212" s="17" t="s">
        <v>1705</v>
      </c>
      <c r="C212" s="80" t="s">
        <v>1719</v>
      </c>
      <c r="D212" s="18" t="s">
        <v>1771</v>
      </c>
      <c r="E212" s="66" t="n">
        <v>20</v>
      </c>
      <c r="F212" s="66" t="n">
        <f aca="false">E212/10</f>
        <v>2</v>
      </c>
      <c r="G212" s="20" t="s">
        <v>1720</v>
      </c>
      <c r="H212" s="20"/>
      <c r="I212" s="20"/>
      <c r="J212" s="20"/>
      <c r="K212" s="20"/>
      <c r="L212" s="20"/>
      <c r="M212" s="20"/>
    </row>
    <row r="213" customFormat="false" ht="15.75" hidden="false" customHeight="true" outlineLevel="0" collapsed="false">
      <c r="A213" s="80" t="s">
        <v>1723</v>
      </c>
      <c r="B213" s="17" t="s">
        <v>1705</v>
      </c>
      <c r="C213" s="80" t="s">
        <v>1724</v>
      </c>
      <c r="D213" s="18" t="s">
        <v>1771</v>
      </c>
      <c r="E213" s="66" t="n">
        <v>0</v>
      </c>
      <c r="F213" s="66" t="n">
        <f aca="false">E213/10</f>
        <v>0</v>
      </c>
      <c r="G213" s="20" t="s">
        <v>1725</v>
      </c>
      <c r="H213" s="20"/>
      <c r="I213" s="20"/>
      <c r="J213" s="20"/>
      <c r="K213" s="20"/>
      <c r="L213" s="20"/>
      <c r="M213" s="20"/>
    </row>
    <row r="214" customFormat="false" ht="15.75" hidden="false" customHeight="true" outlineLevel="0" collapsed="false">
      <c r="A214" s="80" t="s">
        <v>1726</v>
      </c>
      <c r="B214" s="17" t="s">
        <v>1716</v>
      </c>
      <c r="C214" s="80" t="s">
        <v>1723</v>
      </c>
      <c r="D214" s="18" t="s">
        <v>1770</v>
      </c>
      <c r="E214" s="66" t="n">
        <v>0</v>
      </c>
      <c r="F214" s="66" t="n">
        <f aca="false">E214/10</f>
        <v>0</v>
      </c>
      <c r="G214" s="20" t="s">
        <v>1705</v>
      </c>
      <c r="H214" s="20"/>
      <c r="I214" s="20"/>
      <c r="J214" s="20"/>
      <c r="K214" s="20"/>
      <c r="L214" s="20"/>
      <c r="M214" s="20"/>
    </row>
    <row r="215" customFormat="false" ht="15.75" hidden="false" customHeight="true" outlineLevel="0" collapsed="false">
      <c r="A215" s="80" t="s">
        <v>1726</v>
      </c>
      <c r="B215" s="17" t="s">
        <v>1716</v>
      </c>
      <c r="C215" s="80" t="s">
        <v>1629</v>
      </c>
      <c r="D215" s="18" t="s">
        <v>1770</v>
      </c>
      <c r="E215" s="66" t="n">
        <v>0</v>
      </c>
      <c r="F215" s="66" t="n">
        <f aca="false">E215/10</f>
        <v>0</v>
      </c>
      <c r="G215" s="20" t="s">
        <v>1630</v>
      </c>
      <c r="H215" s="20"/>
      <c r="I215" s="20"/>
      <c r="J215" s="20"/>
      <c r="K215" s="20"/>
      <c r="L215" s="20"/>
      <c r="M215" s="20"/>
    </row>
    <row r="216" customFormat="false" ht="15.75" hidden="false" customHeight="true" outlineLevel="0" collapsed="false">
      <c r="A216" s="80" t="s">
        <v>1742</v>
      </c>
      <c r="B216" s="17" t="s">
        <v>1728</v>
      </c>
      <c r="C216" s="80" t="s">
        <v>1729</v>
      </c>
      <c r="D216" s="18" t="s">
        <v>1770</v>
      </c>
      <c r="E216" s="66" t="n">
        <v>0</v>
      </c>
      <c r="F216" s="66" t="n">
        <f aca="false">E216/10</f>
        <v>0</v>
      </c>
      <c r="G216" s="20" t="s">
        <v>1718</v>
      </c>
      <c r="H216" s="20"/>
      <c r="I216" s="20"/>
      <c r="J216" s="20"/>
      <c r="K216" s="20"/>
      <c r="L216" s="20"/>
      <c r="M216" s="20"/>
    </row>
    <row r="217" customFormat="false" ht="15.75" hidden="false" customHeight="true" outlineLevel="0" collapsed="false">
      <c r="A217" s="80" t="s">
        <v>1743</v>
      </c>
      <c r="B217" s="17" t="s">
        <v>1735</v>
      </c>
      <c r="C217" s="80" t="s">
        <v>1742</v>
      </c>
      <c r="D217" s="18" t="s">
        <v>1770</v>
      </c>
      <c r="E217" s="66" t="n">
        <v>0</v>
      </c>
      <c r="F217" s="66" t="n">
        <f aca="false">E217/10</f>
        <v>0</v>
      </c>
      <c r="G217" s="20" t="s">
        <v>1728</v>
      </c>
      <c r="H217" s="20"/>
      <c r="I217" s="20"/>
      <c r="J217" s="20"/>
      <c r="K217" s="20"/>
      <c r="L217" s="20"/>
      <c r="M217" s="20"/>
    </row>
    <row r="218" customFormat="false" ht="15.75" hidden="false" customHeight="true" outlineLevel="0" collapsed="false">
      <c r="A218" s="80" t="s">
        <v>1729</v>
      </c>
      <c r="B218" s="17" t="s">
        <v>1718</v>
      </c>
      <c r="C218" s="80" t="s">
        <v>1726</v>
      </c>
      <c r="D218" s="18" t="s">
        <v>1772</v>
      </c>
      <c r="E218" s="66" t="n">
        <v>50</v>
      </c>
      <c r="F218" s="66" t="n">
        <f aca="false">E218/10</f>
        <v>5</v>
      </c>
      <c r="G218" s="20" t="s">
        <v>1716</v>
      </c>
      <c r="H218" s="20"/>
      <c r="I218" s="20"/>
      <c r="J218" s="20"/>
      <c r="K218" s="20"/>
      <c r="L218" s="20"/>
      <c r="M218" s="20"/>
    </row>
    <row r="219" customFormat="false" ht="15.75" hidden="false" customHeight="true" outlineLevel="0" collapsed="false">
      <c r="A219" s="80" t="s">
        <v>1729</v>
      </c>
      <c r="B219" s="17" t="s">
        <v>1718</v>
      </c>
      <c r="C219" s="80" t="s">
        <v>1726</v>
      </c>
      <c r="D219" s="18" t="s">
        <v>1771</v>
      </c>
      <c r="E219" s="66" t="n">
        <v>20</v>
      </c>
      <c r="F219" s="66" t="n">
        <f aca="false">E219/10</f>
        <v>2</v>
      </c>
      <c r="G219" s="20" t="s">
        <v>1716</v>
      </c>
      <c r="H219" s="20"/>
      <c r="I219" s="20"/>
      <c r="J219" s="20"/>
      <c r="K219" s="20"/>
      <c r="L219" s="20"/>
      <c r="M219" s="20"/>
    </row>
    <row r="220" customFormat="false" ht="15.75" hidden="false" customHeight="true" outlineLevel="0" collapsed="false">
      <c r="A220" s="80" t="s">
        <v>1746</v>
      </c>
      <c r="B220" s="17" t="s">
        <v>1741</v>
      </c>
      <c r="C220" s="80" t="s">
        <v>1743</v>
      </c>
      <c r="D220" s="18" t="s">
        <v>1770</v>
      </c>
      <c r="E220" s="66" t="n">
        <v>0</v>
      </c>
      <c r="F220" s="66" t="n">
        <f aca="false">E220/10</f>
        <v>0</v>
      </c>
      <c r="G220" s="20" t="s">
        <v>1735</v>
      </c>
      <c r="H220" s="20"/>
      <c r="I220" s="20"/>
      <c r="J220" s="20"/>
      <c r="K220" s="20"/>
      <c r="L220" s="20"/>
      <c r="M220" s="20"/>
    </row>
    <row r="221" customFormat="false" ht="15.75" hidden="false" customHeight="true" outlineLevel="0" collapsed="false">
      <c r="A221" s="80" t="s">
        <v>1746</v>
      </c>
      <c r="B221" s="17" t="s">
        <v>1741</v>
      </c>
      <c r="C221" s="80" t="s">
        <v>1744</v>
      </c>
      <c r="D221" s="18" t="s">
        <v>1771</v>
      </c>
      <c r="E221" s="66" t="n">
        <v>30</v>
      </c>
      <c r="F221" s="66" t="n">
        <f aca="false">E221/10</f>
        <v>3</v>
      </c>
      <c r="G221" s="20" t="s">
        <v>1737</v>
      </c>
      <c r="H221" s="20"/>
      <c r="I221" s="20"/>
      <c r="J221" s="20"/>
      <c r="K221" s="20"/>
      <c r="L221" s="20"/>
      <c r="M221" s="20"/>
    </row>
    <row r="222" customFormat="false" ht="15.75" hidden="false" customHeight="true" outlineLevel="0" collapsed="false">
      <c r="A222" s="80" t="s">
        <v>1746</v>
      </c>
      <c r="B222" s="17" t="s">
        <v>1741</v>
      </c>
      <c r="C222" s="80" t="s">
        <v>1676</v>
      </c>
      <c r="D222" s="18" t="s">
        <v>1770</v>
      </c>
      <c r="E222" s="66" t="n">
        <v>0</v>
      </c>
      <c r="F222" s="66" t="n">
        <f aca="false">E222/10</f>
        <v>0</v>
      </c>
      <c r="G222" s="20" t="s">
        <v>1677</v>
      </c>
      <c r="H222" s="20"/>
      <c r="I222" s="20"/>
      <c r="J222" s="20"/>
      <c r="K222" s="20"/>
      <c r="L222" s="20"/>
      <c r="M222" s="20"/>
    </row>
    <row r="223" customFormat="false" ht="15.75" hidden="false" customHeight="true" outlineLevel="0" collapsed="false">
      <c r="A223" s="80" t="s">
        <v>1746</v>
      </c>
      <c r="B223" s="17" t="s">
        <v>1741</v>
      </c>
      <c r="C223" s="80" t="s">
        <v>1678</v>
      </c>
      <c r="D223" s="18" t="s">
        <v>1770</v>
      </c>
      <c r="E223" s="66" t="n">
        <v>0</v>
      </c>
      <c r="F223" s="66" t="n">
        <f aca="false">E223/10</f>
        <v>0</v>
      </c>
      <c r="G223" s="20" t="s">
        <v>1679</v>
      </c>
      <c r="H223" s="20"/>
      <c r="I223" s="20"/>
      <c r="J223" s="20"/>
      <c r="K223" s="20"/>
      <c r="L223" s="20"/>
      <c r="M223" s="20"/>
    </row>
    <row r="224" customFormat="false" ht="15.75" hidden="false" customHeight="true" outlineLevel="0" collapsed="false">
      <c r="A224" s="80" t="s">
        <v>1746</v>
      </c>
      <c r="B224" s="17" t="s">
        <v>1741</v>
      </c>
      <c r="C224" s="80" t="s">
        <v>1707</v>
      </c>
      <c r="D224" s="18" t="s">
        <v>1770</v>
      </c>
      <c r="E224" s="66" t="n">
        <v>0</v>
      </c>
      <c r="F224" s="66" t="n">
        <f aca="false">E224/10</f>
        <v>0</v>
      </c>
      <c r="G224" s="20" t="s">
        <v>1708</v>
      </c>
      <c r="H224" s="20"/>
      <c r="I224" s="20"/>
      <c r="J224" s="20"/>
      <c r="K224" s="20"/>
      <c r="L224" s="20"/>
      <c r="M224" s="20"/>
    </row>
    <row r="225" customFormat="false" ht="15.75" hidden="false" customHeight="true" outlineLevel="0" collapsed="false">
      <c r="A225" s="80" t="s">
        <v>1746</v>
      </c>
      <c r="B225" s="17" t="s">
        <v>1741</v>
      </c>
      <c r="C225" s="80" t="s">
        <v>1732</v>
      </c>
      <c r="D225" s="18" t="s">
        <v>1770</v>
      </c>
      <c r="E225" s="66" t="n">
        <v>0</v>
      </c>
      <c r="F225" s="66" t="n">
        <f aca="false">E225/10</f>
        <v>0</v>
      </c>
      <c r="G225" s="20" t="s">
        <v>1733</v>
      </c>
      <c r="H225" s="20"/>
      <c r="I225" s="20"/>
      <c r="J225" s="20"/>
      <c r="K225" s="20"/>
      <c r="L225" s="20"/>
      <c r="M225" s="20"/>
    </row>
    <row r="226" customFormat="false" ht="15.75" hidden="false" customHeight="true" outlineLevel="0" collapsed="false">
      <c r="A226" s="80" t="s">
        <v>1744</v>
      </c>
      <c r="B226" s="17" t="s">
        <v>1737</v>
      </c>
      <c r="C226" s="80" t="s">
        <v>1743</v>
      </c>
      <c r="D226" s="18" t="s">
        <v>1772</v>
      </c>
      <c r="E226" s="66" t="n">
        <v>20</v>
      </c>
      <c r="F226" s="66" t="n">
        <f aca="false">E226/10</f>
        <v>2</v>
      </c>
      <c r="G226" s="20" t="s">
        <v>1735</v>
      </c>
      <c r="H226" s="20"/>
      <c r="I226" s="20"/>
      <c r="J226" s="20"/>
      <c r="K226" s="20"/>
      <c r="L226" s="20"/>
      <c r="M226" s="20"/>
    </row>
    <row r="227" customFormat="false" ht="15.75" hidden="false" customHeight="true" outlineLevel="0" collapsed="false">
      <c r="A227" s="80" t="s">
        <v>1745</v>
      </c>
      <c r="B227" s="17" t="s">
        <v>1739</v>
      </c>
      <c r="C227" s="80" t="s">
        <v>1743</v>
      </c>
      <c r="D227" s="18" t="s">
        <v>1772</v>
      </c>
      <c r="E227" s="66" t="n">
        <v>20</v>
      </c>
      <c r="F227" s="66" t="n">
        <f aca="false">E227/10</f>
        <v>2</v>
      </c>
      <c r="G227" s="20" t="s">
        <v>1735</v>
      </c>
      <c r="H227" s="20"/>
      <c r="I227" s="20"/>
      <c r="J227" s="20"/>
      <c r="K227" s="20"/>
      <c r="L227" s="20"/>
      <c r="M227" s="20"/>
    </row>
    <row r="228" customFormat="false" ht="15.75" hidden="false" customHeight="true" outlineLevel="0" collapsed="false">
      <c r="A228" s="80" t="s">
        <v>1745</v>
      </c>
      <c r="B228" s="17" t="s">
        <v>1739</v>
      </c>
      <c r="C228" s="80" t="s">
        <v>1744</v>
      </c>
      <c r="D228" s="18" t="s">
        <v>1772</v>
      </c>
      <c r="E228" s="66" t="n">
        <v>0</v>
      </c>
      <c r="F228" s="66" t="n">
        <f aca="false">E228/10</f>
        <v>0</v>
      </c>
      <c r="G228" s="20" t="s">
        <v>1737</v>
      </c>
      <c r="H228" s="20"/>
      <c r="I228" s="20"/>
      <c r="J228" s="20"/>
      <c r="K228" s="20"/>
      <c r="L228" s="20"/>
      <c r="M228" s="20"/>
    </row>
    <row r="229" customFormat="false" ht="15.75" hidden="false" customHeight="true" outlineLevel="0" collapsed="false">
      <c r="A229" s="80" t="s">
        <v>1401</v>
      </c>
      <c r="B229" s="17" t="s">
        <v>1749</v>
      </c>
      <c r="C229" s="80" t="s">
        <v>1747</v>
      </c>
      <c r="D229" s="18" t="s">
        <v>1770</v>
      </c>
      <c r="E229" s="66" t="n">
        <v>0</v>
      </c>
      <c r="F229" s="66" t="n">
        <f aca="false">E229/10</f>
        <v>0</v>
      </c>
      <c r="G229" s="20" t="s">
        <v>1748</v>
      </c>
      <c r="H229" s="20"/>
      <c r="I229" s="20"/>
      <c r="J229" s="20"/>
      <c r="K229" s="20"/>
      <c r="L229" s="20"/>
      <c r="M229" s="20"/>
    </row>
    <row r="230" customFormat="false" ht="15.75" hidden="false" customHeight="true" outlineLevel="0" collapsed="false">
      <c r="A230" s="80" t="s">
        <v>1401</v>
      </c>
      <c r="B230" s="17" t="s">
        <v>1749</v>
      </c>
      <c r="C230" s="80" t="s">
        <v>1738</v>
      </c>
      <c r="D230" s="18" t="s">
        <v>1770</v>
      </c>
      <c r="E230" s="66" t="n">
        <v>0</v>
      </c>
      <c r="F230" s="66" t="n">
        <f aca="false">E230/10</f>
        <v>0</v>
      </c>
      <c r="G230" s="20" t="s">
        <v>1739</v>
      </c>
      <c r="H230" s="20"/>
      <c r="I230" s="20"/>
      <c r="J230" s="20"/>
      <c r="K230" s="20"/>
      <c r="L230" s="20"/>
      <c r="M230" s="20"/>
    </row>
    <row r="231" customFormat="false" ht="15.75" hidden="false" customHeight="true" outlineLevel="0" collapsed="false">
      <c r="A231" s="80" t="s">
        <v>1401</v>
      </c>
      <c r="B231" s="17" t="s">
        <v>1749</v>
      </c>
      <c r="C231" s="80" t="s">
        <v>1746</v>
      </c>
      <c r="D231" s="18" t="s">
        <v>1770</v>
      </c>
      <c r="E231" s="66" t="n">
        <v>0</v>
      </c>
      <c r="F231" s="66" t="n">
        <f aca="false">E231/10</f>
        <v>0</v>
      </c>
      <c r="G231" s="20" t="s">
        <v>1741</v>
      </c>
      <c r="H231" s="20"/>
      <c r="I231" s="20"/>
      <c r="J231" s="20"/>
      <c r="K231" s="20"/>
      <c r="L231" s="20"/>
      <c r="M231" s="20"/>
    </row>
    <row r="232" customFormat="false" ht="15.75" hidden="false" customHeight="true" outlineLevel="0" collapsed="false">
      <c r="A232" s="80" t="s">
        <v>1750</v>
      </c>
      <c r="B232" s="17" t="s">
        <v>1751</v>
      </c>
      <c r="C232" s="80" t="s">
        <v>1747</v>
      </c>
      <c r="D232" s="18" t="s">
        <v>1770</v>
      </c>
      <c r="E232" s="66" t="n">
        <v>0</v>
      </c>
      <c r="F232" s="66" t="n">
        <f aca="false">E232/10</f>
        <v>0</v>
      </c>
      <c r="G232" s="20" t="s">
        <v>1748</v>
      </c>
      <c r="H232" s="20"/>
      <c r="I232" s="20"/>
      <c r="J232" s="20"/>
      <c r="K232" s="20"/>
      <c r="L232" s="20"/>
      <c r="M232" s="20"/>
    </row>
    <row r="233" customFormat="false" ht="15.75" hidden="false" customHeight="true" outlineLevel="0" collapsed="false">
      <c r="A233" s="80" t="s">
        <v>1750</v>
      </c>
      <c r="B233" s="17" t="s">
        <v>1751</v>
      </c>
      <c r="C233" s="80" t="s">
        <v>1740</v>
      </c>
      <c r="D233" s="18" t="s">
        <v>1770</v>
      </c>
      <c r="E233" s="66" t="n">
        <v>0</v>
      </c>
      <c r="F233" s="66" t="n">
        <f aca="false">E233/10</f>
        <v>0</v>
      </c>
      <c r="G233" s="20" t="s">
        <v>1741</v>
      </c>
      <c r="H233" s="20"/>
      <c r="I233" s="20"/>
      <c r="J233" s="20"/>
      <c r="K233" s="20"/>
      <c r="L233" s="20"/>
      <c r="M233" s="20"/>
    </row>
    <row r="234" customFormat="false" ht="15.75" hidden="false" customHeight="true" outlineLevel="0" collapsed="false">
      <c r="A234" s="80" t="s">
        <v>1750</v>
      </c>
      <c r="B234" s="17" t="s">
        <v>1751</v>
      </c>
      <c r="C234" s="80" t="s">
        <v>1738</v>
      </c>
      <c r="D234" s="18" t="s">
        <v>1770</v>
      </c>
      <c r="E234" s="66" t="n">
        <v>0</v>
      </c>
      <c r="F234" s="66" t="n">
        <f aca="false">E234/10</f>
        <v>0</v>
      </c>
      <c r="G234" s="20" t="s">
        <v>1739</v>
      </c>
      <c r="H234" s="20"/>
      <c r="I234" s="20"/>
      <c r="J234" s="20"/>
      <c r="K234" s="20"/>
      <c r="L234" s="20"/>
      <c r="M234" s="20"/>
    </row>
    <row r="235" customFormat="false" ht="15.75" hidden="false" customHeight="true" outlineLevel="0" collapsed="false">
      <c r="A235" s="80" t="s">
        <v>1750</v>
      </c>
      <c r="B235" s="17" t="s">
        <v>1751</v>
      </c>
      <c r="C235" s="80" t="s">
        <v>1401</v>
      </c>
      <c r="D235" s="18" t="s">
        <v>1770</v>
      </c>
      <c r="E235" s="66" t="n">
        <v>0</v>
      </c>
      <c r="F235" s="66" t="n">
        <f aca="false">E235/10</f>
        <v>0</v>
      </c>
      <c r="G235" s="20" t="s">
        <v>1749</v>
      </c>
      <c r="H235" s="20"/>
      <c r="I235" s="20"/>
      <c r="J235" s="20"/>
      <c r="K235" s="20"/>
      <c r="L235" s="20"/>
      <c r="M235" s="20"/>
    </row>
    <row r="236" customFormat="false" ht="15.75" hidden="false" customHeight="true" outlineLevel="0" collapsed="false">
      <c r="A236" s="80" t="s">
        <v>1752</v>
      </c>
      <c r="B236" s="17" t="s">
        <v>1753</v>
      </c>
      <c r="C236" s="80" t="s">
        <v>1740</v>
      </c>
      <c r="D236" s="18" t="s">
        <v>1770</v>
      </c>
      <c r="E236" s="66" t="n">
        <v>0</v>
      </c>
      <c r="F236" s="66" t="n">
        <f aca="false">E236/10</f>
        <v>0</v>
      </c>
      <c r="G236" s="20" t="s">
        <v>1741</v>
      </c>
      <c r="H236" s="20"/>
      <c r="I236" s="20"/>
      <c r="J236" s="20"/>
      <c r="K236" s="20"/>
      <c r="L236" s="20"/>
      <c r="M236" s="20"/>
    </row>
    <row r="237" customFormat="false" ht="15.75" hidden="false" customHeight="true" outlineLevel="0" collapsed="false">
      <c r="A237" s="80" t="s">
        <v>1752</v>
      </c>
      <c r="B237" s="17" t="s">
        <v>1753</v>
      </c>
      <c r="C237" s="80" t="s">
        <v>1746</v>
      </c>
      <c r="D237" s="18" t="s">
        <v>1770</v>
      </c>
      <c r="E237" s="66" t="n">
        <v>0</v>
      </c>
      <c r="F237" s="66" t="n">
        <f aca="false">E237/10</f>
        <v>0</v>
      </c>
      <c r="G237" s="20" t="s">
        <v>1741</v>
      </c>
      <c r="H237" s="20"/>
      <c r="I237" s="20"/>
      <c r="J237" s="20"/>
      <c r="K237" s="20"/>
      <c r="L237" s="20"/>
      <c r="M237" s="20"/>
    </row>
    <row r="238" customFormat="false" ht="15.75" hidden="false" customHeight="true" outlineLevel="0" collapsed="false">
      <c r="A238" s="80" t="s">
        <v>1752</v>
      </c>
      <c r="B238" s="17" t="s">
        <v>1753</v>
      </c>
      <c r="C238" s="80" t="s">
        <v>1744</v>
      </c>
      <c r="D238" s="18" t="s">
        <v>1770</v>
      </c>
      <c r="E238" s="66" t="n">
        <v>0</v>
      </c>
      <c r="F238" s="66" t="n">
        <f aca="false">E238/10</f>
        <v>0</v>
      </c>
      <c r="G238" s="20" t="s">
        <v>1737</v>
      </c>
      <c r="H238" s="20"/>
      <c r="I238" s="20"/>
      <c r="J238" s="20"/>
      <c r="K238" s="20"/>
      <c r="L238" s="20"/>
      <c r="M238" s="20"/>
    </row>
    <row r="239" customFormat="false" ht="15.75" hidden="false" customHeight="true" outlineLevel="0" collapsed="false">
      <c r="A239" s="80" t="s">
        <v>1752</v>
      </c>
      <c r="B239" s="17" t="s">
        <v>1753</v>
      </c>
      <c r="C239" s="80" t="s">
        <v>1745</v>
      </c>
      <c r="D239" s="18" t="s">
        <v>1770</v>
      </c>
      <c r="E239" s="66" t="n">
        <v>0</v>
      </c>
      <c r="F239" s="66" t="n">
        <f aca="false">E239/10</f>
        <v>0</v>
      </c>
      <c r="G239" s="20" t="s">
        <v>1739</v>
      </c>
      <c r="H239" s="20"/>
      <c r="I239" s="20"/>
      <c r="J239" s="20"/>
      <c r="K239" s="20"/>
      <c r="L239" s="20"/>
      <c r="M239" s="20"/>
    </row>
    <row r="240" customFormat="false" ht="15.75" hidden="false" customHeight="true" outlineLevel="0" collapsed="false">
      <c r="A240" s="80" t="s">
        <v>1752</v>
      </c>
      <c r="B240" s="17" t="s">
        <v>1753</v>
      </c>
      <c r="C240" s="80" t="s">
        <v>1401</v>
      </c>
      <c r="D240" s="18" t="s">
        <v>1770</v>
      </c>
      <c r="E240" s="66" t="n">
        <v>0</v>
      </c>
      <c r="F240" s="66" t="n">
        <f aca="false">E240/10</f>
        <v>0</v>
      </c>
      <c r="G240" s="20" t="s">
        <v>1749</v>
      </c>
      <c r="H240" s="20"/>
      <c r="I240" s="20"/>
      <c r="J240" s="20"/>
      <c r="K240" s="20"/>
      <c r="L240" s="20"/>
      <c r="M240" s="20"/>
    </row>
    <row r="241" customFormat="false" ht="15.75" hidden="false" customHeight="true" outlineLevel="0" collapsed="false">
      <c r="A241" s="80" t="s">
        <v>1752</v>
      </c>
      <c r="B241" s="17" t="s">
        <v>1753</v>
      </c>
      <c r="C241" s="80" t="s">
        <v>1682</v>
      </c>
      <c r="D241" s="18" t="s">
        <v>1770</v>
      </c>
      <c r="E241" s="66" t="n">
        <v>0</v>
      </c>
      <c r="F241" s="66" t="n">
        <f aca="false">E241/10</f>
        <v>0</v>
      </c>
      <c r="G241" s="20" t="s">
        <v>1683</v>
      </c>
      <c r="H241" s="20"/>
      <c r="I241" s="20"/>
      <c r="J241" s="20"/>
      <c r="K241" s="20"/>
      <c r="L241" s="20"/>
      <c r="M241" s="20"/>
    </row>
    <row r="242" customFormat="false" ht="15.75" hidden="false" customHeight="true" outlineLevel="0" collapsed="false">
      <c r="A242" s="80" t="s">
        <v>1752</v>
      </c>
      <c r="B242" s="17" t="s">
        <v>1753</v>
      </c>
      <c r="C242" s="80" t="s">
        <v>1686</v>
      </c>
      <c r="D242" s="18" t="s">
        <v>1770</v>
      </c>
      <c r="E242" s="66" t="n">
        <v>0</v>
      </c>
      <c r="F242" s="66" t="n">
        <f aca="false">E242/10</f>
        <v>0</v>
      </c>
      <c r="G242" s="20" t="s">
        <v>1687</v>
      </c>
      <c r="H242" s="20"/>
      <c r="I242" s="20"/>
      <c r="J242" s="20"/>
      <c r="K242" s="20"/>
      <c r="L242" s="20"/>
      <c r="M242" s="20"/>
    </row>
    <row r="243" customFormat="false" ht="15.75" hidden="false" customHeight="true" outlineLevel="0" collapsed="false">
      <c r="A243" s="80" t="s">
        <v>1194</v>
      </c>
      <c r="B243" s="17" t="s">
        <v>1758</v>
      </c>
      <c r="C243" s="80" t="s">
        <v>1746</v>
      </c>
      <c r="D243" s="18" t="s">
        <v>1770</v>
      </c>
      <c r="E243" s="66" t="n">
        <v>0</v>
      </c>
      <c r="F243" s="66" t="n">
        <f aca="false">E243/10</f>
        <v>0</v>
      </c>
      <c r="G243" s="20" t="s">
        <v>1741</v>
      </c>
      <c r="H243" s="20"/>
      <c r="I243" s="20"/>
      <c r="J243" s="20"/>
      <c r="K243" s="20"/>
      <c r="L243" s="20"/>
      <c r="M243" s="20"/>
    </row>
    <row r="244" customFormat="false" ht="15.75" hidden="false" customHeight="true" outlineLevel="0" collapsed="false">
      <c r="A244" s="80" t="s">
        <v>1194</v>
      </c>
      <c r="B244" s="17" t="s">
        <v>1758</v>
      </c>
      <c r="C244" s="80" t="s">
        <v>1750</v>
      </c>
      <c r="D244" s="18" t="s">
        <v>1770</v>
      </c>
      <c r="E244" s="66" t="n">
        <v>0</v>
      </c>
      <c r="F244" s="66" t="n">
        <f aca="false">E244/10</f>
        <v>0</v>
      </c>
      <c r="G244" s="20" t="s">
        <v>1751</v>
      </c>
      <c r="H244" s="20"/>
      <c r="I244" s="20"/>
      <c r="J244" s="20"/>
      <c r="K244" s="20"/>
      <c r="L244" s="20"/>
      <c r="M244" s="20"/>
    </row>
    <row r="245" customFormat="false" ht="15.75" hidden="false" customHeight="true" outlineLevel="0" collapsed="false">
      <c r="A245" s="80" t="s">
        <v>1194</v>
      </c>
      <c r="B245" s="17" t="s">
        <v>1758</v>
      </c>
      <c r="C245" s="80" t="s">
        <v>1752</v>
      </c>
      <c r="D245" s="18" t="s">
        <v>1770</v>
      </c>
      <c r="E245" s="66" t="n">
        <v>0</v>
      </c>
      <c r="F245" s="66" t="n">
        <f aca="false">E245/10</f>
        <v>0</v>
      </c>
      <c r="G245" s="20" t="s">
        <v>1753</v>
      </c>
      <c r="H245" s="20"/>
      <c r="I245" s="20"/>
      <c r="J245" s="20"/>
      <c r="K245" s="20"/>
      <c r="L245" s="20"/>
      <c r="M245" s="20"/>
    </row>
    <row r="246" customFormat="false" ht="15.75" hidden="false" customHeight="true" outlineLevel="0" collapsed="false">
      <c r="A246" s="80" t="s">
        <v>1194</v>
      </c>
      <c r="B246" s="17" t="s">
        <v>1758</v>
      </c>
      <c r="C246" s="80" t="s">
        <v>1686</v>
      </c>
      <c r="D246" s="18" t="s">
        <v>1770</v>
      </c>
      <c r="E246" s="66" t="n">
        <v>0</v>
      </c>
      <c r="F246" s="66" t="n">
        <f aca="false">E246/10</f>
        <v>0</v>
      </c>
      <c r="G246" s="20" t="s">
        <v>1687</v>
      </c>
      <c r="H246" s="20"/>
      <c r="I246" s="20"/>
      <c r="J246" s="20"/>
      <c r="K246" s="20"/>
      <c r="L246" s="20"/>
      <c r="M246" s="20"/>
    </row>
    <row r="247" customFormat="false" ht="15.75" hidden="false" customHeight="true" outlineLevel="0" collapsed="false">
      <c r="A247" s="80" t="s">
        <v>1355</v>
      </c>
      <c r="B247" s="17" t="s">
        <v>1759</v>
      </c>
      <c r="C247" s="80" t="s">
        <v>1747</v>
      </c>
      <c r="D247" s="18" t="s">
        <v>1770</v>
      </c>
      <c r="E247" s="66" t="n">
        <v>0</v>
      </c>
      <c r="F247" s="66" t="n">
        <f aca="false">E247/10</f>
        <v>0</v>
      </c>
      <c r="G247" s="20" t="s">
        <v>1748</v>
      </c>
      <c r="H247" s="20"/>
      <c r="I247" s="20"/>
      <c r="J247" s="20"/>
      <c r="K247" s="20"/>
      <c r="L247" s="20"/>
      <c r="M247" s="20"/>
    </row>
    <row r="248" customFormat="false" ht="15.75" hidden="false" customHeight="true" outlineLevel="0" collapsed="false">
      <c r="A248" s="80" t="s">
        <v>1355</v>
      </c>
      <c r="B248" s="17" t="s">
        <v>1759</v>
      </c>
      <c r="C248" s="80" t="s">
        <v>1746</v>
      </c>
      <c r="D248" s="18" t="s">
        <v>1770</v>
      </c>
      <c r="E248" s="66" t="n">
        <v>0</v>
      </c>
      <c r="F248" s="66" t="n">
        <f aca="false">E248/10</f>
        <v>0</v>
      </c>
      <c r="G248" s="20" t="s">
        <v>1741</v>
      </c>
      <c r="H248" s="20"/>
      <c r="I248" s="20"/>
      <c r="J248" s="20"/>
      <c r="K248" s="20"/>
      <c r="L248" s="20"/>
      <c r="M248" s="20"/>
    </row>
    <row r="249" customFormat="false" ht="15.75" hidden="false" customHeight="true" outlineLevel="0" collapsed="false">
      <c r="A249" s="80" t="s">
        <v>1355</v>
      </c>
      <c r="B249" s="17" t="s">
        <v>1759</v>
      </c>
      <c r="C249" s="80" t="s">
        <v>1750</v>
      </c>
      <c r="D249" s="18" t="s">
        <v>1770</v>
      </c>
      <c r="E249" s="66" t="n">
        <v>0</v>
      </c>
      <c r="F249" s="66" t="n">
        <f aca="false">E249/10</f>
        <v>0</v>
      </c>
      <c r="G249" s="20" t="s">
        <v>1751</v>
      </c>
      <c r="H249" s="20"/>
      <c r="I249" s="20"/>
      <c r="J249" s="20"/>
      <c r="K249" s="20"/>
      <c r="L249" s="20"/>
      <c r="M249" s="20"/>
    </row>
    <row r="250" customFormat="false" ht="15.75" hidden="false" customHeight="true" outlineLevel="0" collapsed="false">
      <c r="A250" s="80" t="s">
        <v>1355</v>
      </c>
      <c r="B250" s="17" t="s">
        <v>1759</v>
      </c>
      <c r="C250" s="80" t="s">
        <v>1752</v>
      </c>
      <c r="D250" s="18" t="s">
        <v>1770</v>
      </c>
      <c r="E250" s="66" t="n">
        <v>0</v>
      </c>
      <c r="F250" s="66" t="n">
        <f aca="false">E250/10</f>
        <v>0</v>
      </c>
      <c r="G250" s="20" t="s">
        <v>1753</v>
      </c>
      <c r="H250" s="20"/>
      <c r="I250" s="20"/>
      <c r="J250" s="20"/>
      <c r="K250" s="20"/>
      <c r="L250" s="20"/>
      <c r="M250" s="20"/>
    </row>
    <row r="251" customFormat="false" ht="15.75" hidden="false" customHeight="true" outlineLevel="0" collapsed="false">
      <c r="A251" s="80" t="s">
        <v>1355</v>
      </c>
      <c r="B251" s="17" t="s">
        <v>1759</v>
      </c>
      <c r="C251" s="80" t="s">
        <v>1194</v>
      </c>
      <c r="D251" s="18" t="s">
        <v>1772</v>
      </c>
      <c r="E251" s="66" t="n">
        <v>0</v>
      </c>
      <c r="F251" s="66" t="n">
        <f aca="false">E251/10</f>
        <v>0</v>
      </c>
      <c r="G251" s="20" t="s">
        <v>1758</v>
      </c>
      <c r="H251" s="20"/>
      <c r="I251" s="20"/>
      <c r="J251" s="20"/>
      <c r="K251" s="20"/>
      <c r="L251" s="20"/>
      <c r="M251" s="20"/>
    </row>
    <row r="252" customFormat="false" ht="15.75" hidden="false" customHeight="true" outlineLevel="0" collapsed="false">
      <c r="A252" s="80" t="s">
        <v>1355</v>
      </c>
      <c r="B252" s="17" t="s">
        <v>1759</v>
      </c>
      <c r="C252" s="80" t="s">
        <v>1686</v>
      </c>
      <c r="D252" s="18" t="s">
        <v>1770</v>
      </c>
      <c r="E252" s="66" t="n">
        <v>0</v>
      </c>
      <c r="F252" s="66" t="n">
        <f aca="false">E252/10</f>
        <v>0</v>
      </c>
      <c r="G252" s="20" t="s">
        <v>1687</v>
      </c>
      <c r="H252" s="20"/>
      <c r="I252" s="20"/>
      <c r="J252" s="20"/>
      <c r="K252" s="20"/>
      <c r="L252" s="20"/>
      <c r="M252" s="20"/>
    </row>
    <row r="253" customFormat="false" ht="15.75" hidden="false" customHeight="true" outlineLevel="0" collapsed="false">
      <c r="A253" s="80" t="s">
        <v>1661</v>
      </c>
      <c r="B253" s="17" t="s">
        <v>1662</v>
      </c>
      <c r="C253" s="80" t="s">
        <v>1657</v>
      </c>
      <c r="D253" s="18" t="s">
        <v>1770</v>
      </c>
      <c r="E253" s="66" t="n">
        <v>0</v>
      </c>
      <c r="F253" s="66" t="n">
        <f aca="false">E253/10</f>
        <v>0</v>
      </c>
      <c r="G253" s="20" t="s">
        <v>1658</v>
      </c>
      <c r="H253" s="20"/>
      <c r="I253" s="20"/>
      <c r="J253" s="20"/>
      <c r="K253" s="20"/>
      <c r="L253" s="20"/>
      <c r="M253" s="20"/>
    </row>
    <row r="254" customFormat="false" ht="15.75" hidden="false" customHeight="true" outlineLevel="0" collapsed="false">
      <c r="A254" s="80" t="s">
        <v>1668</v>
      </c>
      <c r="B254" s="17" t="s">
        <v>1669</v>
      </c>
      <c r="C254" s="80" t="s">
        <v>1661</v>
      </c>
      <c r="D254" s="18" t="s">
        <v>1770</v>
      </c>
      <c r="E254" s="66" t="n">
        <v>0</v>
      </c>
      <c r="F254" s="66" t="n">
        <f aca="false">E254/10</f>
        <v>0</v>
      </c>
      <c r="G254" s="20" t="s">
        <v>1662</v>
      </c>
      <c r="H254" s="20"/>
      <c r="I254" s="20"/>
      <c r="J254" s="20"/>
      <c r="K254" s="20"/>
      <c r="L254" s="20"/>
      <c r="M254" s="20"/>
    </row>
    <row r="255" customFormat="false" ht="15.75" hidden="false" customHeight="true" outlineLevel="0" collapsed="false">
      <c r="A255" s="80" t="s">
        <v>1611</v>
      </c>
      <c r="B255" s="17" t="s">
        <v>1612</v>
      </c>
      <c r="C255" s="80" t="s">
        <v>1615</v>
      </c>
      <c r="D255" s="18" t="s">
        <v>1771</v>
      </c>
      <c r="E255" s="66" t="n">
        <v>0</v>
      </c>
      <c r="F255" s="66" t="n">
        <f aca="false">E255/10</f>
        <v>0</v>
      </c>
      <c r="G255" s="20" t="s">
        <v>1616</v>
      </c>
      <c r="H255" s="20"/>
      <c r="I255" s="20"/>
      <c r="J255" s="20"/>
      <c r="K255" s="20"/>
      <c r="L255" s="20"/>
      <c r="M255" s="20"/>
    </row>
    <row r="256" customFormat="false" ht="15.75" hidden="false" customHeight="true" outlineLevel="0" collapsed="false">
      <c r="A256" s="80" t="s">
        <v>1611</v>
      </c>
      <c r="B256" s="17" t="s">
        <v>1612</v>
      </c>
      <c r="C256" s="80" t="s">
        <v>1618</v>
      </c>
      <c r="D256" s="18" t="s">
        <v>1770</v>
      </c>
      <c r="E256" s="66" t="n">
        <v>0</v>
      </c>
      <c r="F256" s="66" t="n">
        <f aca="false">E256/10</f>
        <v>0</v>
      </c>
      <c r="G256" s="20" t="s">
        <v>1619</v>
      </c>
      <c r="H256" s="20"/>
      <c r="I256" s="20"/>
      <c r="J256" s="20"/>
      <c r="K256" s="20"/>
      <c r="L256" s="20"/>
      <c r="M256" s="20"/>
    </row>
    <row r="257" customFormat="false" ht="15.75" hidden="false" customHeight="true" outlineLevel="0" collapsed="false">
      <c r="A257" s="80" t="s">
        <v>1621</v>
      </c>
      <c r="B257" s="17" t="s">
        <v>1622</v>
      </c>
      <c r="C257" s="80" t="s">
        <v>1611</v>
      </c>
      <c r="D257" s="18" t="s">
        <v>1770</v>
      </c>
      <c r="E257" s="66" t="n">
        <v>0</v>
      </c>
      <c r="F257" s="66" t="n">
        <f aca="false">E257/10</f>
        <v>0</v>
      </c>
      <c r="G257" s="20" t="s">
        <v>1612</v>
      </c>
      <c r="H257" s="20"/>
      <c r="I257" s="20"/>
      <c r="J257" s="20"/>
      <c r="K257" s="20"/>
      <c r="L257" s="20"/>
      <c r="M257" s="20"/>
    </row>
    <row r="258" customFormat="false" ht="15.75" hidden="false" customHeight="true" outlineLevel="0" collapsed="false">
      <c r="A258" s="80" t="s">
        <v>1623</v>
      </c>
      <c r="B258" s="17" t="s">
        <v>1624</v>
      </c>
      <c r="C258" s="80" t="s">
        <v>1611</v>
      </c>
      <c r="D258" s="18" t="s">
        <v>1770</v>
      </c>
      <c r="E258" s="66" t="n">
        <v>0</v>
      </c>
      <c r="F258" s="66" t="n">
        <f aca="false">E258/10</f>
        <v>0</v>
      </c>
      <c r="G258" s="20" t="s">
        <v>1612</v>
      </c>
      <c r="H258" s="20"/>
      <c r="I258" s="20"/>
      <c r="J258" s="20"/>
      <c r="K258" s="20"/>
      <c r="L258" s="20"/>
      <c r="M258" s="20"/>
    </row>
    <row r="259" customFormat="false" ht="15.75" hidden="false" customHeight="true" outlineLevel="0" collapsed="false">
      <c r="A259" s="80" t="s">
        <v>1623</v>
      </c>
      <c r="B259" s="17" t="s">
        <v>1624</v>
      </c>
      <c r="C259" s="80" t="s">
        <v>1618</v>
      </c>
      <c r="D259" s="18" t="s">
        <v>1770</v>
      </c>
      <c r="E259" s="66" t="n">
        <v>0</v>
      </c>
      <c r="F259" s="66" t="n">
        <f aca="false">E259/10</f>
        <v>0</v>
      </c>
      <c r="G259" s="20" t="s">
        <v>1619</v>
      </c>
      <c r="H259" s="20"/>
      <c r="I259" s="20"/>
      <c r="J259" s="20"/>
      <c r="K259" s="20"/>
      <c r="L259" s="20"/>
      <c r="M259" s="20"/>
    </row>
    <row r="260" customFormat="false" ht="15.75" hidden="false" customHeight="true" outlineLevel="0" collapsed="false">
      <c r="A260" s="80" t="s">
        <v>1625</v>
      </c>
      <c r="B260" s="17" t="s">
        <v>1626</v>
      </c>
      <c r="C260" s="80" t="s">
        <v>1611</v>
      </c>
      <c r="D260" s="18" t="s">
        <v>1770</v>
      </c>
      <c r="E260" s="66" t="n">
        <v>0</v>
      </c>
      <c r="F260" s="66" t="n">
        <f aca="false">E260/10</f>
        <v>0</v>
      </c>
      <c r="G260" s="20" t="s">
        <v>1612</v>
      </c>
      <c r="H260" s="20"/>
      <c r="I260" s="20"/>
      <c r="J260" s="20"/>
      <c r="K260" s="20"/>
      <c r="L260" s="20"/>
      <c r="M260" s="20"/>
    </row>
    <row r="261" customFormat="false" ht="15.75" hidden="false" customHeight="true" outlineLevel="0" collapsed="false">
      <c r="A261" s="80" t="s">
        <v>1625</v>
      </c>
      <c r="B261" s="17" t="s">
        <v>1626</v>
      </c>
      <c r="C261" s="80" t="s">
        <v>1618</v>
      </c>
      <c r="D261" s="18" t="s">
        <v>1770</v>
      </c>
      <c r="E261" s="66" t="n">
        <v>0</v>
      </c>
      <c r="F261" s="66" t="n">
        <f aca="false">E261/10</f>
        <v>0</v>
      </c>
      <c r="G261" s="20" t="s">
        <v>1619</v>
      </c>
      <c r="H261" s="20"/>
      <c r="I261" s="20"/>
      <c r="J261" s="20"/>
      <c r="K261" s="20"/>
      <c r="L261" s="20"/>
      <c r="M261" s="20"/>
    </row>
    <row r="262" customFormat="false" ht="15.75" hidden="false" customHeight="true" outlineLevel="0" collapsed="false">
      <c r="A262" s="80" t="s">
        <v>1627</v>
      </c>
      <c r="B262" s="17" t="s">
        <v>1628</v>
      </c>
      <c r="C262" s="80" t="s">
        <v>1623</v>
      </c>
      <c r="D262" s="18" t="s">
        <v>1770</v>
      </c>
      <c r="E262" s="66" t="n">
        <v>0</v>
      </c>
      <c r="F262" s="66" t="n">
        <f aca="false">E262/10</f>
        <v>0</v>
      </c>
      <c r="G262" s="20" t="s">
        <v>1624</v>
      </c>
      <c r="H262" s="20"/>
      <c r="I262" s="20"/>
      <c r="J262" s="20"/>
      <c r="K262" s="20"/>
      <c r="L262" s="20"/>
      <c r="M262" s="20"/>
    </row>
    <row r="263" customFormat="false" ht="15.75" hidden="false" customHeight="true" outlineLevel="0" collapsed="false">
      <c r="A263" s="80" t="s">
        <v>1629</v>
      </c>
      <c r="B263" s="17" t="s">
        <v>1630</v>
      </c>
      <c r="C263" s="80" t="s">
        <v>1623</v>
      </c>
      <c r="D263" s="18" t="s">
        <v>1770</v>
      </c>
      <c r="E263" s="66" t="n">
        <v>0</v>
      </c>
      <c r="F263" s="66" t="n">
        <f aca="false">E263/10</f>
        <v>0</v>
      </c>
      <c r="G263" s="20" t="s">
        <v>1624</v>
      </c>
      <c r="H263" s="20"/>
      <c r="I263" s="20"/>
      <c r="J263" s="20"/>
      <c r="K263" s="20"/>
      <c r="L263" s="20"/>
      <c r="M263" s="20"/>
    </row>
    <row r="264" customFormat="false" ht="15.75" hidden="false" customHeight="true" outlineLevel="0" collapsed="false">
      <c r="A264" s="80" t="s">
        <v>1629</v>
      </c>
      <c r="B264" s="17" t="s">
        <v>1630</v>
      </c>
      <c r="C264" s="80" t="s">
        <v>1625</v>
      </c>
      <c r="D264" s="18" t="s">
        <v>1770</v>
      </c>
      <c r="E264" s="66" t="n">
        <v>0</v>
      </c>
      <c r="F264" s="66" t="n">
        <f aca="false">E264/10</f>
        <v>0</v>
      </c>
      <c r="G264" s="20" t="s">
        <v>1626</v>
      </c>
      <c r="H264" s="20"/>
      <c r="I264" s="20"/>
      <c r="J264" s="20"/>
      <c r="K264" s="20"/>
      <c r="L264" s="20"/>
      <c r="M264" s="20"/>
    </row>
    <row r="265" customFormat="false" ht="15.75" hidden="false" customHeight="true" outlineLevel="0" collapsed="false">
      <c r="A265" s="80" t="s">
        <v>1631</v>
      </c>
      <c r="B265" s="17" t="s">
        <v>1632</v>
      </c>
      <c r="C265" s="80" t="s">
        <v>1611</v>
      </c>
      <c r="D265" s="18" t="s">
        <v>1770</v>
      </c>
      <c r="E265" s="66" t="n">
        <v>0</v>
      </c>
      <c r="F265" s="66" t="n">
        <f aca="false">E265/10</f>
        <v>0</v>
      </c>
      <c r="G265" s="20" t="s">
        <v>1612</v>
      </c>
      <c r="H265" s="20"/>
      <c r="I265" s="20"/>
      <c r="J265" s="20"/>
      <c r="K265" s="20"/>
      <c r="L265" s="20"/>
      <c r="M265" s="20"/>
    </row>
    <row r="266" customFormat="false" ht="15.75" hidden="false" customHeight="true" outlineLevel="0" collapsed="false">
      <c r="A266" s="80" t="s">
        <v>1631</v>
      </c>
      <c r="B266" s="17" t="s">
        <v>1632</v>
      </c>
      <c r="C266" s="80" t="s">
        <v>1621</v>
      </c>
      <c r="D266" s="18" t="s">
        <v>1770</v>
      </c>
      <c r="E266" s="66" t="n">
        <v>0</v>
      </c>
      <c r="F266" s="66" t="n">
        <f aca="false">E266/10</f>
        <v>0</v>
      </c>
      <c r="G266" s="20" t="s">
        <v>1622</v>
      </c>
      <c r="H266" s="20"/>
      <c r="I266" s="20"/>
      <c r="J266" s="20"/>
      <c r="K266" s="20"/>
      <c r="L266" s="20"/>
      <c r="M266" s="20"/>
    </row>
    <row r="267" customFormat="false" ht="15.75" hidden="false" customHeight="true" outlineLevel="0" collapsed="false">
      <c r="A267" s="80" t="s">
        <v>1631</v>
      </c>
      <c r="B267" s="17" t="s">
        <v>1632</v>
      </c>
      <c r="C267" s="80" t="s">
        <v>1618</v>
      </c>
      <c r="D267" s="18" t="s">
        <v>1770</v>
      </c>
      <c r="E267" s="66" t="n">
        <v>0</v>
      </c>
      <c r="F267" s="66" t="n">
        <f aca="false">E267/10</f>
        <v>0</v>
      </c>
      <c r="G267" s="20" t="s">
        <v>1619</v>
      </c>
      <c r="H267" s="20"/>
      <c r="I267" s="20"/>
      <c r="J267" s="20"/>
      <c r="K267" s="20"/>
      <c r="L267" s="20"/>
      <c r="M267" s="20"/>
    </row>
    <row r="268" customFormat="false" ht="15.75" hidden="false" customHeight="true" outlineLevel="0" collapsed="false">
      <c r="A268" s="80" t="s">
        <v>1633</v>
      </c>
      <c r="B268" s="17" t="s">
        <v>1634</v>
      </c>
      <c r="C268" s="80" t="s">
        <v>1611</v>
      </c>
      <c r="D268" s="18" t="s">
        <v>1770</v>
      </c>
      <c r="E268" s="66" t="n">
        <v>0</v>
      </c>
      <c r="F268" s="66" t="n">
        <f aca="false">E268/10</f>
        <v>0</v>
      </c>
      <c r="G268" s="20" t="s">
        <v>1612</v>
      </c>
      <c r="H268" s="20"/>
      <c r="I268" s="20"/>
      <c r="J268" s="20"/>
      <c r="K268" s="20"/>
      <c r="L268" s="20"/>
      <c r="M268" s="20"/>
    </row>
    <row r="269" customFormat="false" ht="15.75" hidden="false" customHeight="true" outlineLevel="0" collapsed="false">
      <c r="A269" s="80" t="s">
        <v>1633</v>
      </c>
      <c r="B269" s="17" t="s">
        <v>1634</v>
      </c>
      <c r="C269" s="80" t="s">
        <v>1621</v>
      </c>
      <c r="D269" s="18" t="s">
        <v>1770</v>
      </c>
      <c r="E269" s="66" t="n">
        <v>0</v>
      </c>
      <c r="F269" s="66" t="n">
        <f aca="false">E269/10</f>
        <v>0</v>
      </c>
      <c r="G269" s="20" t="s">
        <v>1622</v>
      </c>
      <c r="H269" s="20"/>
      <c r="I269" s="20"/>
      <c r="J269" s="20"/>
      <c r="K269" s="20"/>
      <c r="L269" s="20"/>
      <c r="M269" s="20"/>
    </row>
    <row r="270" customFormat="false" ht="15.75" hidden="false" customHeight="true" outlineLevel="0" collapsed="false">
      <c r="A270" s="80" t="s">
        <v>1633</v>
      </c>
      <c r="B270" s="17" t="s">
        <v>1634</v>
      </c>
      <c r="C270" s="80" t="s">
        <v>1618</v>
      </c>
      <c r="D270" s="18" t="s">
        <v>1770</v>
      </c>
      <c r="E270" s="66" t="n">
        <v>0</v>
      </c>
      <c r="F270" s="66" t="n">
        <f aca="false">E270/10</f>
        <v>0</v>
      </c>
      <c r="G270" s="20" t="s">
        <v>1619</v>
      </c>
      <c r="H270" s="20"/>
      <c r="I270" s="20"/>
      <c r="J270" s="20"/>
      <c r="K270" s="20"/>
      <c r="L270" s="20"/>
      <c r="M270" s="20"/>
    </row>
    <row r="271" customFormat="false" ht="15.75" hidden="false" customHeight="true" outlineLevel="0" collapsed="false">
      <c r="A271" s="80" t="s">
        <v>1635</v>
      </c>
      <c r="B271" s="17" t="s">
        <v>1636</v>
      </c>
      <c r="C271" s="80" t="s">
        <v>1611</v>
      </c>
      <c r="D271" s="18" t="s">
        <v>1770</v>
      </c>
      <c r="E271" s="66" t="n">
        <v>0</v>
      </c>
      <c r="F271" s="66" t="n">
        <f aca="false">E271/10</f>
        <v>0</v>
      </c>
      <c r="G271" s="20" t="s">
        <v>1612</v>
      </c>
      <c r="H271" s="20"/>
      <c r="I271" s="20"/>
      <c r="J271" s="20"/>
      <c r="K271" s="20"/>
      <c r="L271" s="20"/>
      <c r="M271" s="20"/>
    </row>
    <row r="272" customFormat="false" ht="15.75" hidden="false" customHeight="true" outlineLevel="0" collapsed="false">
      <c r="A272" s="80" t="s">
        <v>1635</v>
      </c>
      <c r="B272" s="17" t="s">
        <v>1636</v>
      </c>
      <c r="C272" s="80" t="s">
        <v>1621</v>
      </c>
      <c r="D272" s="18" t="s">
        <v>1770</v>
      </c>
      <c r="E272" s="66" t="n">
        <v>0</v>
      </c>
      <c r="F272" s="66" t="n">
        <f aca="false">E272/10</f>
        <v>0</v>
      </c>
      <c r="G272" s="20" t="s">
        <v>1622</v>
      </c>
      <c r="H272" s="20"/>
      <c r="I272" s="20"/>
      <c r="J272" s="20"/>
      <c r="K272" s="20"/>
      <c r="L272" s="20"/>
      <c r="M272" s="20"/>
    </row>
    <row r="273" customFormat="false" ht="15.75" hidden="false" customHeight="true" outlineLevel="0" collapsed="false">
      <c r="A273" s="80" t="s">
        <v>1635</v>
      </c>
      <c r="B273" s="17" t="s">
        <v>1636</v>
      </c>
      <c r="C273" s="80" t="s">
        <v>1618</v>
      </c>
      <c r="D273" s="18" t="s">
        <v>1770</v>
      </c>
      <c r="E273" s="66" t="n">
        <v>0</v>
      </c>
      <c r="F273" s="66" t="n">
        <f aca="false">E273/10</f>
        <v>0</v>
      </c>
      <c r="G273" s="20" t="s">
        <v>1619</v>
      </c>
      <c r="H273" s="20"/>
      <c r="I273" s="20"/>
      <c r="J273" s="20"/>
      <c r="K273" s="20"/>
      <c r="L273" s="20"/>
      <c r="M273" s="20"/>
    </row>
    <row r="274" customFormat="false" ht="15.75" hidden="false" customHeight="true" outlineLevel="0" collapsed="false">
      <c r="A274" s="80" t="s">
        <v>1637</v>
      </c>
      <c r="B274" s="17" t="s">
        <v>1638</v>
      </c>
      <c r="C274" s="80" t="s">
        <v>1611</v>
      </c>
      <c r="D274" s="18" t="s">
        <v>1770</v>
      </c>
      <c r="E274" s="66" t="n">
        <v>0</v>
      </c>
      <c r="F274" s="66" t="n">
        <f aca="false">E274/10</f>
        <v>0</v>
      </c>
      <c r="G274" s="20" t="s">
        <v>1612</v>
      </c>
      <c r="H274" s="20"/>
      <c r="I274" s="20"/>
      <c r="J274" s="20"/>
      <c r="K274" s="20"/>
      <c r="L274" s="20"/>
      <c r="M274" s="20"/>
    </row>
    <row r="275" customFormat="false" ht="15.75" hidden="false" customHeight="true" outlineLevel="0" collapsed="false">
      <c r="A275" s="80" t="s">
        <v>1637</v>
      </c>
      <c r="B275" s="17" t="s">
        <v>1638</v>
      </c>
      <c r="C275" s="80" t="s">
        <v>1621</v>
      </c>
      <c r="D275" s="18" t="s">
        <v>1770</v>
      </c>
      <c r="E275" s="66" t="n">
        <v>0</v>
      </c>
      <c r="F275" s="66" t="n">
        <f aca="false">E275/10</f>
        <v>0</v>
      </c>
      <c r="G275" s="20" t="s">
        <v>1622</v>
      </c>
      <c r="H275" s="20"/>
      <c r="I275" s="20"/>
      <c r="J275" s="20"/>
      <c r="K275" s="20"/>
      <c r="L275" s="20"/>
      <c r="M275" s="20"/>
    </row>
    <row r="276" customFormat="false" ht="15.75" hidden="false" customHeight="true" outlineLevel="0" collapsed="false">
      <c r="A276" s="80" t="s">
        <v>1637</v>
      </c>
      <c r="B276" s="17" t="s">
        <v>1638</v>
      </c>
      <c r="C276" s="80" t="s">
        <v>1618</v>
      </c>
      <c r="D276" s="18" t="s">
        <v>1770</v>
      </c>
      <c r="E276" s="66" t="n">
        <v>0</v>
      </c>
      <c r="F276" s="66" t="n">
        <f aca="false">E276/10</f>
        <v>0</v>
      </c>
      <c r="G276" s="20" t="s">
        <v>1619</v>
      </c>
      <c r="H276" s="20"/>
      <c r="I276" s="20"/>
      <c r="J276" s="20"/>
      <c r="K276" s="20"/>
      <c r="L276" s="20"/>
      <c r="M276" s="20"/>
    </row>
    <row r="277" customFormat="false" ht="15.75" hidden="false" customHeight="true" outlineLevel="0" collapsed="false">
      <c r="A277" s="80" t="s">
        <v>1639</v>
      </c>
      <c r="B277" s="17" t="s">
        <v>1640</v>
      </c>
      <c r="C277" s="80" t="s">
        <v>1611</v>
      </c>
      <c r="D277" s="18" t="s">
        <v>1770</v>
      </c>
      <c r="E277" s="66" t="n">
        <v>0</v>
      </c>
      <c r="F277" s="66" t="n">
        <f aca="false">E277/10</f>
        <v>0</v>
      </c>
      <c r="G277" s="20" t="s">
        <v>1612</v>
      </c>
      <c r="H277" s="20"/>
      <c r="I277" s="20"/>
      <c r="J277" s="20"/>
      <c r="K277" s="20"/>
      <c r="L277" s="20"/>
      <c r="M277" s="20"/>
    </row>
    <row r="278" customFormat="false" ht="15.75" hidden="false" customHeight="true" outlineLevel="0" collapsed="false">
      <c r="A278" s="80" t="s">
        <v>1639</v>
      </c>
      <c r="B278" s="17" t="s">
        <v>1640</v>
      </c>
      <c r="C278" s="80" t="s">
        <v>1621</v>
      </c>
      <c r="D278" s="18" t="s">
        <v>1770</v>
      </c>
      <c r="E278" s="66" t="n">
        <v>0</v>
      </c>
      <c r="F278" s="66" t="n">
        <f aca="false">E278/10</f>
        <v>0</v>
      </c>
      <c r="G278" s="20" t="s">
        <v>1622</v>
      </c>
      <c r="H278" s="20"/>
      <c r="I278" s="20"/>
      <c r="J278" s="20"/>
      <c r="K278" s="20"/>
      <c r="L278" s="20"/>
      <c r="M278" s="20"/>
    </row>
    <row r="279" customFormat="false" ht="15.75" hidden="false" customHeight="true" outlineLevel="0" collapsed="false">
      <c r="A279" s="80" t="s">
        <v>1639</v>
      </c>
      <c r="B279" s="17" t="s">
        <v>1640</v>
      </c>
      <c r="C279" s="80" t="s">
        <v>1618</v>
      </c>
      <c r="D279" s="18" t="s">
        <v>1770</v>
      </c>
      <c r="E279" s="66" t="n">
        <v>0</v>
      </c>
      <c r="F279" s="66" t="n">
        <f aca="false">E279/10</f>
        <v>0</v>
      </c>
      <c r="G279" s="20" t="s">
        <v>1619</v>
      </c>
      <c r="H279" s="20"/>
      <c r="I279" s="20"/>
      <c r="J279" s="20"/>
      <c r="K279" s="20"/>
      <c r="L279" s="20"/>
      <c r="M279" s="20"/>
    </row>
    <row r="280" customFormat="false" ht="15.75" hidden="false" customHeight="true" outlineLevel="0" collapsed="false">
      <c r="A280" s="80" t="s">
        <v>1641</v>
      </c>
      <c r="B280" s="17" t="s">
        <v>1642</v>
      </c>
      <c r="C280" s="80" t="s">
        <v>1611</v>
      </c>
      <c r="D280" s="18" t="s">
        <v>1770</v>
      </c>
      <c r="E280" s="66" t="n">
        <v>0</v>
      </c>
      <c r="F280" s="66" t="n">
        <f aca="false">E280/10</f>
        <v>0</v>
      </c>
      <c r="G280" s="20" t="s">
        <v>1612</v>
      </c>
      <c r="H280" s="20"/>
      <c r="I280" s="20"/>
      <c r="J280" s="20"/>
      <c r="K280" s="20"/>
      <c r="L280" s="20"/>
      <c r="M280" s="20"/>
    </row>
    <row r="281" customFormat="false" ht="15.75" hidden="false" customHeight="true" outlineLevel="0" collapsed="false">
      <c r="A281" s="80" t="s">
        <v>1641</v>
      </c>
      <c r="B281" s="17" t="s">
        <v>1642</v>
      </c>
      <c r="C281" s="80" t="s">
        <v>1621</v>
      </c>
      <c r="D281" s="18" t="s">
        <v>1770</v>
      </c>
      <c r="E281" s="66" t="n">
        <v>0</v>
      </c>
      <c r="F281" s="66" t="n">
        <f aca="false">E281/10</f>
        <v>0</v>
      </c>
      <c r="G281" s="20" t="s">
        <v>1622</v>
      </c>
      <c r="H281" s="20"/>
      <c r="I281" s="20"/>
      <c r="J281" s="20"/>
      <c r="K281" s="20"/>
      <c r="L281" s="20"/>
      <c r="M281" s="20"/>
    </row>
    <row r="282" customFormat="false" ht="15.75" hidden="false" customHeight="true" outlineLevel="0" collapsed="false">
      <c r="A282" s="80" t="s">
        <v>1641</v>
      </c>
      <c r="B282" s="17" t="s">
        <v>1642</v>
      </c>
      <c r="C282" s="80" t="s">
        <v>1618</v>
      </c>
      <c r="D282" s="18" t="s">
        <v>1770</v>
      </c>
      <c r="E282" s="66" t="n">
        <v>0</v>
      </c>
      <c r="F282" s="66" t="n">
        <f aca="false">E282/10</f>
        <v>0</v>
      </c>
      <c r="G282" s="20" t="s">
        <v>1619</v>
      </c>
      <c r="H282" s="20"/>
      <c r="I282" s="20"/>
      <c r="J282" s="20"/>
      <c r="K282" s="20"/>
      <c r="L282" s="20"/>
      <c r="M282" s="20"/>
    </row>
    <row r="283" customFormat="false" ht="15.75" hidden="false" customHeight="true" outlineLevel="0" collapsed="false">
      <c r="A283" s="80" t="s">
        <v>1643</v>
      </c>
      <c r="B283" s="17" t="s">
        <v>1644</v>
      </c>
      <c r="C283" s="80" t="s">
        <v>1611</v>
      </c>
      <c r="D283" s="18" t="s">
        <v>1770</v>
      </c>
      <c r="E283" s="66" t="n">
        <v>0</v>
      </c>
      <c r="F283" s="66" t="n">
        <f aca="false">E283/10</f>
        <v>0</v>
      </c>
      <c r="G283" s="20" t="s">
        <v>1612</v>
      </c>
      <c r="H283" s="20"/>
      <c r="I283" s="20"/>
      <c r="J283" s="20"/>
      <c r="K283" s="20"/>
      <c r="L283" s="20"/>
      <c r="M283" s="20"/>
    </row>
    <row r="284" customFormat="false" ht="15.75" hidden="false" customHeight="true" outlineLevel="0" collapsed="false">
      <c r="A284" s="80" t="s">
        <v>1643</v>
      </c>
      <c r="B284" s="17" t="s">
        <v>1644</v>
      </c>
      <c r="C284" s="80" t="s">
        <v>1621</v>
      </c>
      <c r="D284" s="18" t="s">
        <v>1770</v>
      </c>
      <c r="E284" s="66" t="n">
        <v>0</v>
      </c>
      <c r="F284" s="66" t="n">
        <f aca="false">E284/10</f>
        <v>0</v>
      </c>
      <c r="G284" s="20" t="s">
        <v>1622</v>
      </c>
      <c r="H284" s="20"/>
      <c r="I284" s="20"/>
      <c r="J284" s="20"/>
      <c r="K284" s="20"/>
      <c r="L284" s="20"/>
      <c r="M284" s="20"/>
    </row>
    <row r="285" customFormat="false" ht="15.75" hidden="false" customHeight="true" outlineLevel="0" collapsed="false">
      <c r="A285" s="80" t="s">
        <v>1643</v>
      </c>
      <c r="B285" s="17" t="s">
        <v>1644</v>
      </c>
      <c r="C285" s="80" t="s">
        <v>1618</v>
      </c>
      <c r="D285" s="18" t="s">
        <v>1770</v>
      </c>
      <c r="E285" s="66" t="n">
        <v>0</v>
      </c>
      <c r="F285" s="66" t="n">
        <f aca="false">E285/10</f>
        <v>0</v>
      </c>
      <c r="G285" s="20" t="s">
        <v>1619</v>
      </c>
      <c r="H285" s="20"/>
      <c r="I285" s="20"/>
      <c r="J285" s="20"/>
      <c r="K285" s="20"/>
      <c r="L285" s="20"/>
      <c r="M285" s="20"/>
    </row>
    <row r="286" customFormat="false" ht="15.75" hidden="false" customHeight="true" outlineLevel="0" collapsed="false">
      <c r="A286" s="80" t="s">
        <v>1645</v>
      </c>
      <c r="B286" s="17" t="s">
        <v>1646</v>
      </c>
      <c r="C286" s="80" t="s">
        <v>1611</v>
      </c>
      <c r="D286" s="18" t="s">
        <v>1770</v>
      </c>
      <c r="E286" s="66" t="n">
        <v>0</v>
      </c>
      <c r="F286" s="66" t="n">
        <f aca="false">E286/10</f>
        <v>0</v>
      </c>
      <c r="G286" s="20" t="s">
        <v>1612</v>
      </c>
      <c r="H286" s="20"/>
      <c r="I286" s="20"/>
      <c r="J286" s="20"/>
      <c r="K286" s="20"/>
      <c r="L286" s="20"/>
      <c r="M286" s="20"/>
    </row>
    <row r="287" customFormat="false" ht="15.75" hidden="false" customHeight="true" outlineLevel="0" collapsed="false">
      <c r="A287" s="80" t="s">
        <v>1645</v>
      </c>
      <c r="B287" s="17" t="s">
        <v>1646</v>
      </c>
      <c r="C287" s="80" t="s">
        <v>1621</v>
      </c>
      <c r="D287" s="18" t="s">
        <v>1770</v>
      </c>
      <c r="E287" s="66" t="n">
        <v>0</v>
      </c>
      <c r="F287" s="66" t="n">
        <f aca="false">E287/10</f>
        <v>0</v>
      </c>
      <c r="G287" s="20" t="s">
        <v>1622</v>
      </c>
      <c r="H287" s="20"/>
      <c r="I287" s="20"/>
      <c r="J287" s="20"/>
      <c r="K287" s="20"/>
      <c r="L287" s="20"/>
      <c r="M287" s="20"/>
    </row>
    <row r="288" customFormat="false" ht="15.75" hidden="false" customHeight="true" outlineLevel="0" collapsed="false">
      <c r="A288" s="80" t="s">
        <v>1645</v>
      </c>
      <c r="B288" s="17" t="s">
        <v>1646</v>
      </c>
      <c r="C288" s="80" t="s">
        <v>1643</v>
      </c>
      <c r="D288" s="18" t="s">
        <v>1771</v>
      </c>
      <c r="E288" s="66" t="n">
        <v>0</v>
      </c>
      <c r="F288" s="66" t="n">
        <f aca="false">E288/10</f>
        <v>0</v>
      </c>
      <c r="G288" s="20" t="s">
        <v>1644</v>
      </c>
      <c r="H288" s="20"/>
      <c r="I288" s="20"/>
      <c r="J288" s="20"/>
      <c r="K288" s="20"/>
      <c r="L288" s="20"/>
      <c r="M288" s="20"/>
    </row>
    <row r="289" customFormat="false" ht="15.75" hidden="false" customHeight="true" outlineLevel="0" collapsed="false">
      <c r="A289" s="80" t="s">
        <v>1645</v>
      </c>
      <c r="B289" s="17" t="s">
        <v>1646</v>
      </c>
      <c r="C289" s="80" t="s">
        <v>1618</v>
      </c>
      <c r="D289" s="18" t="s">
        <v>1770</v>
      </c>
      <c r="E289" s="66" t="n">
        <v>0</v>
      </c>
      <c r="F289" s="66" t="n">
        <f aca="false">E289/10</f>
        <v>0</v>
      </c>
      <c r="G289" s="20" t="s">
        <v>1619</v>
      </c>
      <c r="H289" s="20"/>
      <c r="I289" s="20"/>
      <c r="J289" s="20"/>
      <c r="K289" s="20"/>
      <c r="L289" s="20"/>
      <c r="M289" s="20"/>
    </row>
    <row r="290" customFormat="false" ht="15.75" hidden="false" customHeight="true" outlineLevel="0" collapsed="false">
      <c r="A290" s="80" t="s">
        <v>1666</v>
      </c>
      <c r="B290" s="17" t="s">
        <v>1667</v>
      </c>
      <c r="C290" s="80" t="s">
        <v>1639</v>
      </c>
      <c r="D290" s="18" t="s">
        <v>1770</v>
      </c>
      <c r="E290" s="66" t="n">
        <v>0</v>
      </c>
      <c r="F290" s="66" t="n">
        <f aca="false">E290/10</f>
        <v>0</v>
      </c>
      <c r="G290" s="20" t="s">
        <v>1640</v>
      </c>
      <c r="H290" s="20"/>
      <c r="I290" s="20"/>
      <c r="J290" s="20"/>
      <c r="K290" s="20"/>
      <c r="L290" s="20"/>
      <c r="M290" s="20"/>
    </row>
    <row r="291" customFormat="false" ht="15.75" hidden="false" customHeight="true" outlineLevel="0" collapsed="false">
      <c r="A291" s="80" t="s">
        <v>1670</v>
      </c>
      <c r="B291" s="17" t="s">
        <v>1671</v>
      </c>
      <c r="C291" s="80" t="s">
        <v>1631</v>
      </c>
      <c r="D291" s="18" t="s">
        <v>1770</v>
      </c>
      <c r="E291" s="66" t="n">
        <v>0</v>
      </c>
      <c r="F291" s="66" t="n">
        <f aca="false">E291/10</f>
        <v>0</v>
      </c>
      <c r="G291" s="20" t="s">
        <v>1632</v>
      </c>
      <c r="H291" s="20"/>
      <c r="I291" s="20"/>
      <c r="J291" s="20"/>
      <c r="K291" s="20"/>
      <c r="L291" s="20"/>
      <c r="M291" s="20"/>
    </row>
    <row r="292" customFormat="false" ht="15.75" hidden="false" customHeight="true" outlineLevel="0" collapsed="false">
      <c r="A292" s="80" t="s">
        <v>1672</v>
      </c>
      <c r="B292" s="17" t="s">
        <v>1673</v>
      </c>
      <c r="C292" s="80" t="s">
        <v>1635</v>
      </c>
      <c r="D292" s="18" t="s">
        <v>1770</v>
      </c>
      <c r="E292" s="66" t="n">
        <v>0</v>
      </c>
      <c r="F292" s="66" t="n">
        <f aca="false">E292/10</f>
        <v>0</v>
      </c>
      <c r="G292" s="20" t="s">
        <v>1636</v>
      </c>
      <c r="H292" s="20"/>
      <c r="I292" s="20"/>
      <c r="J292" s="20"/>
      <c r="K292" s="20"/>
      <c r="L292" s="20"/>
      <c r="M292" s="20"/>
    </row>
    <row r="293" customFormat="false" ht="15.75" hidden="false" customHeight="true" outlineLevel="0" collapsed="false">
      <c r="A293" s="80" t="s">
        <v>1674</v>
      </c>
      <c r="B293" s="17" t="s">
        <v>1675</v>
      </c>
      <c r="C293" s="80" t="s">
        <v>1637</v>
      </c>
      <c r="D293" s="18" t="s">
        <v>1770</v>
      </c>
      <c r="E293" s="66" t="n">
        <v>0</v>
      </c>
      <c r="F293" s="66" t="n">
        <f aca="false">E293/10</f>
        <v>0</v>
      </c>
      <c r="G293" s="20" t="s">
        <v>1638</v>
      </c>
      <c r="H293" s="20"/>
      <c r="I293" s="20"/>
      <c r="J293" s="20"/>
      <c r="K293" s="20"/>
      <c r="L293" s="20"/>
      <c r="M293" s="20"/>
    </row>
    <row r="294" customFormat="false" ht="15.75" hidden="false" customHeight="true" outlineLevel="0" collapsed="false">
      <c r="A294" s="80" t="s">
        <v>1676</v>
      </c>
      <c r="B294" s="17" t="s">
        <v>1677</v>
      </c>
      <c r="C294" s="80" t="s">
        <v>1641</v>
      </c>
      <c r="D294" s="18" t="s">
        <v>1770</v>
      </c>
      <c r="E294" s="66" t="n">
        <v>0</v>
      </c>
      <c r="F294" s="66" t="n">
        <f aca="false">E294/10</f>
        <v>0</v>
      </c>
      <c r="G294" s="20" t="s">
        <v>1642</v>
      </c>
      <c r="H294" s="20"/>
      <c r="I294" s="20"/>
      <c r="J294" s="20"/>
      <c r="K294" s="20"/>
      <c r="L294" s="20"/>
      <c r="M294" s="20"/>
    </row>
    <row r="295" customFormat="false" ht="15.75" hidden="false" customHeight="true" outlineLevel="0" collapsed="false">
      <c r="A295" s="80" t="s">
        <v>1678</v>
      </c>
      <c r="B295" s="17" t="s">
        <v>1679</v>
      </c>
      <c r="C295" s="80" t="s">
        <v>1643</v>
      </c>
      <c r="D295" s="18" t="s">
        <v>1770</v>
      </c>
      <c r="E295" s="66" t="n">
        <v>0</v>
      </c>
      <c r="F295" s="66" t="n">
        <f aca="false">E295/10</f>
        <v>0</v>
      </c>
      <c r="G295" s="20" t="s">
        <v>1644</v>
      </c>
      <c r="H295" s="20"/>
      <c r="I295" s="20"/>
      <c r="J295" s="20"/>
      <c r="K295" s="20"/>
      <c r="L295" s="20"/>
      <c r="M295" s="20"/>
    </row>
    <row r="296" customFormat="false" ht="15.75" hidden="false" customHeight="true" outlineLevel="0" collapsed="false">
      <c r="A296" s="80" t="s">
        <v>1680</v>
      </c>
      <c r="B296" s="17" t="s">
        <v>1681</v>
      </c>
      <c r="C296" s="80" t="s">
        <v>1633</v>
      </c>
      <c r="D296" s="18" t="s">
        <v>1770</v>
      </c>
      <c r="E296" s="66" t="n">
        <v>0</v>
      </c>
      <c r="F296" s="66" t="n">
        <f aca="false">E296/10</f>
        <v>0</v>
      </c>
      <c r="G296" s="20" t="s">
        <v>1634</v>
      </c>
      <c r="H296" s="20"/>
      <c r="I296" s="20"/>
      <c r="J296" s="20"/>
      <c r="K296" s="20"/>
      <c r="L296" s="20"/>
      <c r="M296" s="20"/>
    </row>
    <row r="297" customFormat="false" ht="15.75" hidden="false" customHeight="true" outlineLevel="0" collapsed="false">
      <c r="A297" s="80" t="s">
        <v>1682</v>
      </c>
      <c r="B297" s="17" t="s">
        <v>1683</v>
      </c>
      <c r="C297" s="80" t="s">
        <v>1645</v>
      </c>
      <c r="D297" s="18" t="s">
        <v>1770</v>
      </c>
      <c r="E297" s="66" t="n">
        <v>0</v>
      </c>
      <c r="F297" s="66" t="n">
        <f aca="false">E297/10</f>
        <v>0</v>
      </c>
      <c r="G297" s="20" t="s">
        <v>1646</v>
      </c>
      <c r="H297" s="20"/>
      <c r="I297" s="20"/>
      <c r="J297" s="20"/>
      <c r="K297" s="20"/>
      <c r="L297" s="20"/>
      <c r="M297" s="20"/>
    </row>
    <row r="298" customFormat="false" ht="15.75" hidden="false" customHeight="true" outlineLevel="0" collapsed="false">
      <c r="A298" s="80" t="s">
        <v>1684</v>
      </c>
      <c r="B298" s="17" t="s">
        <v>1685</v>
      </c>
      <c r="C298" s="80" t="s">
        <v>1623</v>
      </c>
      <c r="D298" s="18" t="s">
        <v>1770</v>
      </c>
      <c r="E298" s="66" t="n">
        <v>0</v>
      </c>
      <c r="F298" s="66" t="n">
        <f aca="false">E298/10</f>
        <v>0</v>
      </c>
      <c r="G298" s="20" t="s">
        <v>1624</v>
      </c>
      <c r="H298" s="20"/>
      <c r="I298" s="20"/>
      <c r="J298" s="20"/>
      <c r="K298" s="20"/>
      <c r="L298" s="20"/>
      <c r="M298" s="20"/>
    </row>
    <row r="299" customFormat="false" ht="15.75" hidden="false" customHeight="true" outlineLevel="0" collapsed="false">
      <c r="A299" s="80" t="s">
        <v>1684</v>
      </c>
      <c r="B299" s="17" t="s">
        <v>1685</v>
      </c>
      <c r="C299" s="80" t="s">
        <v>1625</v>
      </c>
      <c r="D299" s="18" t="s">
        <v>1770</v>
      </c>
      <c r="E299" s="66" t="n">
        <v>0</v>
      </c>
      <c r="F299" s="66" t="n">
        <f aca="false">E299/10</f>
        <v>0</v>
      </c>
      <c r="G299" s="20" t="s">
        <v>1626</v>
      </c>
      <c r="H299" s="20"/>
      <c r="I299" s="20"/>
      <c r="J299" s="20"/>
      <c r="K299" s="20"/>
      <c r="L299" s="20"/>
      <c r="M299" s="20"/>
    </row>
    <row r="300" customFormat="false" ht="15.75" hidden="false" customHeight="true" outlineLevel="0" collapsed="false">
      <c r="A300" s="80" t="s">
        <v>1684</v>
      </c>
      <c r="B300" s="17" t="s">
        <v>1685</v>
      </c>
      <c r="C300" s="80" t="s">
        <v>1627</v>
      </c>
      <c r="D300" s="18" t="s">
        <v>1770</v>
      </c>
      <c r="E300" s="66" t="n">
        <v>0</v>
      </c>
      <c r="F300" s="66" t="n">
        <f aca="false">E300/10</f>
        <v>0</v>
      </c>
      <c r="G300" s="20" t="s">
        <v>1628</v>
      </c>
      <c r="H300" s="20"/>
      <c r="I300" s="20"/>
      <c r="J300" s="20"/>
      <c r="K300" s="20"/>
      <c r="L300" s="20"/>
      <c r="M300" s="20"/>
    </row>
    <row r="301" customFormat="false" ht="15.75" hidden="false" customHeight="true" outlineLevel="0" collapsed="false">
      <c r="A301" s="80" t="s">
        <v>1684</v>
      </c>
      <c r="B301" s="17" t="s">
        <v>1685</v>
      </c>
      <c r="C301" s="80" t="s">
        <v>1629</v>
      </c>
      <c r="D301" s="18" t="s">
        <v>1770</v>
      </c>
      <c r="E301" s="66" t="n">
        <v>0</v>
      </c>
      <c r="F301" s="66" t="n">
        <f aca="false">E301/10</f>
        <v>0</v>
      </c>
      <c r="G301" s="20" t="s">
        <v>1630</v>
      </c>
      <c r="H301" s="20"/>
      <c r="I301" s="20"/>
      <c r="J301" s="20"/>
      <c r="K301" s="20"/>
      <c r="L301" s="20"/>
      <c r="M301" s="20"/>
    </row>
    <row r="302" customFormat="false" ht="15.75" hidden="false" customHeight="true" outlineLevel="0" collapsed="false">
      <c r="A302" s="80" t="s">
        <v>1684</v>
      </c>
      <c r="B302" s="17" t="s">
        <v>1685</v>
      </c>
      <c r="C302" s="80" t="s">
        <v>1641</v>
      </c>
      <c r="D302" s="18" t="s">
        <v>1770</v>
      </c>
      <c r="E302" s="66" t="n">
        <v>0</v>
      </c>
      <c r="F302" s="66" t="n">
        <f aca="false">E302/10</f>
        <v>0</v>
      </c>
      <c r="G302" s="20" t="s">
        <v>1642</v>
      </c>
      <c r="H302" s="20"/>
      <c r="I302" s="20"/>
      <c r="J302" s="20"/>
      <c r="K302" s="20"/>
      <c r="L302" s="20"/>
      <c r="M302" s="20"/>
    </row>
    <row r="303" customFormat="false" ht="15.75" hidden="false" customHeight="true" outlineLevel="0" collapsed="false">
      <c r="A303" s="80" t="s">
        <v>1684</v>
      </c>
      <c r="B303" s="17" t="s">
        <v>1685</v>
      </c>
      <c r="C303" s="80" t="s">
        <v>1643</v>
      </c>
      <c r="D303" s="18" t="s">
        <v>1770</v>
      </c>
      <c r="E303" s="66" t="n">
        <v>0</v>
      </c>
      <c r="F303" s="66" t="n">
        <f aca="false">E303/10</f>
        <v>0</v>
      </c>
      <c r="G303" s="20" t="s">
        <v>1644</v>
      </c>
      <c r="H303" s="20"/>
      <c r="I303" s="20"/>
      <c r="J303" s="20"/>
      <c r="K303" s="20"/>
      <c r="L303" s="20"/>
      <c r="M303" s="20"/>
    </row>
    <row r="304" customFormat="false" ht="15.75" hidden="false" customHeight="true" outlineLevel="0" collapsed="false">
      <c r="A304" s="80" t="s">
        <v>1684</v>
      </c>
      <c r="B304" s="17" t="s">
        <v>1685</v>
      </c>
      <c r="C304" s="80" t="s">
        <v>1674</v>
      </c>
      <c r="D304" s="18" t="s">
        <v>1770</v>
      </c>
      <c r="E304" s="66" t="n">
        <v>0</v>
      </c>
      <c r="F304" s="66" t="n">
        <f aca="false">E304/10</f>
        <v>0</v>
      </c>
      <c r="G304" s="20" t="s">
        <v>1675</v>
      </c>
      <c r="H304" s="20"/>
      <c r="I304" s="20"/>
      <c r="J304" s="20"/>
      <c r="K304" s="20"/>
      <c r="L304" s="20"/>
      <c r="M304" s="20"/>
    </row>
    <row r="305" customFormat="false" ht="15.75" hidden="false" customHeight="true" outlineLevel="0" collapsed="false">
      <c r="A305" s="80" t="s">
        <v>1686</v>
      </c>
      <c r="B305" s="17" t="s">
        <v>1687</v>
      </c>
      <c r="C305" s="80" t="s">
        <v>1666</v>
      </c>
      <c r="D305" s="18" t="s">
        <v>1770</v>
      </c>
      <c r="E305" s="66" t="n">
        <v>0</v>
      </c>
      <c r="F305" s="66" t="n">
        <f aca="false">E305/10</f>
        <v>0</v>
      </c>
      <c r="G305" s="20" t="s">
        <v>1667</v>
      </c>
      <c r="H305" s="20"/>
      <c r="I305" s="20"/>
      <c r="J305" s="20"/>
      <c r="K305" s="20"/>
      <c r="L305" s="20"/>
      <c r="M305" s="20"/>
    </row>
    <row r="306" customFormat="false" ht="15.75" hidden="false" customHeight="true" outlineLevel="0" collapsed="false">
      <c r="A306" s="80" t="s">
        <v>1686</v>
      </c>
      <c r="B306" s="17" t="s">
        <v>1687</v>
      </c>
      <c r="C306" s="80" t="s">
        <v>1670</v>
      </c>
      <c r="D306" s="18" t="s">
        <v>1770</v>
      </c>
      <c r="E306" s="66" t="n">
        <v>0</v>
      </c>
      <c r="F306" s="66" t="n">
        <f aca="false">E306/10</f>
        <v>0</v>
      </c>
      <c r="G306" s="20" t="s">
        <v>1671</v>
      </c>
      <c r="H306" s="20"/>
      <c r="I306" s="20"/>
      <c r="J306" s="20"/>
      <c r="K306" s="20"/>
      <c r="L306" s="20"/>
      <c r="M306" s="20"/>
    </row>
    <row r="307" customFormat="false" ht="15.75" hidden="false" customHeight="true" outlineLevel="0" collapsed="false">
      <c r="A307" s="80" t="s">
        <v>1686</v>
      </c>
      <c r="B307" s="17" t="s">
        <v>1687</v>
      </c>
      <c r="C307" s="80" t="s">
        <v>1672</v>
      </c>
      <c r="D307" s="18" t="s">
        <v>1770</v>
      </c>
      <c r="E307" s="66" t="n">
        <v>0</v>
      </c>
      <c r="F307" s="66" t="n">
        <f aca="false">E307/10</f>
        <v>0</v>
      </c>
      <c r="G307" s="20" t="s">
        <v>1673</v>
      </c>
      <c r="H307" s="20"/>
      <c r="I307" s="20"/>
      <c r="J307" s="20"/>
      <c r="K307" s="20"/>
      <c r="L307" s="20"/>
      <c r="M307" s="20"/>
    </row>
    <row r="308" customFormat="false" ht="15.75" hidden="false" customHeight="true" outlineLevel="0" collapsed="false">
      <c r="A308" s="80" t="s">
        <v>1686</v>
      </c>
      <c r="B308" s="17" t="s">
        <v>1687</v>
      </c>
      <c r="C308" s="80" t="s">
        <v>1674</v>
      </c>
      <c r="D308" s="18" t="s">
        <v>1770</v>
      </c>
      <c r="E308" s="66" t="n">
        <v>0</v>
      </c>
      <c r="F308" s="66" t="n">
        <f aca="false">E308/10</f>
        <v>0</v>
      </c>
      <c r="G308" s="20" t="s">
        <v>1675</v>
      </c>
      <c r="H308" s="20"/>
      <c r="I308" s="20"/>
      <c r="J308" s="20"/>
      <c r="K308" s="20"/>
      <c r="L308" s="20"/>
      <c r="M308" s="20"/>
    </row>
    <row r="309" customFormat="false" ht="15.75" hidden="false" customHeight="true" outlineLevel="0" collapsed="false">
      <c r="A309" s="80" t="s">
        <v>1760</v>
      </c>
      <c r="B309" s="17" t="s">
        <v>1761</v>
      </c>
      <c r="C309" s="80" t="s">
        <v>1747</v>
      </c>
      <c r="D309" s="18" t="s">
        <v>1772</v>
      </c>
      <c r="E309" s="66" t="n">
        <v>0</v>
      </c>
      <c r="F309" s="66" t="n">
        <f aca="false">E309/10</f>
        <v>0</v>
      </c>
      <c r="G309" s="20" t="s">
        <v>1748</v>
      </c>
      <c r="H309" s="20"/>
      <c r="I309" s="20"/>
      <c r="J309" s="20"/>
      <c r="K309" s="20"/>
      <c r="L309" s="20"/>
      <c r="M309" s="20"/>
    </row>
    <row r="310" customFormat="false" ht="15.75" hidden="false" customHeight="true" outlineLevel="0" collapsed="false">
      <c r="A310" s="80" t="s">
        <v>1760</v>
      </c>
      <c r="B310" s="17" t="s">
        <v>1761</v>
      </c>
      <c r="C310" s="80" t="s">
        <v>1752</v>
      </c>
      <c r="D310" s="18" t="s">
        <v>1772</v>
      </c>
      <c r="E310" s="66" t="n">
        <v>0</v>
      </c>
      <c r="F310" s="66" t="n">
        <f aca="false">E310/10</f>
        <v>0</v>
      </c>
      <c r="G310" s="20" t="s">
        <v>1753</v>
      </c>
      <c r="H310" s="20"/>
      <c r="I310" s="20"/>
      <c r="J310" s="20"/>
      <c r="K310" s="20"/>
      <c r="L310" s="20"/>
      <c r="M310" s="20"/>
    </row>
    <row r="311" customFormat="false" ht="15.75" hidden="false" customHeight="true" outlineLevel="0" collapsed="false">
      <c r="A311" s="80" t="s">
        <v>1760</v>
      </c>
      <c r="B311" s="17" t="s">
        <v>1761</v>
      </c>
      <c r="C311" s="80" t="s">
        <v>1194</v>
      </c>
      <c r="D311" s="18" t="s">
        <v>1772</v>
      </c>
      <c r="E311" s="66" t="n">
        <v>0</v>
      </c>
      <c r="F311" s="66" t="n">
        <f aca="false">E311/10</f>
        <v>0</v>
      </c>
      <c r="G311" s="20" t="s">
        <v>1758</v>
      </c>
      <c r="H311" s="20"/>
      <c r="I311" s="20"/>
      <c r="J311" s="20"/>
      <c r="K311" s="20"/>
      <c r="L311" s="20"/>
      <c r="M311" s="20"/>
    </row>
    <row r="312" customFormat="false" ht="15.75" hidden="false" customHeight="true" outlineLevel="0" collapsed="false">
      <c r="A312" s="80" t="s">
        <v>1760</v>
      </c>
      <c r="B312" s="17" t="s">
        <v>1761</v>
      </c>
      <c r="C312" s="80" t="s">
        <v>1355</v>
      </c>
      <c r="D312" s="18" t="s">
        <v>1772</v>
      </c>
      <c r="E312" s="66" t="n">
        <v>0</v>
      </c>
      <c r="F312" s="66" t="n">
        <f aca="false">E312/10</f>
        <v>0</v>
      </c>
      <c r="G312" s="20" t="s">
        <v>1759</v>
      </c>
      <c r="H312" s="20"/>
      <c r="I312" s="20"/>
      <c r="J312" s="20"/>
      <c r="K312" s="20"/>
      <c r="L312" s="20"/>
      <c r="M312" s="20"/>
    </row>
    <row r="313" customFormat="false" ht="15.75" hidden="false" customHeight="true" outlineLevel="0" collapsed="false">
      <c r="A313" s="80" t="s">
        <v>1760</v>
      </c>
      <c r="B313" s="17" t="s">
        <v>1761</v>
      </c>
      <c r="C313" s="80" t="s">
        <v>1754</v>
      </c>
      <c r="D313" s="18" t="s">
        <v>1772</v>
      </c>
      <c r="E313" s="66" t="n">
        <v>0</v>
      </c>
      <c r="F313" s="66" t="n">
        <f aca="false">E313/10</f>
        <v>0</v>
      </c>
      <c r="G313" s="20" t="s">
        <v>1755</v>
      </c>
      <c r="H313" s="20"/>
      <c r="I313" s="20"/>
      <c r="J313" s="20"/>
      <c r="K313" s="20"/>
      <c r="L313" s="20"/>
      <c r="M313" s="20"/>
    </row>
    <row r="314" customFormat="false" ht="15.75" hidden="false" customHeight="true" outlineLevel="0" collapsed="false">
      <c r="A314" s="80" t="s">
        <v>1760</v>
      </c>
      <c r="B314" s="17" t="s">
        <v>1761</v>
      </c>
      <c r="C314" s="80" t="s">
        <v>1756</v>
      </c>
      <c r="D314" s="18" t="s">
        <v>1772</v>
      </c>
      <c r="E314" s="66" t="n">
        <v>0</v>
      </c>
      <c r="F314" s="66" t="n">
        <f aca="false">E314/10</f>
        <v>0</v>
      </c>
      <c r="G314" s="20" t="s">
        <v>1757</v>
      </c>
      <c r="H314" s="20"/>
      <c r="I314" s="20"/>
      <c r="J314" s="20"/>
      <c r="K314" s="20"/>
      <c r="L314" s="20"/>
      <c r="M314" s="20"/>
    </row>
    <row r="315" customFormat="false" ht="15.75" hidden="false" customHeight="true" outlineLevel="0" collapsed="false">
      <c r="A315" s="80" t="s">
        <v>1618</v>
      </c>
      <c r="B315" s="17" t="s">
        <v>1619</v>
      </c>
      <c r="C315" s="80" t="s">
        <v>1615</v>
      </c>
      <c r="D315" s="18" t="s">
        <v>1773</v>
      </c>
      <c r="E315" s="66" t="n">
        <v>0</v>
      </c>
      <c r="F315" s="66" t="n">
        <f aca="false">E315/10</f>
        <v>0</v>
      </c>
      <c r="G315" s="20" t="s">
        <v>1616</v>
      </c>
      <c r="H315" s="20"/>
      <c r="I315" s="20"/>
      <c r="J315" s="20"/>
      <c r="K315" s="20"/>
      <c r="L315" s="20"/>
      <c r="M315" s="20"/>
    </row>
    <row r="316" customFormat="false" ht="15.75" hidden="false" customHeight="true" outlineLevel="0" collapsed="false">
      <c r="A316" s="80" t="s">
        <v>1754</v>
      </c>
      <c r="B316" s="17" t="s">
        <v>1755</v>
      </c>
      <c r="C316" s="80" t="s">
        <v>1750</v>
      </c>
      <c r="D316" s="18" t="s">
        <v>1772</v>
      </c>
      <c r="E316" s="66" t="n">
        <v>0</v>
      </c>
      <c r="F316" s="66" t="n">
        <f aca="false">E316/10</f>
        <v>0</v>
      </c>
      <c r="G316" s="20" t="s">
        <v>1751</v>
      </c>
      <c r="H316" s="20"/>
      <c r="I316" s="20"/>
      <c r="J316" s="20"/>
      <c r="K316" s="20"/>
      <c r="L316" s="20"/>
      <c r="M316" s="20"/>
    </row>
    <row r="317" customFormat="false" ht="15.75" hidden="false" customHeight="true" outlineLevel="0" collapsed="false">
      <c r="A317" s="80" t="s">
        <v>1756</v>
      </c>
      <c r="B317" s="17" t="s">
        <v>1757</v>
      </c>
      <c r="C317" s="80" t="s">
        <v>1747</v>
      </c>
      <c r="D317" s="18" t="s">
        <v>1772</v>
      </c>
      <c r="E317" s="66" t="n">
        <v>0</v>
      </c>
      <c r="F317" s="66" t="n">
        <f aca="false">E317/10</f>
        <v>0</v>
      </c>
      <c r="G317" s="20" t="s">
        <v>1748</v>
      </c>
      <c r="H317" s="20"/>
      <c r="I317" s="20"/>
      <c r="J317" s="20"/>
      <c r="K317" s="20"/>
      <c r="L317" s="20"/>
      <c r="M317" s="20"/>
    </row>
    <row r="318" customFormat="false" ht="15.75" hidden="false" customHeight="true" outlineLevel="0" collapsed="false">
      <c r="A318" s="80" t="s">
        <v>1756</v>
      </c>
      <c r="B318" s="17" t="s">
        <v>1757</v>
      </c>
      <c r="C318" s="80" t="s">
        <v>1752</v>
      </c>
      <c r="D318" s="18" t="s">
        <v>1772</v>
      </c>
      <c r="E318" s="66" t="n">
        <v>0</v>
      </c>
      <c r="F318" s="66" t="n">
        <f aca="false">E318/10</f>
        <v>0</v>
      </c>
      <c r="G318" s="20" t="s">
        <v>1753</v>
      </c>
      <c r="H318" s="20"/>
      <c r="I318" s="20"/>
      <c r="J318" s="20"/>
      <c r="K318" s="20"/>
      <c r="L318" s="20"/>
      <c r="M318" s="20"/>
    </row>
    <row r="319" customFormat="false" ht="15.75" hidden="false" customHeight="true" outlineLevel="0" collapsed="false">
      <c r="A319" s="80" t="s">
        <v>1647</v>
      </c>
      <c r="B319" s="17" t="s">
        <v>1648</v>
      </c>
      <c r="C319" s="80" t="s">
        <v>1611</v>
      </c>
      <c r="D319" s="18" t="s">
        <v>1770</v>
      </c>
      <c r="E319" s="66" t="n">
        <v>0</v>
      </c>
      <c r="F319" s="66" t="n">
        <f aca="false">E319/10</f>
        <v>0</v>
      </c>
      <c r="G319" s="20" t="s">
        <v>1612</v>
      </c>
      <c r="H319" s="20"/>
      <c r="I319" s="20"/>
      <c r="J319" s="20"/>
      <c r="K319" s="20"/>
      <c r="L319" s="20"/>
      <c r="M319" s="20"/>
    </row>
    <row r="320" customFormat="false" ht="15.75" hidden="false" customHeight="true" outlineLevel="0" collapsed="false">
      <c r="A320" s="80" t="s">
        <v>1647</v>
      </c>
      <c r="B320" s="17" t="s">
        <v>1648</v>
      </c>
      <c r="C320" s="80" t="s">
        <v>1621</v>
      </c>
      <c r="D320" s="18" t="s">
        <v>1770</v>
      </c>
      <c r="E320" s="66" t="n">
        <v>0</v>
      </c>
      <c r="F320" s="66" t="n">
        <f aca="false">E320/10</f>
        <v>0</v>
      </c>
      <c r="G320" s="20" t="s">
        <v>1622</v>
      </c>
      <c r="H320" s="20"/>
      <c r="I320" s="20"/>
      <c r="J320" s="20"/>
      <c r="K320" s="20"/>
      <c r="L320" s="20"/>
      <c r="M320" s="20"/>
    </row>
    <row r="321" customFormat="false" ht="15.75" hidden="false" customHeight="true" outlineLevel="0" collapsed="false">
      <c r="A321" s="80" t="s">
        <v>1649</v>
      </c>
      <c r="B321" s="17" t="s">
        <v>1650</v>
      </c>
      <c r="C321" s="80" t="s">
        <v>1618</v>
      </c>
      <c r="D321" s="18" t="s">
        <v>1770</v>
      </c>
      <c r="E321" s="66" t="n">
        <v>0</v>
      </c>
      <c r="F321" s="66" t="n">
        <f aca="false">E321/10</f>
        <v>0</v>
      </c>
      <c r="G321" s="20" t="s">
        <v>1619</v>
      </c>
      <c r="H321" s="20"/>
      <c r="I321" s="20"/>
      <c r="J321" s="20"/>
      <c r="K321" s="20"/>
      <c r="L321" s="20"/>
      <c r="M321" s="20"/>
    </row>
    <row r="322" customFormat="false" ht="15.75" hidden="false" customHeight="true" outlineLevel="0" collapsed="false">
      <c r="A322" s="80" t="s">
        <v>1649</v>
      </c>
      <c r="B322" s="17" t="s">
        <v>1650</v>
      </c>
      <c r="C322" s="80" t="s">
        <v>1647</v>
      </c>
      <c r="D322" s="18" t="s">
        <v>1771</v>
      </c>
      <c r="E322" s="66" t="n">
        <v>0</v>
      </c>
      <c r="F322" s="66" t="n">
        <f aca="false">E322/10</f>
        <v>0</v>
      </c>
      <c r="G322" s="20" t="s">
        <v>1648</v>
      </c>
      <c r="H322" s="20"/>
      <c r="I322" s="20"/>
      <c r="J322" s="20"/>
      <c r="K322" s="20"/>
      <c r="L322" s="20"/>
      <c r="M322" s="20"/>
    </row>
    <row r="323" customFormat="false" ht="15.75" hidden="false" customHeight="true" outlineLevel="0" collapsed="false">
      <c r="A323" s="80" t="s">
        <v>1653</v>
      </c>
      <c r="B323" s="17" t="s">
        <v>1654</v>
      </c>
      <c r="C323" s="80" t="s">
        <v>1647</v>
      </c>
      <c r="D323" s="18" t="s">
        <v>1770</v>
      </c>
      <c r="E323" s="66" t="n">
        <v>0</v>
      </c>
      <c r="F323" s="66" t="n">
        <f aca="false">E323/10</f>
        <v>0</v>
      </c>
      <c r="G323" s="20" t="s">
        <v>1648</v>
      </c>
      <c r="H323" s="20"/>
      <c r="I323" s="20"/>
      <c r="J323" s="20"/>
      <c r="K323" s="20"/>
      <c r="L323" s="20"/>
      <c r="M323" s="20"/>
    </row>
    <row r="324" customFormat="false" ht="15.75" hidden="false" customHeight="true" outlineLevel="0" collapsed="false">
      <c r="A324" s="80" t="s">
        <v>1655</v>
      </c>
      <c r="B324" s="17" t="s">
        <v>1656</v>
      </c>
      <c r="C324" s="80" t="s">
        <v>1649</v>
      </c>
      <c r="D324" s="18" t="s">
        <v>1770</v>
      </c>
      <c r="E324" s="66" t="n">
        <v>0</v>
      </c>
      <c r="F324" s="66" t="n">
        <f aca="false">E324/10</f>
        <v>0</v>
      </c>
      <c r="G324" s="20" t="s">
        <v>1650</v>
      </c>
      <c r="H324" s="20"/>
      <c r="I324" s="20"/>
      <c r="J324" s="20"/>
      <c r="K324" s="20"/>
      <c r="L324" s="20"/>
      <c r="M324" s="20"/>
    </row>
    <row r="325" customFormat="false" ht="15.75" hidden="false" customHeight="true" outlineLevel="0" collapsed="false">
      <c r="A325" s="80" t="s">
        <v>1657</v>
      </c>
      <c r="B325" s="17" t="s">
        <v>1658</v>
      </c>
      <c r="C325" s="80" t="s">
        <v>1653</v>
      </c>
      <c r="D325" s="18" t="s">
        <v>1770</v>
      </c>
      <c r="E325" s="66" t="n">
        <v>0</v>
      </c>
      <c r="F325" s="66" t="n">
        <f aca="false">E325/10</f>
        <v>0</v>
      </c>
      <c r="G325" s="20" t="s">
        <v>1654</v>
      </c>
      <c r="H325" s="20"/>
      <c r="I325" s="20"/>
      <c r="J325" s="20"/>
      <c r="K325" s="20"/>
      <c r="L325" s="20"/>
      <c r="M325" s="20"/>
    </row>
    <row r="326" customFormat="false" ht="15.75" hidden="false" customHeight="true" outlineLevel="0" collapsed="false">
      <c r="A326" s="80" t="s">
        <v>1657</v>
      </c>
      <c r="B326" s="17" t="s">
        <v>1658</v>
      </c>
      <c r="C326" s="80" t="s">
        <v>1655</v>
      </c>
      <c r="D326" s="18" t="s">
        <v>1770</v>
      </c>
      <c r="E326" s="66" t="n">
        <v>0</v>
      </c>
      <c r="F326" s="66" t="n">
        <f aca="false">E326/10</f>
        <v>0</v>
      </c>
      <c r="G326" s="20" t="s">
        <v>1656</v>
      </c>
      <c r="H326" s="20"/>
      <c r="I326" s="20"/>
      <c r="J326" s="20"/>
      <c r="K326" s="20"/>
      <c r="L326" s="20"/>
      <c r="M326" s="20"/>
    </row>
    <row r="327" customFormat="false" ht="15.75" hidden="false" customHeight="true" outlineLevel="0" collapsed="false">
      <c r="A327" s="80" t="s">
        <v>1663</v>
      </c>
      <c r="B327" s="17" t="s">
        <v>1664</v>
      </c>
      <c r="C327" s="80" t="s">
        <v>1657</v>
      </c>
      <c r="D327" s="18" t="s">
        <v>1770</v>
      </c>
      <c r="E327" s="66" t="n">
        <v>0</v>
      </c>
      <c r="F327" s="66" t="n">
        <f aca="false">E327/10</f>
        <v>0</v>
      </c>
      <c r="G327" s="20" t="s">
        <v>1658</v>
      </c>
      <c r="H327" s="20"/>
      <c r="I327" s="20"/>
      <c r="J327" s="20"/>
      <c r="K327" s="20"/>
      <c r="L327" s="20"/>
      <c r="M327" s="20"/>
    </row>
    <row r="328" customFormat="false" ht="15.75" hidden="false" customHeight="true" outlineLevel="0" collapsed="false">
      <c r="A328" s="80" t="s">
        <v>1665</v>
      </c>
      <c r="B328" s="17" t="s">
        <v>1664</v>
      </c>
      <c r="C328" s="80" t="s">
        <v>1657</v>
      </c>
      <c r="D328" s="18" t="s">
        <v>1770</v>
      </c>
      <c r="E328" s="66" t="n">
        <v>0</v>
      </c>
      <c r="F328" s="66" t="n">
        <f aca="false">E328/10</f>
        <v>0</v>
      </c>
      <c r="G328" s="20" t="s">
        <v>1658</v>
      </c>
      <c r="H328" s="20"/>
      <c r="I328" s="20"/>
      <c r="J328" s="20"/>
      <c r="K328" s="20"/>
      <c r="L328" s="20"/>
      <c r="M328" s="20"/>
    </row>
    <row r="329" customFormat="false" ht="15.75" hidden="false" customHeight="true" outlineLevel="0" collapsed="false">
      <c r="A329" s="80" t="s">
        <v>1651</v>
      </c>
      <c r="B329" s="17" t="s">
        <v>1652</v>
      </c>
      <c r="C329" s="80" t="s">
        <v>1621</v>
      </c>
      <c r="D329" s="18" t="s">
        <v>1770</v>
      </c>
      <c r="E329" s="66" t="n">
        <v>0</v>
      </c>
      <c r="F329" s="66" t="n">
        <f aca="false">E329/10</f>
        <v>0</v>
      </c>
      <c r="G329" s="20" t="s">
        <v>1622</v>
      </c>
      <c r="H329" s="20"/>
      <c r="I329" s="20"/>
      <c r="J329" s="20"/>
      <c r="K329" s="20"/>
      <c r="L329" s="20"/>
      <c r="M329" s="20"/>
    </row>
    <row r="330" customFormat="false" ht="15.75" hidden="false" customHeight="true" outlineLevel="0" collapsed="false">
      <c r="A330" s="80" t="s">
        <v>1651</v>
      </c>
      <c r="B330" s="17" t="s">
        <v>1652</v>
      </c>
      <c r="C330" s="80" t="s">
        <v>1615</v>
      </c>
      <c r="D330" s="18" t="s">
        <v>1771</v>
      </c>
      <c r="E330" s="66" t="n">
        <v>0</v>
      </c>
      <c r="F330" s="66" t="n">
        <f aca="false">E330/10</f>
        <v>0</v>
      </c>
      <c r="G330" s="20" t="s">
        <v>1616</v>
      </c>
      <c r="H330" s="20"/>
      <c r="I330" s="20"/>
      <c r="J330" s="20"/>
      <c r="K330" s="20"/>
      <c r="L330" s="20"/>
      <c r="M330" s="20"/>
    </row>
    <row r="331" customFormat="false" ht="15.75" hidden="false" customHeight="true" outlineLevel="0" collapsed="false">
      <c r="A331" s="80" t="s">
        <v>1651</v>
      </c>
      <c r="B331" s="17" t="s">
        <v>1652</v>
      </c>
      <c r="C331" s="80" t="s">
        <v>1618</v>
      </c>
      <c r="D331" s="18" t="s">
        <v>1770</v>
      </c>
      <c r="E331" s="66" t="n">
        <v>0</v>
      </c>
      <c r="F331" s="66" t="n">
        <f aca="false">E331/10</f>
        <v>0</v>
      </c>
      <c r="G331" s="20" t="s">
        <v>1619</v>
      </c>
      <c r="H331" s="20"/>
      <c r="I331" s="20"/>
      <c r="J331" s="20"/>
      <c r="K331" s="20"/>
      <c r="L331" s="20"/>
      <c r="M331" s="20"/>
    </row>
    <row r="332" customFormat="false" ht="15.75" hidden="false" customHeight="true" outlineLevel="0" collapsed="false">
      <c r="A332" s="80" t="s">
        <v>1659</v>
      </c>
      <c r="B332" s="17" t="s">
        <v>1660</v>
      </c>
      <c r="C332" s="80" t="s">
        <v>1651</v>
      </c>
      <c r="D332" s="18" t="s">
        <v>1770</v>
      </c>
      <c r="E332" s="66" t="n">
        <v>0</v>
      </c>
      <c r="F332" s="66" t="n">
        <f aca="false">E332/10</f>
        <v>0</v>
      </c>
      <c r="G332" s="20" t="s">
        <v>1652</v>
      </c>
      <c r="H332" s="20"/>
      <c r="I332" s="20"/>
      <c r="J332" s="20"/>
      <c r="K332" s="20"/>
      <c r="L332" s="20"/>
      <c r="M332" s="20"/>
    </row>
    <row r="333" customFormat="false" ht="15.75" hidden="false" customHeight="true" outlineLevel="0" collapsed="false">
      <c r="A333" s="80" t="s">
        <v>1688</v>
      </c>
      <c r="B333" s="17" t="s">
        <v>1650</v>
      </c>
      <c r="C333" s="80" t="s">
        <v>1651</v>
      </c>
      <c r="D333" s="18" t="s">
        <v>1770</v>
      </c>
      <c r="E333" s="66" t="n">
        <v>0</v>
      </c>
      <c r="F333" s="66" t="n">
        <f aca="false">E333/10</f>
        <v>0</v>
      </c>
      <c r="G333" s="20" t="s">
        <v>1652</v>
      </c>
      <c r="H333" s="20"/>
      <c r="I333" s="20"/>
      <c r="J333" s="20"/>
      <c r="K333" s="20"/>
      <c r="L333" s="20"/>
      <c r="M333" s="20"/>
    </row>
    <row r="334" customFormat="false" ht="15.75" hidden="false" customHeight="true" outlineLevel="0" collapsed="false">
      <c r="A334" s="80" t="s">
        <v>1688</v>
      </c>
      <c r="B334" s="17" t="s">
        <v>1650</v>
      </c>
      <c r="C334" s="80" t="s">
        <v>1659</v>
      </c>
      <c r="D334" s="18" t="s">
        <v>1770</v>
      </c>
      <c r="E334" s="66" t="n">
        <v>0</v>
      </c>
      <c r="F334" s="66" t="n">
        <f aca="false">E334/10</f>
        <v>0</v>
      </c>
      <c r="G334" s="20" t="s">
        <v>1660</v>
      </c>
      <c r="H334" s="20"/>
      <c r="I334" s="20"/>
      <c r="J334" s="20"/>
      <c r="K334" s="20"/>
      <c r="L334" s="20"/>
      <c r="M334" s="20"/>
    </row>
    <row r="335" customFormat="false" ht="15.75" hidden="false" customHeight="true" outlineLevel="0" collapsed="false">
      <c r="A335" s="80" t="s">
        <v>1698</v>
      </c>
      <c r="B335" s="17" t="s">
        <v>1699</v>
      </c>
      <c r="C335" s="80" t="s">
        <v>1665</v>
      </c>
      <c r="D335" s="18" t="s">
        <v>1771</v>
      </c>
      <c r="E335" s="66" t="n">
        <v>270</v>
      </c>
      <c r="F335" s="66" t="n">
        <f aca="false">E335/10</f>
        <v>27</v>
      </c>
      <c r="G335" s="20" t="s">
        <v>1664</v>
      </c>
      <c r="H335" s="20"/>
      <c r="I335" s="20"/>
      <c r="J335" s="20"/>
      <c r="K335" s="20"/>
      <c r="L335" s="20"/>
      <c r="M335" s="20"/>
    </row>
    <row r="336" customFormat="false" ht="15.75" hidden="false" customHeight="true" outlineLevel="0" collapsed="false">
      <c r="A336" s="80" t="s">
        <v>1700</v>
      </c>
      <c r="B336" s="17" t="s">
        <v>1701</v>
      </c>
      <c r="C336" s="80" t="s">
        <v>1698</v>
      </c>
      <c r="D336" s="18" t="s">
        <v>1771</v>
      </c>
      <c r="E336" s="66" t="n">
        <v>0</v>
      </c>
      <c r="F336" s="66" t="n">
        <f aca="false">E336/10</f>
        <v>0</v>
      </c>
      <c r="G336" s="20" t="s">
        <v>1699</v>
      </c>
      <c r="H336" s="20"/>
      <c r="I336" s="20"/>
      <c r="J336" s="20"/>
      <c r="K336" s="20"/>
      <c r="L336" s="20"/>
      <c r="M336" s="20"/>
    </row>
    <row r="337" customFormat="false" ht="15.75" hidden="false" customHeight="true" outlineLevel="0" collapsed="false">
      <c r="A337" s="80" t="s">
        <v>1700</v>
      </c>
      <c r="B337" s="17" t="s">
        <v>1701</v>
      </c>
      <c r="C337" s="80" t="s">
        <v>1698</v>
      </c>
      <c r="D337" s="18" t="s">
        <v>1772</v>
      </c>
      <c r="E337" s="66" t="n">
        <v>0</v>
      </c>
      <c r="F337" s="66" t="n">
        <f aca="false">E337/10</f>
        <v>0</v>
      </c>
      <c r="G337" s="20" t="s">
        <v>1699</v>
      </c>
      <c r="H337" s="20"/>
      <c r="I337" s="20"/>
      <c r="J337" s="20"/>
      <c r="K337" s="20"/>
      <c r="L337" s="20"/>
      <c r="M337" s="20"/>
    </row>
    <row r="338" customFormat="false" ht="15.75" hidden="false" customHeight="true" outlineLevel="0" collapsed="false">
      <c r="A338" s="80" t="s">
        <v>1693</v>
      </c>
      <c r="B338" s="17" t="s">
        <v>1656</v>
      </c>
      <c r="C338" s="80" t="s">
        <v>1688</v>
      </c>
      <c r="D338" s="18" t="s">
        <v>1770</v>
      </c>
      <c r="E338" s="66" t="n">
        <v>0</v>
      </c>
      <c r="F338" s="66" t="n">
        <f aca="false">E338/10</f>
        <v>0</v>
      </c>
      <c r="G338" s="20" t="s">
        <v>1650</v>
      </c>
      <c r="H338" s="20"/>
      <c r="I338" s="20"/>
      <c r="J338" s="20"/>
      <c r="K338" s="20"/>
      <c r="L338" s="20"/>
      <c r="M338" s="20"/>
    </row>
    <row r="339" customFormat="false" ht="15.75" hidden="false" customHeight="true" outlineLevel="0" collapsed="false">
      <c r="A339" s="80" t="s">
        <v>1702</v>
      </c>
      <c r="B339" s="17" t="s">
        <v>1703</v>
      </c>
      <c r="C339" s="80" t="s">
        <v>1700</v>
      </c>
      <c r="D339" s="18" t="s">
        <v>1772</v>
      </c>
      <c r="E339" s="66" t="n">
        <v>10</v>
      </c>
      <c r="F339" s="66" t="n">
        <f aca="false">E339/10</f>
        <v>1</v>
      </c>
      <c r="G339" s="20" t="s">
        <v>1701</v>
      </c>
      <c r="H339" s="20"/>
      <c r="I339" s="20"/>
      <c r="J339" s="20"/>
      <c r="K339" s="20"/>
      <c r="L339" s="20"/>
      <c r="M339" s="20"/>
    </row>
    <row r="340" customFormat="false" ht="15.75" hidden="false" customHeight="true" outlineLevel="0" collapsed="false">
      <c r="A340" s="80" t="s">
        <v>1702</v>
      </c>
      <c r="B340" s="17" t="s">
        <v>1703</v>
      </c>
      <c r="C340" s="80" t="s">
        <v>1700</v>
      </c>
      <c r="D340" s="18" t="s">
        <v>1771</v>
      </c>
      <c r="E340" s="66" t="n">
        <v>10</v>
      </c>
      <c r="F340" s="66" t="n">
        <f aca="false">E340/10</f>
        <v>1</v>
      </c>
      <c r="G340" s="20" t="s">
        <v>1701</v>
      </c>
      <c r="H340" s="20"/>
      <c r="I340" s="20"/>
      <c r="J340" s="20"/>
      <c r="K340" s="20"/>
      <c r="L340" s="20"/>
      <c r="M340" s="20"/>
    </row>
    <row r="341" customFormat="false" ht="15.75" hidden="false" customHeight="true" outlineLevel="0" collapsed="false">
      <c r="A341" s="80" t="s">
        <v>1706</v>
      </c>
      <c r="B341" s="17" t="s">
        <v>1658</v>
      </c>
      <c r="C341" s="80" t="s">
        <v>1693</v>
      </c>
      <c r="D341" s="18" t="s">
        <v>1770</v>
      </c>
      <c r="E341" s="66" t="n">
        <v>0</v>
      </c>
      <c r="F341" s="66" t="n">
        <f aca="false">E341/10</f>
        <v>0</v>
      </c>
      <c r="G341" s="20" t="s">
        <v>1656</v>
      </c>
      <c r="H341" s="20"/>
      <c r="I341" s="20"/>
      <c r="J341" s="20"/>
      <c r="K341" s="20"/>
      <c r="L341" s="20"/>
      <c r="M341" s="20"/>
    </row>
    <row r="342" customFormat="false" ht="15.75" hidden="false" customHeight="true" outlineLevel="0" collapsed="false">
      <c r="A342" s="80" t="s">
        <v>1709</v>
      </c>
      <c r="B342" s="17" t="s">
        <v>1710</v>
      </c>
      <c r="C342" s="80" t="s">
        <v>1665</v>
      </c>
      <c r="D342" s="18" t="s">
        <v>1772</v>
      </c>
      <c r="E342" s="66" t="n">
        <v>60</v>
      </c>
      <c r="F342" s="66" t="n">
        <f aca="false">E342/10</f>
        <v>6</v>
      </c>
      <c r="G342" s="20" t="s">
        <v>1664</v>
      </c>
      <c r="H342" s="20"/>
      <c r="I342" s="20"/>
      <c r="J342" s="20"/>
      <c r="K342" s="20"/>
      <c r="L342" s="20"/>
      <c r="M342" s="20"/>
    </row>
    <row r="343" customFormat="false" ht="15.75" hidden="false" customHeight="true" outlineLevel="0" collapsed="false">
      <c r="A343" s="80" t="s">
        <v>1709</v>
      </c>
      <c r="B343" s="17" t="s">
        <v>1710</v>
      </c>
      <c r="C343" s="80" t="s">
        <v>1698</v>
      </c>
      <c r="D343" s="18" t="s">
        <v>1770</v>
      </c>
      <c r="E343" s="66" t="n">
        <v>0</v>
      </c>
      <c r="F343" s="66" t="n">
        <f aca="false">E343/10</f>
        <v>0</v>
      </c>
      <c r="G343" s="20" t="s">
        <v>1699</v>
      </c>
      <c r="H343" s="20"/>
      <c r="I343" s="20"/>
      <c r="J343" s="20"/>
      <c r="K343" s="20"/>
      <c r="L343" s="20"/>
      <c r="M343" s="20"/>
    </row>
    <row r="344" customFormat="false" ht="15.75" hidden="false" customHeight="true" outlineLevel="0" collapsed="false">
      <c r="A344" s="80" t="s">
        <v>1711</v>
      </c>
      <c r="B344" s="17" t="s">
        <v>1712</v>
      </c>
      <c r="C344" s="80" t="s">
        <v>1709</v>
      </c>
      <c r="D344" s="18" t="s">
        <v>1771</v>
      </c>
      <c r="E344" s="66" t="n">
        <v>0</v>
      </c>
      <c r="F344" s="66" t="n">
        <f aca="false">E344/10</f>
        <v>0</v>
      </c>
      <c r="G344" s="20" t="s">
        <v>1710</v>
      </c>
      <c r="H344" s="20"/>
      <c r="I344" s="20"/>
      <c r="J344" s="20"/>
      <c r="K344" s="20"/>
      <c r="L344" s="20"/>
      <c r="M344" s="20"/>
    </row>
    <row r="345" customFormat="false" ht="15.75" hidden="false" customHeight="true" outlineLevel="0" collapsed="false">
      <c r="A345" s="80" t="s">
        <v>1711</v>
      </c>
      <c r="B345" s="17" t="s">
        <v>1712</v>
      </c>
      <c r="C345" s="80" t="s">
        <v>1709</v>
      </c>
      <c r="D345" s="18" t="s">
        <v>1772</v>
      </c>
      <c r="E345" s="66" t="n">
        <v>0</v>
      </c>
      <c r="F345" s="66" t="n">
        <f aca="false">E345/10</f>
        <v>0</v>
      </c>
      <c r="G345" s="20" t="s">
        <v>1710</v>
      </c>
      <c r="H345" s="20"/>
      <c r="I345" s="20"/>
      <c r="J345" s="20"/>
      <c r="K345" s="20"/>
      <c r="L345" s="20"/>
      <c r="M345" s="20"/>
    </row>
    <row r="346" customFormat="false" ht="15.75" hidden="false" customHeight="true" outlineLevel="0" collapsed="false">
      <c r="A346" s="80" t="s">
        <v>1707</v>
      </c>
      <c r="B346" s="17" t="s">
        <v>1708</v>
      </c>
      <c r="C346" s="80" t="s">
        <v>1706</v>
      </c>
      <c r="D346" s="18" t="s">
        <v>1770</v>
      </c>
      <c r="E346" s="66" t="n">
        <v>0</v>
      </c>
      <c r="F346" s="66" t="n">
        <f aca="false">E346/10</f>
        <v>0</v>
      </c>
      <c r="G346" s="20" t="s">
        <v>1658</v>
      </c>
      <c r="H346" s="20"/>
      <c r="I346" s="20"/>
      <c r="J346" s="20"/>
      <c r="K346" s="20"/>
      <c r="L346" s="20"/>
      <c r="M346" s="20"/>
    </row>
    <row r="347" customFormat="false" ht="15.75" hidden="false" customHeight="true" outlineLevel="0" collapsed="false">
      <c r="A347" s="80" t="s">
        <v>1713</v>
      </c>
      <c r="B347" s="17" t="s">
        <v>1714</v>
      </c>
      <c r="C347" s="80" t="s">
        <v>1711</v>
      </c>
      <c r="D347" s="18" t="s">
        <v>1771</v>
      </c>
      <c r="E347" s="66" t="n">
        <v>10</v>
      </c>
      <c r="F347" s="66" t="n">
        <f aca="false">E347/10</f>
        <v>1</v>
      </c>
      <c r="G347" s="20" t="s">
        <v>1712</v>
      </c>
      <c r="H347" s="20"/>
      <c r="I347" s="20"/>
      <c r="J347" s="20"/>
      <c r="K347" s="20"/>
      <c r="L347" s="20"/>
      <c r="M347" s="20"/>
    </row>
    <row r="348" customFormat="false" ht="15.75" hidden="false" customHeight="true" outlineLevel="0" collapsed="false">
      <c r="A348" s="80" t="s">
        <v>1713</v>
      </c>
      <c r="B348" s="17" t="s">
        <v>1714</v>
      </c>
      <c r="C348" s="80" t="s">
        <v>1711</v>
      </c>
      <c r="D348" s="18" t="s">
        <v>1772</v>
      </c>
      <c r="E348" s="66" t="n">
        <v>10</v>
      </c>
      <c r="F348" s="66" t="n">
        <f aca="false">E348/10</f>
        <v>1</v>
      </c>
      <c r="G348" s="20" t="s">
        <v>1712</v>
      </c>
      <c r="H348" s="20"/>
      <c r="I348" s="20"/>
      <c r="J348" s="20"/>
      <c r="K348" s="20"/>
      <c r="L348" s="20"/>
      <c r="M348" s="20"/>
    </row>
    <row r="349" customFormat="false" ht="15.75" hidden="false" customHeight="true" outlineLevel="0" collapsed="false">
      <c r="A349" s="80" t="s">
        <v>1719</v>
      </c>
      <c r="B349" s="17" t="s">
        <v>1720</v>
      </c>
      <c r="C349" s="80" t="s">
        <v>1663</v>
      </c>
      <c r="D349" s="18" t="s">
        <v>1772</v>
      </c>
      <c r="E349" s="66" t="n">
        <v>70</v>
      </c>
      <c r="F349" s="66" t="n">
        <f aca="false">E349/10</f>
        <v>7</v>
      </c>
      <c r="G349" s="20" t="s">
        <v>1664</v>
      </c>
      <c r="H349" s="20"/>
      <c r="I349" s="20"/>
      <c r="J349" s="20"/>
      <c r="K349" s="20"/>
      <c r="L349" s="20"/>
      <c r="M349" s="20"/>
    </row>
    <row r="350" customFormat="false" ht="15.75" hidden="false" customHeight="true" outlineLevel="0" collapsed="false">
      <c r="A350" s="80" t="s">
        <v>1721</v>
      </c>
      <c r="B350" s="17" t="s">
        <v>1722</v>
      </c>
      <c r="C350" s="80" t="s">
        <v>1719</v>
      </c>
      <c r="D350" s="18" t="s">
        <v>1771</v>
      </c>
      <c r="E350" s="66" t="n">
        <v>0</v>
      </c>
      <c r="F350" s="66" t="n">
        <f aca="false">E350/10</f>
        <v>0</v>
      </c>
      <c r="G350" s="20" t="s">
        <v>1720</v>
      </c>
      <c r="H350" s="20"/>
      <c r="I350" s="20"/>
      <c r="J350" s="20"/>
      <c r="K350" s="20"/>
      <c r="L350" s="20"/>
      <c r="M350" s="20"/>
    </row>
    <row r="351" customFormat="false" ht="15.75" hidden="false" customHeight="true" outlineLevel="0" collapsed="false">
      <c r="A351" s="80" t="s">
        <v>1721</v>
      </c>
      <c r="B351" s="17" t="s">
        <v>1722</v>
      </c>
      <c r="C351" s="80" t="s">
        <v>1719</v>
      </c>
      <c r="D351" s="18" t="s">
        <v>1772</v>
      </c>
      <c r="E351" s="66" t="n">
        <v>0</v>
      </c>
      <c r="F351" s="66" t="n">
        <f aca="false">E351/10</f>
        <v>0</v>
      </c>
      <c r="G351" s="20" t="s">
        <v>1720</v>
      </c>
      <c r="H351" s="20"/>
      <c r="I351" s="20"/>
      <c r="J351" s="20"/>
      <c r="K351" s="20"/>
      <c r="L351" s="20"/>
      <c r="M351" s="20"/>
    </row>
    <row r="352" customFormat="false" ht="15.75" hidden="false" customHeight="true" outlineLevel="0" collapsed="false">
      <c r="A352" s="80" t="s">
        <v>1724</v>
      </c>
      <c r="B352" s="17" t="s">
        <v>1725</v>
      </c>
      <c r="C352" s="80" t="s">
        <v>1719</v>
      </c>
      <c r="D352" s="18" t="s">
        <v>1772</v>
      </c>
      <c r="E352" s="66" t="n">
        <v>10</v>
      </c>
      <c r="F352" s="66" t="n">
        <f aca="false">E352/10</f>
        <v>1</v>
      </c>
      <c r="G352" s="20" t="s">
        <v>1720</v>
      </c>
      <c r="H352" s="20"/>
      <c r="I352" s="20"/>
      <c r="J352" s="20"/>
      <c r="K352" s="20"/>
      <c r="L352" s="20"/>
      <c r="M352" s="20"/>
    </row>
    <row r="353" customFormat="false" ht="15.75" hidden="false" customHeight="true" outlineLevel="0" collapsed="false">
      <c r="A353" s="80" t="s">
        <v>1724</v>
      </c>
      <c r="B353" s="17" t="s">
        <v>1725</v>
      </c>
      <c r="C353" s="80" t="s">
        <v>1721</v>
      </c>
      <c r="D353" s="18" t="s">
        <v>1771</v>
      </c>
      <c r="E353" s="66" t="n">
        <v>10</v>
      </c>
      <c r="F353" s="66" t="n">
        <f aca="false">E353/10</f>
        <v>1</v>
      </c>
      <c r="G353" s="20" t="s">
        <v>1722</v>
      </c>
      <c r="H353" s="20"/>
      <c r="I353" s="20"/>
      <c r="J353" s="20"/>
      <c r="K353" s="20"/>
      <c r="L353" s="20"/>
      <c r="M353" s="20"/>
    </row>
    <row r="354" customFormat="false" ht="15.75" hidden="false" customHeight="true" outlineLevel="0" collapsed="false">
      <c r="A354" s="80" t="s">
        <v>1724</v>
      </c>
      <c r="B354" s="17" t="s">
        <v>1725</v>
      </c>
      <c r="C354" s="80" t="s">
        <v>1721</v>
      </c>
      <c r="D354" s="18" t="s">
        <v>1772</v>
      </c>
      <c r="E354" s="66" t="n">
        <v>10</v>
      </c>
      <c r="F354" s="66" t="n">
        <f aca="false">E354/10</f>
        <v>1</v>
      </c>
      <c r="G354" s="20" t="s">
        <v>1722</v>
      </c>
      <c r="H354" s="20"/>
      <c r="I354" s="20"/>
      <c r="J354" s="20"/>
      <c r="K354" s="20"/>
      <c r="L354" s="20"/>
      <c r="M354" s="20"/>
    </row>
    <row r="355" customFormat="false" ht="15.75" hidden="false" customHeight="true" outlineLevel="0" collapsed="false">
      <c r="A355" s="80" t="s">
        <v>1730</v>
      </c>
      <c r="B355" s="17" t="s">
        <v>1731</v>
      </c>
      <c r="C355" s="80" t="s">
        <v>1707</v>
      </c>
      <c r="D355" s="18" t="s">
        <v>1770</v>
      </c>
      <c r="E355" s="66" t="n">
        <v>0</v>
      </c>
      <c r="F355" s="66" t="n">
        <f aca="false">E355/10</f>
        <v>0</v>
      </c>
      <c r="G355" s="20" t="s">
        <v>1708</v>
      </c>
      <c r="H355" s="20"/>
      <c r="I355" s="20"/>
      <c r="J355" s="20"/>
      <c r="K355" s="20"/>
      <c r="L355" s="20"/>
      <c r="M355" s="20"/>
    </row>
    <row r="356" customFormat="false" ht="15.75" hidden="false" customHeight="true" outlineLevel="0" collapsed="false">
      <c r="A356" s="80" t="s">
        <v>1732</v>
      </c>
      <c r="B356" s="17" t="s">
        <v>1733</v>
      </c>
      <c r="C356" s="80" t="s">
        <v>1730</v>
      </c>
      <c r="D356" s="18" t="s">
        <v>1770</v>
      </c>
      <c r="E356" s="66" t="n">
        <v>0</v>
      </c>
      <c r="F356" s="66" t="n">
        <f aca="false">E356/10</f>
        <v>0</v>
      </c>
      <c r="G356" s="20" t="s">
        <v>1731</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1774</v>
      </c>
    </row>
    <row r="2" customFormat="false" ht="15.75" hidden="false" customHeight="true" outlineLevel="0" collapsed="false">
      <c r="A2" s="9" t="s">
        <v>1775</v>
      </c>
    </row>
    <row r="3" customFormat="false" ht="15" hidden="false" customHeight="true" outlineLevel="0" collapsed="false">
      <c r="A3" s="10" t="s">
        <v>1776</v>
      </c>
    </row>
    <row r="4" customFormat="false" ht="30" hidden="false" customHeight="true" outlineLevel="0" collapsed="false">
      <c r="A4" s="81" t="s">
        <v>1777</v>
      </c>
    </row>
    <row r="5" customFormat="false" ht="19.5" hidden="false" customHeight="true" outlineLevel="0" collapsed="false">
      <c r="A5" s="82"/>
      <c r="B5" s="82"/>
      <c r="C5" s="83" t="s">
        <v>1778</v>
      </c>
      <c r="D5" s="83"/>
      <c r="E5" s="83"/>
      <c r="F5" s="83"/>
      <c r="G5" s="83"/>
    </row>
    <row r="6" customFormat="false" ht="31.5" hidden="false" customHeight="true" outlineLevel="0" collapsed="false">
      <c r="A6" s="13" t="s">
        <v>35</v>
      </c>
      <c r="B6" s="13" t="s">
        <v>36</v>
      </c>
      <c r="C6" s="13" t="s">
        <v>37</v>
      </c>
      <c r="D6" s="13" t="s">
        <v>38</v>
      </c>
      <c r="E6" s="13" t="s">
        <v>39</v>
      </c>
      <c r="F6" s="13" t="s">
        <v>40</v>
      </c>
      <c r="G6" s="13" t="s">
        <v>1779</v>
      </c>
    </row>
    <row r="7" customFormat="false" ht="21.75" hidden="false" customHeight="true" outlineLevel="0" collapsed="false">
      <c r="A7" s="84" t="s">
        <v>1780</v>
      </c>
      <c r="B7" s="84"/>
      <c r="C7" s="84"/>
      <c r="D7" s="84"/>
      <c r="E7" s="84"/>
      <c r="F7" s="84"/>
      <c r="G7" s="84"/>
    </row>
    <row r="8" customFormat="false" ht="45" hidden="false" customHeight="true" outlineLevel="0" collapsed="false">
      <c r="A8" s="85" t="n">
        <v>1</v>
      </c>
      <c r="B8" s="86" t="s">
        <v>1781</v>
      </c>
      <c r="C8" s="85" t="s">
        <v>49</v>
      </c>
      <c r="D8" s="87" t="n">
        <v>1</v>
      </c>
      <c r="E8" s="87" t="n">
        <v>816000</v>
      </c>
      <c r="F8" s="88" t="n">
        <v>816000</v>
      </c>
      <c r="G8" s="89"/>
    </row>
    <row r="9" customFormat="false" ht="21.75" hidden="false" customHeight="true" outlineLevel="0" collapsed="false">
      <c r="A9" s="84" t="s">
        <v>54</v>
      </c>
      <c r="B9" s="84"/>
      <c r="C9" s="84"/>
      <c r="D9" s="84"/>
      <c r="E9" s="84"/>
      <c r="F9" s="84"/>
      <c r="G9" s="84"/>
    </row>
    <row r="10" customFormat="false" ht="96.75" hidden="false" customHeight="true" outlineLevel="0" collapsed="false">
      <c r="A10" s="85" t="n">
        <v>2</v>
      </c>
      <c r="B10" s="86" t="s">
        <v>1782</v>
      </c>
      <c r="C10" s="85" t="s">
        <v>49</v>
      </c>
      <c r="D10" s="87" t="n">
        <v>1</v>
      </c>
      <c r="E10" s="87" t="n">
        <v>102000</v>
      </c>
      <c r="F10" s="88" t="n">
        <v>102000</v>
      </c>
      <c r="G10" s="89"/>
    </row>
    <row r="11" customFormat="false" ht="21.75" hidden="false" customHeight="true" outlineLevel="0" collapsed="false">
      <c r="A11" s="84" t="s">
        <v>1783</v>
      </c>
      <c r="B11" s="84"/>
      <c r="C11" s="84"/>
      <c r="D11" s="84"/>
      <c r="E11" s="84"/>
      <c r="F11" s="84"/>
      <c r="G11" s="84"/>
    </row>
    <row r="12" customFormat="false" ht="70.5" hidden="false" customHeight="true" outlineLevel="0" collapsed="false">
      <c r="A12" s="85" t="n">
        <v>3</v>
      </c>
      <c r="B12" s="86" t="s">
        <v>1784</v>
      </c>
      <c r="C12" s="85" t="s">
        <v>49</v>
      </c>
      <c r="D12" s="87" t="n">
        <v>1</v>
      </c>
      <c r="E12" s="87" t="n">
        <v>18000</v>
      </c>
      <c r="F12" s="88" t="n">
        <v>18000</v>
      </c>
      <c r="G12" s="89"/>
    </row>
    <row r="13" customFormat="false" ht="258.75" hidden="false" customHeight="true" outlineLevel="0" collapsed="false">
      <c r="A13" s="85" t="n">
        <v>4</v>
      </c>
      <c r="B13" s="86" t="s">
        <v>1785</v>
      </c>
      <c r="C13" s="85" t="s">
        <v>49</v>
      </c>
      <c r="D13" s="87" t="n">
        <v>1</v>
      </c>
      <c r="E13" s="87" t="n">
        <v>31500</v>
      </c>
      <c r="F13" s="88" t="n">
        <v>31500</v>
      </c>
      <c r="G13" s="89"/>
    </row>
    <row r="14" customFormat="false" ht="14.25" hidden="false" customHeight="false" outlineLevel="0" collapsed="false">
      <c r="A14" s="84" t="s">
        <v>1786</v>
      </c>
      <c r="B14" s="84"/>
      <c r="C14" s="84"/>
      <c r="D14" s="84"/>
      <c r="E14" s="84"/>
      <c r="F14" s="84"/>
      <c r="G14" s="84"/>
    </row>
    <row r="15" customFormat="false" ht="72" hidden="false" customHeight="true" outlineLevel="0" collapsed="false">
      <c r="A15" s="85" t="n">
        <v>5</v>
      </c>
      <c r="B15" s="86" t="s">
        <v>1787</v>
      </c>
      <c r="C15" s="85" t="s">
        <v>1788</v>
      </c>
      <c r="D15" s="87" t="n">
        <v>1050</v>
      </c>
      <c r="E15" s="87" t="n">
        <v>6</v>
      </c>
      <c r="F15" s="88" t="n">
        <v>6300</v>
      </c>
      <c r="G15" s="89"/>
    </row>
    <row r="16" customFormat="false" ht="100.5" hidden="false" customHeight="true" outlineLevel="0" collapsed="false">
      <c r="A16" s="85" t="n">
        <v>6</v>
      </c>
      <c r="B16" s="86" t="s">
        <v>1789</v>
      </c>
      <c r="C16" s="85" t="s">
        <v>1790</v>
      </c>
      <c r="D16" s="87" t="n">
        <v>1050</v>
      </c>
      <c r="E16" s="87" t="n">
        <v>54</v>
      </c>
      <c r="F16" s="88" t="n">
        <v>56700</v>
      </c>
      <c r="G16" s="89"/>
    </row>
    <row r="17" customFormat="false" ht="144" hidden="false" customHeight="true" outlineLevel="0" collapsed="false">
      <c r="A17" s="85" t="n">
        <v>7</v>
      </c>
      <c r="B17" s="86" t="s">
        <v>1791</v>
      </c>
      <c r="C17" s="85" t="s">
        <v>1790</v>
      </c>
      <c r="D17" s="87" t="n">
        <v>1050</v>
      </c>
      <c r="E17" s="87" t="n">
        <v>60</v>
      </c>
      <c r="F17" s="88" t="n">
        <v>63000</v>
      </c>
      <c r="G17" s="89"/>
    </row>
    <row r="18" customFormat="false" ht="14.25" hidden="false" customHeight="false" outlineLevel="0" collapsed="false">
      <c r="A18" s="84" t="s">
        <v>1792</v>
      </c>
      <c r="B18" s="84"/>
      <c r="C18" s="84"/>
      <c r="D18" s="84"/>
      <c r="E18" s="84"/>
      <c r="F18" s="84"/>
      <c r="G18" s="84"/>
    </row>
    <row r="19" customFormat="false" ht="57" hidden="false" customHeight="true" outlineLevel="0" collapsed="false">
      <c r="A19" s="85" t="n">
        <v>8</v>
      </c>
      <c r="B19" s="86" t="s">
        <v>1793</v>
      </c>
      <c r="C19" s="85" t="s">
        <v>1788</v>
      </c>
      <c r="D19" s="87" t="n">
        <v>1050</v>
      </c>
      <c r="E19" s="87" t="n">
        <v>120</v>
      </c>
      <c r="F19" s="88" t="n">
        <v>126000</v>
      </c>
      <c r="G19" s="89"/>
    </row>
    <row r="20" customFormat="false" ht="186.75" hidden="false" customHeight="true" outlineLevel="0" collapsed="false">
      <c r="A20" s="85" t="n">
        <v>9</v>
      </c>
      <c r="B20" s="86" t="s">
        <v>1794</v>
      </c>
      <c r="C20" s="85" t="s">
        <v>1790</v>
      </c>
      <c r="D20" s="87" t="n">
        <v>435.3</v>
      </c>
      <c r="E20" s="87" t="n">
        <v>1920</v>
      </c>
      <c r="F20" s="88" t="n">
        <v>835776</v>
      </c>
      <c r="G20" s="89"/>
    </row>
    <row r="21" customFormat="false" ht="144" hidden="false" customHeight="true" outlineLevel="0" collapsed="false">
      <c r="A21" s="85" t="n">
        <v>10</v>
      </c>
      <c r="B21" s="86" t="s">
        <v>1795</v>
      </c>
      <c r="C21" s="85" t="s">
        <v>1788</v>
      </c>
      <c r="D21" s="87" t="n">
        <v>1050</v>
      </c>
      <c r="E21" s="87" t="n">
        <v>108</v>
      </c>
      <c r="F21" s="88" t="n">
        <v>113400</v>
      </c>
      <c r="G21" s="89"/>
    </row>
    <row r="22" customFormat="false" ht="28.5" hidden="false" customHeight="true" outlineLevel="0" collapsed="false">
      <c r="A22" s="85" t="n">
        <v>11</v>
      </c>
      <c r="B22" s="86" t="s">
        <v>1796</v>
      </c>
      <c r="C22" s="85" t="s">
        <v>1788</v>
      </c>
      <c r="D22" s="87" t="n">
        <v>1773.2</v>
      </c>
      <c r="E22" s="87" t="n">
        <v>120</v>
      </c>
      <c r="F22" s="88" t="n">
        <v>212784</v>
      </c>
      <c r="G22" s="89"/>
    </row>
    <row r="23" customFormat="false" ht="230.25" hidden="false" customHeight="true" outlineLevel="0" collapsed="false">
      <c r="A23" s="85" t="n">
        <v>12</v>
      </c>
      <c r="B23" s="86" t="s">
        <v>1797</v>
      </c>
      <c r="C23" s="85" t="s">
        <v>37</v>
      </c>
      <c r="D23" s="87" t="n">
        <v>3</v>
      </c>
      <c r="E23" s="87" t="n">
        <v>1890000</v>
      </c>
      <c r="F23" s="88" t="n">
        <v>5670000</v>
      </c>
      <c r="G23" s="89"/>
    </row>
    <row r="24" customFormat="false" ht="129" hidden="false" customHeight="true" outlineLevel="0" collapsed="false">
      <c r="A24" s="85" t="n">
        <v>13</v>
      </c>
      <c r="B24" s="86" t="s">
        <v>1798</v>
      </c>
      <c r="C24" s="85" t="s">
        <v>37</v>
      </c>
      <c r="D24" s="87" t="n">
        <v>3</v>
      </c>
      <c r="E24" s="87" t="n">
        <v>204000</v>
      </c>
      <c r="F24" s="88" t="n">
        <v>612000</v>
      </c>
      <c r="G24" s="89"/>
    </row>
    <row r="25" customFormat="false" ht="115.5" hidden="false" customHeight="true" outlineLevel="0" collapsed="false">
      <c r="A25" s="85" t="n">
        <v>14</v>
      </c>
      <c r="B25" s="86" t="s">
        <v>1799</v>
      </c>
      <c r="C25" s="85" t="s">
        <v>49</v>
      </c>
      <c r="D25" s="87" t="n">
        <v>1</v>
      </c>
      <c r="E25" s="87" t="n">
        <v>486000</v>
      </c>
      <c r="F25" s="88" t="n">
        <v>486000</v>
      </c>
      <c r="G25" s="89"/>
    </row>
    <row r="26" customFormat="false" ht="15" hidden="false" customHeight="true" outlineLevel="0" collapsed="false">
      <c r="A26" s="90"/>
      <c r="B26" s="91" t="s">
        <v>1800</v>
      </c>
      <c r="C26" s="90"/>
      <c r="D26" s="90"/>
      <c r="E26" s="90"/>
      <c r="F26" s="92" t="n">
        <f aca="false">SUM(F8:F25)</f>
        <v>9149460</v>
      </c>
      <c r="G26" s="90"/>
    </row>
    <row r="27" customFormat="false" ht="36" hidden="false" customHeight="true" outlineLevel="0" collapsed="false">
      <c r="B27" s="93"/>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1801</v>
      </c>
    </row>
    <row r="2" customFormat="false" ht="15" hidden="false" customHeight="true" outlineLevel="0" collapsed="false">
      <c r="A2" s="94" t="s">
        <v>44</v>
      </c>
      <c r="C2" s="94" t="s">
        <v>1802</v>
      </c>
      <c r="E2" s="94" t="s">
        <v>1803</v>
      </c>
      <c r="G2" s="94" t="s">
        <v>1804</v>
      </c>
      <c r="I2" s="94" t="s">
        <v>1805</v>
      </c>
      <c r="K2" s="94" t="s">
        <v>1806</v>
      </c>
    </row>
    <row r="3" customFormat="false" ht="15" hidden="false" customHeight="true" outlineLevel="0" collapsed="false">
      <c r="A3" s="95" t="s">
        <v>1807</v>
      </c>
      <c r="C3" s="95" t="s">
        <v>1808</v>
      </c>
      <c r="E3" s="95" t="s">
        <v>1809</v>
      </c>
      <c r="G3" s="95" t="s">
        <v>1810</v>
      </c>
      <c r="I3" s="95" t="s">
        <v>1811</v>
      </c>
      <c r="K3" s="95" t="s">
        <v>1812</v>
      </c>
    </row>
    <row r="4" customFormat="false" ht="15" hidden="false" customHeight="true" outlineLevel="0" collapsed="false">
      <c r="A4" s="95" t="s">
        <v>1813</v>
      </c>
      <c r="C4" s="95" t="s">
        <v>1814</v>
      </c>
      <c r="E4" s="95" t="s">
        <v>1815</v>
      </c>
      <c r="G4" s="95" t="s">
        <v>1816</v>
      </c>
      <c r="I4" s="95" t="s">
        <v>1817</v>
      </c>
      <c r="K4" s="95" t="s">
        <v>1818</v>
      </c>
    </row>
    <row r="5" customFormat="false" ht="15" hidden="false" customHeight="true" outlineLevel="0" collapsed="false">
      <c r="A5" s="95" t="s">
        <v>1819</v>
      </c>
      <c r="C5" s="95" t="s">
        <v>1820</v>
      </c>
      <c r="E5" s="95" t="s">
        <v>1821</v>
      </c>
      <c r="G5" s="95" t="s">
        <v>1822</v>
      </c>
      <c r="I5" s="95" t="s">
        <v>1823</v>
      </c>
      <c r="K5" s="95" t="s">
        <v>1824</v>
      </c>
    </row>
    <row r="6" customFormat="false" ht="15" hidden="false" customHeight="true" outlineLevel="0" collapsed="false">
      <c r="A6" s="95" t="s">
        <v>1817</v>
      </c>
      <c r="C6" s="95" t="s">
        <v>52</v>
      </c>
      <c r="E6" s="95" t="s">
        <v>1825</v>
      </c>
      <c r="G6" s="95" t="s">
        <v>1826</v>
      </c>
      <c r="I6" s="95" t="s">
        <v>1827</v>
      </c>
      <c r="K6" s="95" t="s">
        <v>1828</v>
      </c>
    </row>
    <row r="7" customFormat="false" ht="15" hidden="false" customHeight="true" outlineLevel="0" collapsed="false">
      <c r="A7" s="95" t="s">
        <v>53</v>
      </c>
      <c r="C7" s="95" t="s">
        <v>63</v>
      </c>
      <c r="E7" s="95" t="s">
        <v>1829</v>
      </c>
      <c r="G7" s="95" t="s">
        <v>1830</v>
      </c>
      <c r="I7" s="95" t="s">
        <v>1831</v>
      </c>
      <c r="K7" s="95" t="s">
        <v>1832</v>
      </c>
    </row>
    <row r="8" customFormat="false" ht="15" hidden="false" customHeight="true" outlineLevel="0" collapsed="false">
      <c r="A8" s="95" t="s">
        <v>1833</v>
      </c>
      <c r="C8" s="95" t="s">
        <v>1834</v>
      </c>
      <c r="G8" s="95" t="s">
        <v>1835</v>
      </c>
      <c r="I8" s="95" t="s">
        <v>1836</v>
      </c>
      <c r="K8" s="95" t="s">
        <v>1837</v>
      </c>
    </row>
    <row r="9" customFormat="false" ht="15" hidden="false" customHeight="true" outlineLevel="0" collapsed="false">
      <c r="A9" s="95" t="s">
        <v>1838</v>
      </c>
      <c r="C9" s="95" t="s">
        <v>1839</v>
      </c>
      <c r="G9" s="95" t="s">
        <v>1840</v>
      </c>
      <c r="K9" s="95" t="s">
        <v>1841</v>
      </c>
    </row>
    <row r="10" customFormat="false" ht="15" hidden="false" customHeight="true" outlineLevel="0" collapsed="false">
      <c r="A10" s="95" t="s">
        <v>1842</v>
      </c>
      <c r="C10" s="95" t="s">
        <v>1843</v>
      </c>
      <c r="G10" s="95" t="s">
        <v>1844</v>
      </c>
      <c r="K10" s="95" t="s">
        <v>1845</v>
      </c>
    </row>
    <row r="11" customFormat="false" ht="15" hidden="false" customHeight="true" outlineLevel="0" collapsed="false">
      <c r="A11" s="95" t="s">
        <v>1846</v>
      </c>
      <c r="C11" s="95" t="s">
        <v>1847</v>
      </c>
      <c r="G11" s="95" t="s">
        <v>1848</v>
      </c>
    </row>
    <row r="12" customFormat="false" ht="15" hidden="false" customHeight="true" outlineLevel="0" collapsed="false">
      <c r="A12" s="95" t="s">
        <v>1849</v>
      </c>
      <c r="G12" s="95" t="s">
        <v>56</v>
      </c>
    </row>
    <row r="13" customFormat="false" ht="14.25" hidden="false" customHeight="false" outlineLevel="0" collapsed="false">
      <c r="A13" s="96" t="s">
        <v>1850</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2026-09-30T10:44:37Z</dcterms:created>
  <dcterms:modified xsi:type="dcterms:W3CDTF">2026-09-30T10:44:37Z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
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Superseded Proposal (Ref)" sheetId="8" state="visible" r:id="rId10"/>
    <sheet name="Data" sheetId="9" state="hidden" r:id="rId11"/>
  </sheets>
  <definedNames>
    <definedName function="false" hidden="false" localSheetId="2" name="_xlnm.Print_Area" vbProcedure="false">'Appendix Cover'!$A$1:$I$54</definedName>
    <definedName function="false" hidden="false" localSheetId="1" name="_xlnm.Print_Area" vbProcedure="false">Cover!$A$1:$I$54</definedName>
    <definedName function="false" hidden="false" localSheetId="7" name="_xlnm.Print_Titles" vbProcedure="false">'Superseded Proposal (Ref)'!$1:$6</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<sst xmlns="http://schemas.openxmlformats.org/spreadsheetml/2006/main" count="1636" uniqueCount="1106">
  <si>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</si>
  <si>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</si>
  <si>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</si>
  <si>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</si>
  <si>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</si>
  <si>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</si>
  <si>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</si>
  <si>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</si>
  <si>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</si>
  <si>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</si>
  <si>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</si>
  <si>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</si>
  <si>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</si>
  <si>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</si>
  <si>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</si>
  <si>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</si>
  <si>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</si>
  <si>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</si>
  <si>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</si>
  <si>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</si>
  <si>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</si>
  <si>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</si>
  <si>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</si>
  <si>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</si>
  <si>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</si>
  <si>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</si>
  <si>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</si>
  <si>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</si>
  <si>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</si>
  <si>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</si>
  <si>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</si>
  <si>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</si>
  <si>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CONTRACTOR'S PROPOSAL - SAMACO-RRFP-000001, 13-AUG-2026, AS SUBMITTED</t>
  </si>
  <si>
    <t xml:space="preserve">ASSESSMENT</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</si>
  <si>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</si>
  <si>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</si>
  <si>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</si>
  <si>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</si>
  <si>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</si>
  <si>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</si>
  <si>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</si>
  <si>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</si>
  <si>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Assessment</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</si>
  <si>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</si>
  <si>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</si>
  <si>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</si>
  <si>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</si>
  <si>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</si>
  <si>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</si>
  <si>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</si>
  <si>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</si>
  <si>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Separate site establishment: the tank site is in the lower plateau, outside the D-18 boundary, so site staff, welfare, water, security, insurance endorsement, mobilisation, demobilisation and close-out are assessed for the site period derived from the Contractor's programme of 29-Sep-2026 ('Programme' tab, D1): mobilisation on 22-Aug-2026 to the end of demobilisation, the end being set by the external readiness milestone of 03-Dec-2026 and the tie-in, sequential testing, commissioning and demobilisation that follow, not by the Contractor's staged deliveries. Design resources are shared with the main Contract. See 'Build-Up' Item 1, 'Programme' Sections 3 and 4 and 'Build-Up Comparison' Section 3.</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</si>
  <si>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</si>
  <si>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</si>
  <si>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</si>
  <si>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</si>
  <si>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</si>
  <si>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</si>
  <si>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</si>
  <si>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</si>
  <si>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</si>
  <si>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</si>
  <si>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Lowest of the Contractor's three quotations, adopted for dismantling, segregation and loading only. Quotation lapsed; scope split not yet confirmed in writing. See 'Build-Up' Item 3.</t>
  </si>
  <si>
    <t xml:space="preserve">Market Tested</t>
  </si>
  <si>
    <t xml:space="preserve">Provisional - scope confirmation</t>
  </si>
  <si>
    <t xml:space="preserve">Removal and Disposal of Damaged TSE Tank to Approved Landfill</t>
  </si>
  <si>
    <t xml:space="preserve">Haulage only. The Engineer's (KEO) email of 30-Aug-2026: materials are handed to the Employer locally, so no disposal or tipping applies.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</si>
  <si>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</si>
  <si>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</si>
  <si>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Plant, access, power and supplier attendance that the tank quotation excludes. Power for the whole site period; plant, attendance labour, access equipment and lighting for the erection windows on an efficient-working reading of the Contractor's programme, in which Tank 1 takes the durations programmed for the identical work on Tank 2 - the submitted programme stretches Tank 1 to match staged deliveries, which is the Contractor's risk. No plant schedule has been submitted. See 'Build-Up' Item 5, 'Programme' Sections 3 and 4 and 'Build-Up Comparison'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</si>
  <si>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</si>
  <si>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</si>
  <si>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</si>
  <si>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</si>
  <si>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The Contractor's adopted lowest quotation at net supplier cost, before the 5 per cent Overhead and Profit. It prices an insulated tank; the Engineer's (KEO) email of 30-Aug-2026 is that insulation is not required, so a lower price is expected. Quotation lapsed 08-Aug-2026; base panels not confirmed. See 'Build-Up' Item 6.</t>
  </si>
  <si>
    <t xml:space="preserve">Provisional - quotation and specification</t>
  </si>
  <si>
    <t xml:space="preserve">Testing, Commissioning, Hydrostatic/Leak Testing, System Integration and Handover</t>
  </si>
  <si>
    <t xml:space="preserve">One tank filled and the water re-used for the second, per the Engineer's (KEO) email of 30-Aug-2026; the Contractor's programme tests both tanks in parallel, which is shown beside this basis on the 'Programme' tab and not carried; the sequential test is fitted to the programme there, with Tank 1 tested early on a conditional method assumption and integrated commissioning after both tanks have passed and the tie-in is complete. A third-party factory acceptance test the Contractor is arranging is carried at nil (line 7.23) pending evidence that the Engineer requires it. Excludes the supplier's leak-test supervision (Item 6) and re-testing, which is the Contractor's obligation. Water source to be confirmed. See 'Build-Up' Item 7.</t>
  </si>
  <si>
    <t xml:space="preserve">Provisional - water source and testing basis</t>
  </si>
  <si>
    <t xml:space="preserve">Supply, Fabrication and Installation of all Required TSE Tank Inlet/Outlet Piping, Instrumentation Connections, Supports and Accessories</t>
  </si>
  <si>
    <t xml:space="preserve">Provisional allowance priced to the RFP specification (GRP or ductile iron above DN150, uPVC below, butterfly isolation valves). The Contractor's procurement tracker of 29-Sep-2026 shows HDPE main-line pipe, a gate valve and a motorised butterfly valve being procured; the substitutions are not approved and are shown for information after line 8.21. No quantities exist: the pipework shop drawings were returned Code C and no take-off has been received. See 'Build-Up' Item 8.</t>
  </si>
  <si>
    <t xml:space="preserve">Provisional - take-off pending</t>
  </si>
  <si>
    <t xml:space="preserve">SUBTOTAL (SAR), VAT excluded</t>
  </si>
  <si>
    <t xml:space="preserve">Overhead and Profit, 5 per cent</t>
  </si>
  <si>
    <t xml:space="preserve">5 per cent as the Contractor's submission, within the Bill of Quantities Preamble cap. Covers head-office overheads (management, administration, finance, procurement) and profit only. Site staff, welfare, plant, power, water, security, insurance endorsement and close-out are priced in the items, whether one site or two.</t>
  </si>
  <si>
    <t xml:space="preserve">TOTAL (SAR), VAT excluded</t>
  </si>
  <si>
    <t xml:space="preserve">Contractor columns are as submitted and unchanged. Assessed rates in column J are calculated on the 'Build-Up' tab; quantities are those submitted. Status 'Provisional' marks an item that depends on a confirmation still outstanding; the list is on the 'Build-Up Comparison' tab, Section 7. The Contractor's programme of 29-Sep-2026 is under the Engineer's approval and is not an agreed basis; the Contractor has been instructed and is on site, the instruction reference not having been supplied to the Cost Consultant.</t>
  </si>
  <si>
    <t xml:space="preserve">This assessment is preliminary. It establishes a reasonable commercial provision on the information available at 30-Sep-2026 and does not constitute agreement of the final Variation value.</t>
  </si>
  <si>
    <t xml:space="preserve">ASSESSED RATE BUILD-UPS</t>
  </si>
  <si>
    <t xml:space="preserve">How to read this tab: each item on the 'Assessment' tab whose rate is assessed rather than quoted is built up here as quantity x rate, with its basis beside it. Item totals carry to column J of the 'Assessment' tab. Quantities shown in column D as links to the 'Programme' tab are derived from the Contractor's programme of 29-Sep-2026 on the basis carried there (Basis B); the same lines on the programme exactly as submitted (Basis A) are on the 'Programme' tab, Section 4. Rates marked 'assumption' are working assumptions pending the Contractor's substantiation. All amounts exclude VAT.</t>
  </si>
  <si>
    <t xml:space="preserve">ITEM 1 - SITE MOBILISATION, TEMPORARY FACILITIES AND WELFARE</t>
  </si>
  <si>
    <t xml:space="preserve">The tank site is in the lower plateau, outside the D-18 site boundary. Site management, welfare, water, security, insurance cover and close-out are therefore assessed as a separate establishment. Periods are taken from the Contractor's programme of 29-Sep-2026 ('Programme' tab, Section 3): site staff, transport and facilities for the site period D1, mobilisation to the end of demobilisation, with the post-demobilisation completion inspection priced at 1.22 and 1.23. The programme is under the Engineer's approval and is not an agreed basis; the end of the site period is set by the external readiness milestone of 03-Dec-2026 and the tie-in, sequential testing, commissioning and demobilisation that follow, not by the Contractor's staged deliveries. Design and engineering resources are shared with the main Contract (Item 2). Power is in Item 5. The tank supplier's price includes the installer's own mobilisation; the foundations and steel base frames are existing.</t>
  </si>
  <si>
    <t xml:space="preserve">Ref</t>
  </si>
  <si>
    <t xml:space="preserve">Basis</t>
  </si>
  <si>
    <t xml:space="preserve">1.1</t>
  </si>
  <si>
    <t xml:space="preserve">Site engineer - dedicated to the tank site</t>
  </si>
  <si>
    <t xml:space="preserve">month</t>
  </si>
  <si>
    <t xml:space="preserve">Separate site; full-time for the site period D1 on the 'Programme' tab, Section 3 (activity QCD18TSEMOB1240, 22-Aug-2026, to the end of demobilisation, activity QCD18TSEDMOB1020). Assessed market rate, Riyadh, Sep-2026 - assumption pending the Contractor's substantiation</t>
  </si>
  <si>
    <t xml:space="preserve">1.2</t>
  </si>
  <si>
    <t xml:space="preserve">HSE officer - dedicated</t>
  </si>
  <si>
    <t xml:space="preserve">Site period D1 on the 'Programme' tab, Section 3, covering the demobilisation week. Assessed market rate, Riyadh, Sep-2026 - assumption pending the Contractor's substantiation</t>
  </si>
  <si>
    <t xml:space="preserve">1.3</t>
  </si>
  <si>
    <t xml:space="preserve">QA/QC inspector - dedicated (daily inspections, ITPs and WIRs during erection)</t>
  </si>
  <si>
    <t xml:space="preserve">Separate site; full-time for the site period D1 on the 'Programme' tab, Section 3; witnesses the hydrostatic tests. Assessed market rate, Riyadh, Sep-2026 - assumption pending the Contractor's substantiation</t>
  </si>
  <si>
    <t xml:space="preserve">1.4</t>
  </si>
  <si>
    <t xml:space="preserve">Works foreman - dedicated</t>
  </si>
  <si>
    <t xml:space="preserve">1.5</t>
  </si>
  <si>
    <t xml:space="preserve">Storekeeper / timekeeper</t>
  </si>
  <si>
    <t xml:space="preserve">Separate site; materials receipt and attendance records for the site period D1 on the 'Programme' tab, Section 3. Assessed market rate, Riyadh, Sep-2026 - assumption pending the Contractor's substantiation</t>
  </si>
  <si>
    <t xml:space="preserve">1.6</t>
  </si>
  <si>
    <t xml:space="preserve">Site office porta cabin, air-conditioned, rental with electricity connection and maintenance</t>
  </si>
  <si>
    <t xml:space="preserve">Site period D1 on the 'Programme' tab, Section 3 (activity QCD18TSEMOB1250, 22-Aug-2026, to activity QCD18TSEDMOB1020, 24-Dec-2026). Assessed market rate, Riyadh, Sep-2026 - assumption pending the Contractor's substantiation</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</si>
  <si>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</si>
  <si>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</si>
  <si>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</si>
  <si>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</si>
  <si>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</si>
  <si>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</si>
  <si>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</si>
  <si>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Two 10 m3 deliveries a week for the weeks of the site period D1 on the 'Programme' tab, Section 3; no mains water at the tank site. Assessed market rate, Riyadh, Sep-2026 - assumption pending the Contractor's substantiation</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</si>
  <si>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</si>
  <si>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</si>
  <si>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</si>
  <si>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</si>
  <si>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</si>
  <si>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2 No. containers for the storage window D7 on the 'Programme' tab, Section 3 (efficient sequence, Tank 1 base start to Tank 2 roof finish). Assessed market rate, Riyadh, Sep-2026 - assumption pending the Contractor's substantiation</t>
  </si>
  <si>
    <t xml:space="preserve">1.12</t>
  </si>
  <si>
    <t xml:space="preserve">Workforce transport to the tank site, daily bus</t>
  </si>
  <si>
    <t xml:space="preserve">Separate site outside the D-18 boundary; site period D1 on the 'Programme' tab, Section 3. Assessed market rate, Riyadh, Sep-2026 - assumption pending the Contractor's substantiation</t>
  </si>
  <si>
    <t xml:space="preserve">1.13</t>
  </si>
  <si>
    <t xml:space="preserve">Watchman for the tank site</t>
  </si>
  <si>
    <t xml:space="preserve">Site period D1 on the 'Programme' tab, Section 3. Included pending confirmation whether the Employer's security covers the lower plateau; delete if it does. Assessed market rate, Riyadh, Sep-2026 - assumption pending the Contractor's substantiation</t>
  </si>
  <si>
    <t xml:space="preserve">1.14</t>
  </si>
  <si>
    <t xml:space="preserve">Mobilisation - flatbed trips delivering cabins, containers and small plant</t>
  </si>
  <si>
    <t xml:space="preserve">trip</t>
  </si>
  <si>
    <t xml:space="preserve">5 trips retained: the programme gives no trip count (activity QCD18TSEMOB1240, mobilisation, 5 working days). Assessed market rate, Riyadh, Sep-2026 - assumption pending the Contractor's substantiation</t>
  </si>
  <si>
    <t xml:space="preserve">1.15</t>
  </si>
  <si>
    <t xml:space="preserve">Demobilisation - flatbed trips removing cabins, containers and small plant</t>
  </si>
  <si>
    <t xml:space="preserve">5 trips retained: the programme gives no trip count (activity QCD18TSEDMOB1020, demobilisation, 7 working days). Assessed market rate, Riyadh, Sep-2026 - assumption pending the Contractor's substantiation</t>
  </si>
  <si>
    <t xml:space="preserve">1.16</t>
  </si>
  <si>
    <t xml:space="preserve">Site clean-up on demobilisation, 4 No. x 3 days</t>
  </si>
  <si>
    <t xml:space="preserve">man-day</t>
  </si>
  <si>
    <t xml:space="preserve">Assessed market rate, Riyadh, Sep-2026 - assumption pending the Contractor's substantiation</t>
  </si>
  <si>
    <t xml:space="preserve">1.17</t>
  </si>
  <si>
    <t xml:space="preserve">Insurance endorsement - extension of the Contractor's All Risks and third-party liability cover to the tank site</t>
  </si>
  <si>
    <t xml:space="preserve">item</t>
  </si>
  <si>
    <t xml:space="preserve">The Contract insurances cover the Site as defined; the tank site is outside it. Assumed at 0.2 per cent of the works value - the insurer's endorsement premium is to be substantiated by the Contractor</t>
  </si>
  <si>
    <t xml:space="preserve">1.18</t>
  </si>
  <si>
    <t xml:space="preserve">Personal protective equipment, full sets</t>
  </si>
  <si>
    <t xml:space="preserve">Assumed peak workforce of 15 (dismantling crew, supplier-attendance helpers, supervision). Assessed market rate, Riyadh, Sep-2026 - assumption pending the Contractor's substantiation</t>
  </si>
  <si>
    <t xml:space="preserve">1.19</t>
  </si>
  <si>
    <t xml:space="preserve">Site safety signage and notice boards</t>
  </si>
  <si>
    <t xml:space="preserve">HSE signage at the work area, distinct from the traffic signs at 1.20. Assessed market rate, Riyadh, Sep-2026 - assumption pending the Contractor's substantiation</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</si>
  <si>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</si>
  <si>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</si>
  <si>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</si>
  <si>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</si>
  <si>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</si>
  <si>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</si>
  <si>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Hire basis.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</si>
  <si>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</si>
  <si>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</si>
  <si>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</si>
  <si>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3 days after demobilisation: the Engineer's completion inspection, the correction list and the warranties collation. Reduced from 8 days because the site engineer's monthly period at 1.1 now runs to the end of demobilisation and the programmed close-out activity (QCD18TSEDMOB3020, 17 to 24-Dec-2026) falls inside it. Test records, ITP/WIR close-out and as-built drawings are in Item 7 (7.20 and 7.21), not here. Assessed market rate, Riyadh, Sep-2026 - assumption pending the Contractor's substantiation</t>
  </si>
  <si>
    <t xml:space="preserve">1.23</t>
  </si>
  <si>
    <t xml:space="preserve">Close-out at the tank site - document controller</t>
  </si>
  <si>
    <t xml:space="preserve">TOTAL ITEM 1 - carried to 'Assessment'!J8</t>
  </si>
  <si>
    <t xml:space="preserve">ITEM 2 - DESIGN AND ENGINEERING</t>
  </si>
  <si>
    <t xml:space="preserve">Tank structural design sits with the supplier (Stalwart technical offer SS-07-26-1516 dated 03-Aug-2026). All documentation is issued electronically via Aconex; no printing is included.</t>
  </si>
  <si>
    <t xml:space="preserve">2.1</t>
  </si>
  <si>
    <t xml:space="preserve">Design engineer - coordination, review of supplier calculations, method statements, ITPs</t>
  </si>
  <si>
    <t xml:space="preserve">2 months retained: the programme shows shop drawings 07 to 25-Aug-2026 (activities QCD18TSEENG1240 and 1250) with resubmissions to 29-Sep-2026 and the pipework shop drawings still in preparation, consistent with the period assessed. Assessed market rate, Riyadh, Sep-2026 - assumption pending the Contractor's substantiation</t>
  </si>
  <si>
    <t xml:space="preserve">2.2</t>
  </si>
  <si>
    <t xml:space="preserve">CAD draughtsman - shop drawings and design-stage submittals</t>
  </si>
  <si>
    <t xml:space="preserve">1.5 months retained on the same programme evidence as 2.1. As-built drawings at close-out are line 7.21. Assessed market rate, Riyadh, Sep-2026 - assumption pending the Contractor's substantiation</t>
  </si>
  <si>
    <t xml:space="preserve">2.3</t>
  </si>
  <si>
    <t xml:space="preserve">Dimensional and verticality survey of the erected tanks and as-built pick-up - 2-man crew with instrument</t>
  </si>
  <si>
    <t xml:space="preserve">crew-day</t>
  </si>
  <si>
    <t xml:space="preserve">RFP Scope of Works, work package 3 (bracing and structural integrity) and section 5.3 (documentation and handover). Not setting out: the steel base frames are already installed on concrete supports (site photograph, Aug-2026). Assessed market rate, Riyadh, Sep-2026 - assumption pending the Contractor's substantiation</t>
  </si>
  <si>
    <t xml:space="preserve">2.4</t>
  </si>
  <si>
    <t xml:space="preserve">Submittal administration - document controller</t>
  </si>
  <si>
    <t xml:space="preserve">TOTAL ITEM 2 - carried to 'Assessment'!J10</t>
  </si>
  <si>
    <t xml:space="preserve">ITEM 3 - SAFE DISMANTLING OF DAMAGED TSE TANK-1</t>
  </si>
  <si>
    <t xml:space="preserve">The Contractor's lowest supplier quotation is adopted for dismantling, segregation and loading only. Haulage and handover of the materials are Item 4. The first-principles check below supports the amount; it is not carried to the assessment.</t>
  </si>
  <si>
    <t xml:space="preserve">3.1</t>
  </si>
  <si>
    <t xml:space="preserve">Adopted: Al Mousa Trading Co. quotation S04647 dated 10-Aug-2026 - existing tank dismantling, 1 No.</t>
  </si>
  <si>
    <t xml:space="preserve">Lowest of three: PIPECO Q3363-R2 dated 06-Aug-2026 SAR 90,000; Professional Bayan PB/Q/0086/2026 dated 12-Aug-2026 SAR 80,000. Quotation validity has lapsed; written confirmation that it excludes haulage and disposal is outstanding.</t>
  </si>
  <si>
    <t xml:space="preserve">TOTAL ITEM 3 - carried to 'Assessment'!J12</t>
  </si>
  <si>
    <t xml:space="preserve">First-principles check - information only, not carried to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</si>
  <si>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</si>
  <si>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</si>
  <si>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</si>
  <si>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</si>
  <si>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</si>
  <si>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</si>
  <si>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</si>
  <si>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</si>
  <si>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</si>
  <si>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</si>
  <si>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</si>
  <si>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</si>
  <si>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</si>
  <si>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</si>
  <si>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</si>
  <si>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</si>
  <si>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</si>
  <si>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</si>
  <si>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</si>
  <si>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</si>
  <si>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</si>
  <si>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</si>
  <si>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</si>
  <si>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</si>
  <si>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</si>
  <si>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</si>
  <si>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</si>
  <si>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</si>
  <si>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</si>
  <si>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</si>
  <si>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</si>
  <si>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</si>
  <si>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</si>
  <si>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No disposal or tipping charge therefore applies.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</si>
  <si>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</si>
  <si>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</si>
  <si>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</si>
  <si>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14 loads: bulked debris of one 34 m x 30 m x 4 m tank is about 150-250 m3 loose, i.e. 10-14 loads of a 30 m3 truck. Local haulage SAR 450/load - assumption, to be confirmed with the handover location</t>
  </si>
  <si>
    <t xml:space="preserve">TOTAL ITEM 4 - carried to 'Assessment'!J13</t>
  </si>
  <si>
    <t xml:space="preserve">ITEM 5 - TEMPORARY WORKS, CONSTRUCTION EQUIPMENT AND SITE SUPPORT</t>
  </si>
  <si>
    <t xml:space="preserve">Covers what the tank supplier's offer (Stalwart technical offer SS-07-26-1516 dated 03-Aug-2026) requires the Contractor to provide free of cost: offloading and hoisting, scaffolding, storage and handling, power, and 4-6 helpers; plus general site support. Boundary: Item 1 is management, welfare and mobilisation; Item 5 is execution plant, access, power and supplier attendance. Plant, attendance and access periods are taken from the erection windows on the 'Programme' tab on the efficient-working basis (Basis B): the submitted programme stretches the Tank 1 erection to match staged panel deliveries (base panels 20 working days against 6 for the identical work on Tank 2), and standby between deliveries is the Contractor's risk and is not included. One boom truck and one telehandler serve both adjacent tanks. Power: the works generator by day to completion of commissioning, the welfare generator continuously to the end of demobilisation. The Engineer's (KEO) email of 30-Aug-2026: suitable Site power is unlikely, so a generator is allowed; the Contractor's methodology uses forklifts, cranes and pallet jacks.</t>
  </si>
  <si>
    <t xml:space="preserve">5.1</t>
  </si>
  <si>
    <t xml:space="preserve">Boom truck (hiab) - offloading and erection support</t>
  </si>
  <si>
    <t xml:space="preserve">Panel-handling windows D4 and D5 on the 'Programme' tab, Section 3 (Basis B); the same windows on the programme as submitted give the Basis A days on that tab. The Contractor's methodology names forklifts, cranes and pallet jacks (Engineer's (KEO) email of 30-Aug-2026); no plant schedule has been submitted. Assessed market rate, Riyadh, Sep-2026 - assumption pending the Contractor's substantiation</t>
  </si>
  <si>
    <t xml:space="preserve">5.2</t>
  </si>
  <si>
    <t xml:space="preserve">Telehandler / forklift</t>
  </si>
  <si>
    <t xml:space="preserve">As 5.1. Assessed market rate, Riyadh, Sep-2026 - assumption pending the Contractor's substantiation</t>
  </si>
  <si>
    <t xml:space="preserve">5.3</t>
  </si>
  <si>
    <t xml:space="preserve">Perimeter scaffolding and edge protection - supply, erect, 3-month hire, dismantle</t>
  </si>
  <si>
    <t xml:space="preserve">m2</t>
  </si>
  <si>
    <t xml:space="preserve">2 tanks x 128 m perimeter x 4.0 m height; the rate includes a 3-month hire, which covers the access window D6 on the 'Programme' tab, Section 3 on either basis. Assessed market rate, Riyadh, Sep-2026 - assumption pending the Contractor's substantiation</t>
  </si>
  <si>
    <t xml:space="preserve">5.4</t>
  </si>
  <si>
    <t xml:space="preserve">Mobile aluminium access towers, 2 No. for the access window, whole hire months</t>
  </si>
  <si>
    <t xml:space="preserve">tower-month</t>
  </si>
  <si>
    <t xml:space="preserve">2 No. for the access window D6 on the 'Programme' tab, Section 3, rounded up to whole hire months. Assessed market rate, Riyadh, Sep-2026 - assumption pending the Contractor's substantiation</t>
  </si>
  <si>
    <t xml:space="preserve">5.5</t>
  </si>
  <si>
    <t xml:space="preserve">Access-tower relocations and re-inspections</t>
  </si>
  <si>
    <t xml:space="preserve">5.6</t>
  </si>
  <si>
    <t xml:space="preserve">Podium steps, 2 No. for the access window, whole hire months</t>
  </si>
  <si>
    <t xml:space="preserve">unit-month</t>
  </si>
  <si>
    <t xml:space="preserve">As 5.4. Assessed market rate, Riyadh, Sep-2026 - assumption pending the Contractor's substantiation</t>
  </si>
  <si>
    <t xml:space="preserve">5.7</t>
  </si>
  <si>
    <t xml:space="preserve">Generator 100 kVA for the works, daytime running with fuel</t>
  </si>
  <si>
    <t xml:space="preserve">Works period D2 on the 'Programme' tab, Section 3, to completion of commissioning. Power is excluded by both tank suppliers; no Site power expected at the tank site. Assessed market rate, Riyadh, Sep-2026 - assumption pending the Contractor's substantiation</t>
  </si>
  <si>
    <t xml:space="preserve">5.8</t>
  </si>
  <si>
    <t xml:space="preserve">Generator 30 kVA for the site office and welfare cabins, continuous running with fuel, whole period</t>
  </si>
  <si>
    <t xml:space="preserve">Site period D1 on the 'Programme' tab, Section 3; air conditioning and lighting run around the clock at a separate site. Assessed market rate, Riyadh, Sep-2026 - assumption pending the Contractor's substantiation</t>
  </si>
  <si>
    <t xml:space="preserve">5.9</t>
  </si>
  <si>
    <t xml:space="preserve">Site transport, pick-up / flatbed</t>
  </si>
  <si>
    <t xml:space="preserve">Site period D1 on the 'Programme' tab, Section 3. Assessed market rate, Riyadh, Sep-2026 - assumption pending the Contractor's substantiation</t>
  </si>
  <si>
    <t xml:space="preserve">5.10</t>
  </si>
  <si>
    <t xml:space="preserve">Attendance labour for the tank supplier - 5 No. helpers for the erection window</t>
  </si>
  <si>
    <t xml:space="preserve">man-month</t>
  </si>
  <si>
    <t xml:space="preserve">Supplier condition: 4-6 non-skilled labourers for material handling; erection window D3 on the 'Programme' tab, Section 3 (Basis B). The Contractor's histogram shows 85 helper man-weeks but does not say whether the supplier's own erection crews are included, so it is not adopted. Assessed market rate, Riyadh, Sep-2026 - assumption pending the Contractor's substantiation</t>
  </si>
  <si>
    <t xml:space="preserve">5.11</t>
  </si>
  <si>
    <t xml:space="preserve">Power-tool hire</t>
  </si>
  <si>
    <t xml:space="preserve">Erection window D3 on the 'Programme' tab, Section 3. Assessed market rate, Riyadh, Sep-2026 - assumption pending the Contractor's substantiation</t>
  </si>
  <si>
    <t xml:space="preserve">5.12</t>
  </si>
  <si>
    <t xml:space="preserve">Sealant-application tools and jointing consumables</t>
  </si>
  <si>
    <t xml:space="preserve">5.13</t>
  </si>
  <si>
    <t xml:space="preserve">Fixings, touch-up and miscellaneous consumables</t>
  </si>
  <si>
    <t xml:space="preserve">5.14</t>
  </si>
  <si>
    <t xml:space="preserve">Mobile lighting towers, 2 No. for the erection window</t>
  </si>
  <si>
    <t xml:space="preserve">2 No. for the erection window D3 on the 'Programme' tab, Section 3. Assessed market rate, Riyadh, Sep-2026 - assumption pending the Contractor's substantiation</t>
  </si>
  <si>
    <t xml:space="preserve">5.15</t>
  </si>
  <si>
    <t xml:space="preserve">Temporary distribution boards and cabling</t>
  </si>
  <si>
    <t xml:space="preserve">TOTAL ITEM 5 - carried to 'Assessment'!J14</t>
  </si>
  <si>
    <t xml:space="preserve">ITEM 6 - GRP SECTIONAL TANKS 4,080 m3 - SUPPLY AND INSTALLATION, 2 No.</t>
  </si>
  <si>
    <t xml:space="preserve">The Contractor's adopted lowest quotation is taken at net supplier cost; the 5 per cent Overhead and Profit is applied once on the 'Assessment' tab. The quotation is for an insulated tank. The Engineer's (KEO) email of 30-Aug-2026: thermal insulation is not required, so a lower non-insulated price is expected and has been requested. The rate below will change when it is received.</t>
  </si>
  <si>
    <t xml:space="preserve">6.1</t>
  </si>
  <si>
    <t xml:space="preserve">Adopted: Al Mousa Trading Co. quotation S04488 dated 09-Jul-2026 with Stalwart technical offer SS-07-26-1516 dated 03-Aug-2026 - sectional GRP tank 34 m x 30 m x 4.0 m, supplied and installed, rate per tank</t>
  </si>
  <si>
    <t xml:space="preserve">Lowest of three: PIPECO Q3363-R2 dated 06-Aug-2026 SAR 2,899,000/tank (insulated, 1 partition, 10-year warranty on manufacture and installation); Professional Bayan PB/Q/0086/2026 dated 12-Aug-2026 SAR 2,950,000/tank (ex-works supply only). Rate per gross m3: SAR 677 against PIPECO SAR 711. Quotation lapsed 08-Aug-2026; whether bottom/base panels are included is not confirmed.</t>
  </si>
  <si>
    <t xml:space="preserve">RATE PER TANK - carried to 'Assessment'!J16 (x 2 No.)</t>
  </si>
  <si>
    <t xml:space="preserve">ITEM 7 - TESTING, COMMISSIONING AND HANDOVER, BOTH TANKS</t>
  </si>
  <si>
    <t xml:space="preserve">The Engineer's (KEO) email of 30-Aug-2026: installation and testing will not be in parallel; one tank is filled and the water is re-used for the second by pumping across. This basis is carried. The Contractor's programme tests both tanks in parallel on 09 to 16-Dec-2026, which would need 7,548 m3 of water at once; that basis is shown beside this one on the 'Programme' tab, Section 4 (lines 7.1 to 7.5 and 7.22) and is not carried. The sequential test is fitted to the programme ('Programme' tab, P18 to P22): Tank 1 is tested before the tie-in, within its programme float, on the conditional assumption of an Engineer-approved method with the water retained in Tank 1; the water is transferred once Tank 1 has passed and Tank 2 is ready; component checks follow the tie-in; integrated commissioning follows the last of the tie-in, the Tank 2 test and the component checks. The Contractor arranges the water; the source is being checked by the Employer, so tankered supply is assumed. Excludes the leak-test supervision already in the supplier's price (Item 6) and any re-testing after an unsatisfactory test, which is the Contractor's obligation under RFP Scope of Works 5.1. External pipework testing is Item 8. Scope: RFP Scope of Works 5.1 to 5.3.</t>
  </si>
  <si>
    <t xml:space="preserve">7.1</t>
  </si>
  <si>
    <t xml:space="preserve">Test water - first tank fill to test level</t>
  </si>
  <si>
    <t xml:space="preserve">3,774 m3 effective at 3.7 m water level (RFP Scope of Works section 1); one fill, the water re-used for Tank 2. Tankered at SAR 6.00/m3 - assumption; falls away if a network fill is confirmed</t>
  </si>
  <si>
    <t xml:space="preserve">7.2</t>
  </si>
  <si>
    <t xml:space="preserve">Transfer pump hire - Tank 1 to Tank 2</t>
  </si>
  <si>
    <t xml:space="preserve">7 days: the 3-working-day transfer at P19 on the 'Programme' tab plus set-up, priming and the test hold; pump duty an assessed assumption pending the Contractor's method statement. Assessed market rate, Riyadh, Sep-2026 - assumption pending the Contractor's substantiation</t>
  </si>
  <si>
    <t xml:space="preserve">7.3</t>
  </si>
  <si>
    <t xml:space="preserve">Transfer hoses and fittings hire</t>
  </si>
  <si>
    <t xml:space="preserve">week</t>
  </si>
  <si>
    <t xml:space="preserve">7.4</t>
  </si>
  <si>
    <t xml:space="preserve">Transfer labour, 2 No. x 3 days</t>
  </si>
  <si>
    <t xml:space="preserve">2 No. x 3 days, the transfer window P19 on the 'Programme' tab. Assessed market rate, Riyadh, Sep-2026 - assumption pending the Contractor's substantiation</t>
  </si>
  <si>
    <t xml:space="preserve">7.5</t>
  </si>
  <si>
    <t xml:space="preserve">Top-up water for losses and test level</t>
  </si>
  <si>
    <t xml:space="preserve">10 per cent of one fill, covering losses while the water is retained in Tank 1 between its test and the transfer to Tank 2 - assumption</t>
  </si>
  <si>
    <t xml:space="preserve">7.6</t>
  </si>
  <si>
    <t xml:space="preserve">Disinfection chemicals, hypochlorite (AWWA C652)</t>
  </si>
  <si>
    <t xml:space="preserve">kg</t>
  </si>
  <si>
    <t xml:space="preserve">7.7</t>
  </si>
  <si>
    <t xml:space="preserve">Chlorine dosing equipment hire</t>
  </si>
  <si>
    <t xml:space="preserve">7.8</t>
  </si>
  <si>
    <t xml:space="preserve">Disinfection and flushing labour, 2 No. x 10 days</t>
  </si>
  <si>
    <t xml:space="preserve">7.9</t>
  </si>
  <si>
    <t xml:space="preserve">Dechlorination chemicals for discharge</t>
  </si>
  <si>
    <t xml:space="preserve">7.10</t>
  </si>
  <si>
    <t xml:space="preserve">Sampling, transport and handling</t>
  </si>
  <si>
    <t xml:space="preserve">7.11</t>
  </si>
  <si>
    <t xml:space="preserve">Third-party laboratory water-quality tests</t>
  </si>
  <si>
    <t xml:space="preserve">sample</t>
  </si>
  <si>
    <t xml:space="preserve">Excluded by both tank suppliers. Assessed market rate, Riyadh, Sep-2026 - assumption pending the Contractor's substantiation</t>
  </si>
  <si>
    <t xml:space="preserve">7.12</t>
  </si>
  <si>
    <t xml:space="preserve">Third-party inspection visits</t>
  </si>
  <si>
    <t xml:space="preserve">visit</t>
  </si>
  <si>
    <t xml:space="preserve">7.13</t>
  </si>
  <si>
    <t xml:space="preserve">Commissioning engineer</t>
  </si>
  <si>
    <t xml:space="preserve">Component checks and integrated commissioning (P21 and P21b on the 'Programme' tab) plus one day at each hydrostatic test hold; reduced from 15 days because the fills and holds are supervised by the QA/QC inspector (1.3) and the supplier (Item 6). Assessed market rate, Riyadh, Sep-2026 - assumption pending the Contractor's substantiation</t>
  </si>
  <si>
    <t xml:space="preserve">7.14</t>
  </si>
  <si>
    <t xml:space="preserve">MEP technicians - pump and network interfaces, 2 No. x 10 days (RFP Scope of Works, work package 9 - system integration)</t>
  </si>
  <si>
    <t xml:space="preserve">2 No. for the component checks and the integrated commissioning (P21 and P21b on the 'Programme' tab); reduced from 2 No. x 10 days. Assessed market rate, Riyadh, Sep-2026 - assumption pending the Contractor's substantiation</t>
  </si>
  <si>
    <t xml:space="preserve">7.15</t>
  </si>
  <si>
    <t xml:space="preserve">Electrician - instrument and readout connections</t>
  </si>
  <si>
    <t xml:space="preserve">7.16</t>
  </si>
  <si>
    <t xml:space="preserve">Integration coordination engineer - tie-ins with the Employer and Engineer</t>
  </si>
  <si>
    <t xml:space="preserve">Tie-in connections (P16 on the 'Programme' tab, 4 working days) plus one day of integrated commissioning. Assessed market rate, Riyadh, Sep-2026 - assumption pending the Contractor's substantiation</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</si>
  <si>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</si>
  <si>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</si>
  <si>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</si>
  <si>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</si>
  <si>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</si>
  <si>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</si>
  <si>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</si>
  <si>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</si>
  <si>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1 month retained: test records run from the first hydrostatic test to the close-out (P18 to P23 on the 'Programme' tab, about five weeks on either basis). Assessed market rate, Riyadh, Sep-2026 - assumption pending the Contractor's substantiation</t>
  </si>
  <si>
    <t xml:space="preserve">7.21</t>
  </si>
  <si>
    <t xml:space="preserve">As-built mark-ups at close-out - draughtsman, issued via Aconex</t>
  </si>
  <si>
    <t xml:space="preserve">7.22</t>
  </si>
  <si>
    <t xml:space="preserve">Tanker and pump standby during filling and test holds</t>
  </si>
  <si>
    <t xml:space="preserve">3 fill days and 1 hold day for Tank 1, 3 transfer days and 1 hold day for Tank 2 (P18 to P20 on the 'Programme' tab). Assessed market rate, Riyadh, Sep-2026 - assumption pending the Contractor's substantiation</t>
  </si>
  <si>
    <t xml:space="preserve">7.23</t>
  </si>
  <si>
    <t xml:space="preserve">Third-party factory acceptance test of the GRP panels - inspector days and travel to the factory</t>
  </si>
  <si>
    <t xml:space="preserve">Not assessed. The Contractor is arranging a third-party factory acceptance test (PQD, ITP, procedure and inspector CV submitted 26 to 28-Sep-2026 per its deliverables list of 29-Sep-2026). RFP-027 Scope of Works 5.3 requires hydrostatic factory test reports among the handover documents; that is the manufacturer's own test record, within the supplier's supply, and does not require a third-party inspector. The line is carried at nil until an Engineer's instruction or an approved ITP requiring third-party inspection is evidenced; the Contractor has not claimed it separately</t>
  </si>
  <si>
    <t xml:space="preserve">TOTAL ITEM 7 - both tanks</t>
  </si>
  <si>
    <t xml:space="preserve">Rate per tank - carried to 'Assessment'!J17</t>
  </si>
  <si>
    <t xml:space="preserve">ITEM 8 - PIPING, INSTRUMENTATION, SUPPORTS AND ACCESSORIES - PROVISIONAL ALLOWANCE</t>
  </si>
  <si>
    <t xml:space="preserve">External pipework, valves, fittings and instrumentation connecting the two tanks to the confirmed tie-in points (RFP Scope of Works, Piping Connections and General Piping Requirements); excluded from both tank suppliers' scopes. Priced to the RFP specification: uPVC Schedule 40 below DN150; GRP or ductile iron with internal lining above DN150; resilient-seated butterfly isolation valves, lever-operated up to DN200 and gearbox-operated above. The Contractor's procurement tracker of 29-Sep-2026 shows different materials being procured (HDPE main line, a gate valve and a motorised butterfly valve); those substitutions are not approved and are shown after line 8.21, not carried. No quantities exist: the pipework shop drawings were returned Code C and are being resubmitted, and no take-off has been received, so the quantities remain assessed from the RFP schematic and are provisional. Unit rates are supplied and installed, inclusive of labour.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</si>
  <si>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</si>
  <si>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</si>
  <si>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</si>
  <si>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Assessed run lengths for inlet, outlet and overflow of 2 tanks - take-off required. The Contractor is procuring HDPE pipe of 355 mm and 315 mm outside diameter (nominal size subject to the pipe standard and SDR and to the Engineer's confirmation): see the alternative after line 8.21. Assessed market rate, Riyadh, Sep-2026 - assumption pending the Contractor's substantiation</t>
  </si>
  <si>
    <t xml:space="preserve">8.2</t>
  </si>
  <si>
    <t xml:space="preserve">Small-bore pipework below DN150 - uPVC Schedule 40, supplied and installed</t>
  </si>
  <si>
    <t xml:space="preserve">Assessed - take-off required.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Assessed market rate, Riyadh, Sep-2026 - assumption pending the Contractor's substantiation</t>
  </si>
  <si>
    <t xml:space="preserve">8.3</t>
  </si>
  <si>
    <t xml:space="preserve">Resilient-seated butterfly isolation valves DN150-DN300, lever-operated up to DN200 and gearbox-operated above, installed</t>
  </si>
  <si>
    <t xml:space="preserve">Assessed count - take-off required; the procurement tracker lists 2 valves (a gate valve DN300 and a motorised butterfly valve DN355), neither to the specified type or operation - see the alternative after line 8.21. Assessed market rate, Riyadh, Sep-2026 - assumption pending the Contractor's substantiation</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</si>
  <si>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</si>
  <si>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</si>
  <si>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</si>
  <si>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</si>
  <si>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</si>
  <si>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</si>
  <si>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</si>
  <si>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</si>
  <si>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</si>
  <si>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</si>
  <si>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</si>
  <si>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</si>
  <si>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</si>
  <si>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</si>
  <si>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</si>
  <si>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Excluded from the tank supplier scope; the programme shows level transmitters installed on both tanks (activities QCD18TSECONT1MW2060 and QCD18TSECONT2MW2040). Assessed market rate, Riyadh, Sep-2026 - assumption pending the Contractor's substantiation</t>
  </si>
  <si>
    <t xml:space="preserve">8.11</t>
  </si>
  <si>
    <t xml:space="preserve">Instrument cabling and conduit to readout points</t>
  </si>
  <si>
    <t xml:space="preserve">Assessed run length - take-off required. Assessed market rate, Riyadh, Sep-2026 - assumption pending the Contractor's substantiation</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</si>
  <si>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</si>
  <si>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</si>
  <si>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</si>
  <si>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</si>
  <si>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</si>
  <si>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</si>
  <si>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Tie-in connections with the existing pump room after the readiness milestone of 03-Dec-2026 (activity QCD18TSECONTC2040, 4 working days). Assessed market rate, Riyadh, Sep-2026 - assumption pending the Contractor's substantiation</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</si>
  <si>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</si>
  <si>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</si>
  <si>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</si>
  <si>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</si>
  <si>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</si>
  <si>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</si>
  <si>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</si>
  <si>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</si>
  <si>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</si>
  <si>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</si>
  <si>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</si>
  <si>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</si>
  <si>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</si>
  <si>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</si>
  <si>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</si>
  <si>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Assessed market rate, Riyadh, Sep-2026 - assumption pending the Contractor's substantiation</t>
  </si>
  <si>
    <t xml:space="preserve">TOTAL ITEM 8 - carried to 'Assessment'!J18</t>
  </si>
  <si>
    <t xml:space="preserve">Contractor's procured materials in place of lines 8.1 to 8.3 - shown for information, not carried</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</si>
  <si>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</si>
  <si>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</si>
  <si>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Same assessed length as 8.1 (no take-off). Union Pipe Industry supply per the procurement tracker of 29-Sep-2026; PQD approved Code B 16-Sep-2026, material approval request under preparation - not approved against the GRP or ductile iron specification. The tracker gives outside diameters, not nominal sizes; the nominal size, pressure class and SDR are to be confirmed on the approved shop drawings and by the Engineer. Assessed market rate, Riyadh, Sep-2026 - assumption</t>
  </si>
  <si>
    <t xml:space="preserve">a.2</t>
  </si>
  <si>
    <t xml:space="preserve">uPVC pipe, 160 mm and 110 mm outside diameter (nominal size subject to the pipe standard and to the Engineer's confirmation), with uPVC elbows, supplied and installed - in place of line 8.2</t>
  </si>
  <si>
    <t xml:space="preserve">Same assessed length and rate as 8.2: the material conforms below DN150. Al Muneef supply; PQD submitted 15-Sep-2026, material approval request under preparation</t>
  </si>
  <si>
    <t xml:space="preserve">a.3</t>
  </si>
  <si>
    <t xml:space="preserve">Gate valve DN300, installed - in place of one valve at line 8.3</t>
  </si>
  <si>
    <t xml:space="preserve">Saudi Pipe Systems supply. Does not conform: the RFP General Piping Requirements call for resilient-seated butterfly isolation valves. Assessed market rate, Riyadh, Sep-2026 - assumption</t>
  </si>
  <si>
    <t xml:space="preserve">a.4</t>
  </si>
  <si>
    <t xml:space="preserve">Motorised butterfly valve DN355 as listed by the Contractor, installed, actuator included, power and control supply excluded - in place of one valve at line 8.3</t>
  </si>
  <si>
    <t xml:space="preserve">Saudi Pipe Systems supply. Does not conform: the RFP requires gearbox operation above DN200; a motorised valve needs a power and control supply that is in no party's scope. Assessed market rate, Riyadh, Sep-2026 - assumption</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</si>
  <si>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</si>
  <si>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</si>
  <si>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</si>
  <si>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</si>
  <si>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carried</t>
  </si>
  <si>
    <t xml:space="preserve">Difference - not carried: the substitution is not approved</t>
  </si>
  <si>
    <t xml:space="preserve">ASSUMPTIONS AND SOURCES</t>
  </si>
  <si>
    <t xml:space="preserve">1. Valuation basis: Sub-Clause 13.3.4 of the Conditions of Contract - Bill of Quantities or agreed rates where they apply (signage), otherwise fair and reasonable market rates. The Daywork Schedule applies only to Engineer-instructed daywork and is not used.</t>
  </si>
  <si>
    <t xml:space="preserve">2. Rates marked 'assumption' are assessed Riyadh market rates (Sep-2026): crane 50 t SAR 2,500/day; boom truck SAR 1,200/day; telehandler SAR 900/day; scaffolding SAR 55/m2; generator 100 kVA SAR 11,000/month with fuel; general labour SAR 150/day; rigger SAR 250/day; site engineer SAR 12,000/month; HSE and QA/QC SAR 10,000/month; foreman SAR 8,000/month; test water SAR 6.00/m3 tankered; site water SAR 350 per 10 m3 delivery; generator 30 kVA SAR 6,000/month continuous with fuel; local haulage SAR 450/load; HDPE PE100 pipe 355 mm outside diameter supplied and installed SAR 280/m; gate valve DN300 SAR 6,500; motorised butterfly valve DN355 as listed SAR 14,000 excluding power and control.</t>
  </si>
  <si>
    <t xml:space="preserve">3. Programme: the Contractor's baseline programme QC05958-BSL01THF-TSE.xer (data date 01-Jul-2026), issued 29-Sep-2026 with a cost S-curve, cash flow, manpower histogram and two-week look-ahead, is the source of every period on this tab, as set out on the 'Programme' tab. It is under the Engineer's approval (acceptable with minor comments, a procurement schedule required) and is not an agreed basis. Site period D1 on the 'Programme' tab, from mobilisation on 22-Aug-2026 to the end of demobilisation, its end set by the external readiness milestone of 03-Dec-2026 and the tie-in, sequential testing, commissioning and demobilisation that follow; work-consumed resources on an efficient-working sequence in which Tank 1 takes the durations programmed for Tank 2. Supplier delivery terms are 7-9 weeks for the first tank and 12-14 weeks for the second, delivered duty paid from the UAE. The staged delivery is the Contractor's procurement risk: no standby, idle time or prolongation arising from it is assessed. Dates after the look-ahead data date of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</si>
  <si>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</si>
  <si>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Whether the Employer's security covers the lower plateau is to be confirmed; a watchman is included pending that confirmation. The Contract insurances cover the Site as defined, so an endorsement extending cover to the tank site is allowed. All documentation is issued electronically via Aconex.</t>
  </si>
  <si>
    <t xml:space="preserve">6. The 5 per cent Overhead and Profit on the 'Assessment' tab covers head-office overheads and profit only; every site-specific cost is priced in the items. The Contractor's cost loading of its programme spreads the proposal including that percentage across activities for progress measurement; it is an allocation, not evidence of cost, and is recorded on the 'Build-Up Comparison' tab, Section 8.</t>
  </si>
  <si>
    <t xml:space="preserve">7. Information requested from the Contractor and still outstanding is listed on the 'Build-Up Comparison' tab, Section 7.</t>
  </si>
  <si>
    <t xml:space="preserve">8. All amounts exclude VAT.</t>
  </si>
  <si>
    <t xml:space="preserve">CONTRACTOR'S BUILD-UP COMPARED WITH THE ASSESSMENT</t>
  </si>
  <si>
    <t xml:space="preserve">The Contractor was asked on 25-Aug-2026 to substantiate the lump-sum items in its proposal. It submitted a rate build-up for Items 1, 5, 7 and 8. This tab sets each component of that submission against the assessed build-up on the 'Build-Up' tab and records whether the amount claimed is supported.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</si>
  <si>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</si>
  <si>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</si>
  <si>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</si>
  <si>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</si>
  <si>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</si>
  <si>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</si>
  <si>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</si>
  <si>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</si>
  <si>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</si>
  <si>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</si>
  <si>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</si>
  <si>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</si>
  <si>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</si>
  <si>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</si>
  <si>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</si>
  <si>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</si>
  <si>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</si>
  <si>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</si>
  <si>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</si>
  <si>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</si>
  <si>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</si>
  <si>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</si>
  <si>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</si>
  <si>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man-days.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</si>
  <si>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</si>
  <si>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</si>
  <si>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</si>
  <si>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</si>
  <si>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</si>
  <si>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</si>
  <si>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</si>
  <si>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</si>
  <si>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</si>
  <si>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</si>
  <si>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</si>
  <si>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Assessed as mobilisation trips for cabins, containers and small plant ('Build-Up' 1.14); demobilisation is assessed against the Contractor's line 1.8 in this table. No trips or rates stated. The tank installer's own mobilisation is within the supplier quotation adopted under Item 6 (Al Mousa S04488 dated 09-Jul-2026).</t>
  </si>
  <si>
    <t xml:space="preserve">Construction Facilities - welfare &amp; First Aid facilities</t>
  </si>
  <si>
    <t xml:space="preserve">Per Contract Preliminaries: welfare and First Aid facilities provision at site</t>
  </si>
  <si>
    <t xml:space="preserve">Assessed as a site office cabin, a welfare cabin and a WC unit for 3 months ('Build-Up' 1.6 to 1.8).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</si>
  <si>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</si>
  <si>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</si>
  <si>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</si>
  <si>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</si>
  <si>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</si>
  <si>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Assessed as daily workforce transport to the tank site ('Build-Up' 1.12).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</si>
  <si>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</si>
  <si>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</si>
  <si>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Assessed as tankered site water and a storage tank for the whole period ('Build-Up' 1.9 and 1.10). Power is assessed against the Contractor's Item 5, line 5.4 (generators), in Section 4 of this tab, and is not repeated here. No basis stated.</t>
  </si>
  <si>
    <t xml:space="preserve">Permits, insurance, HSE setup &amp; signage</t>
  </si>
  <si>
    <t xml:space="preserve">Standard preliminary cost</t>
  </si>
  <si>
    <t xml:space="preserve">Assessed as a dedicated HSE officer, an insurance endorsement extending the Contract cover to the tank site, PPE and site safety signage ('Build-Up' 1.2 and 1.17 to 1.19). Traffic signs are against line 1.3. No basis stated.</t>
  </si>
  <si>
    <t xml:space="preserve">Close out (Completion and Correction List, Warranties, Project Record Documents)</t>
  </si>
  <si>
    <t xml:space="preserve">Per Contract Preliminaries Item 22: Close out documentation</t>
  </si>
  <si>
    <t xml:space="preserve">Assessed as a separate completion procedure for the tank site: inspections, correction list and warranties ('Build-Up' 1.22 and 1.23). Test records, ITP/WIR close-out and as-built drawings are assessed under Item 7 and not repeated. No resource or duration stated.</t>
  </si>
  <si>
    <t xml:space="preserve">Demobilization at completion (equipment removal, site clean-up, facility removal)</t>
  </si>
  <si>
    <t xml:space="preserve">Mirrors mobilization scope at close-out</t>
  </si>
  <si>
    <t xml:space="preserve">Assessed as demobilisation trips and site clean-up ('Build-Up' 1.15 and 1.16). No trips, labour or rates stated.</t>
  </si>
  <si>
    <t xml:space="preserve">Assessed but not identified in the Contractor's build-up: site supervision, storage and security</t>
  </si>
  <si>
    <t xml:space="preserve">Site engineer, QA/QC inspector, works foreman, storekeeper, storage containers and watchman ('Build-Up' 1.1, 1.3 to 1.5, 1.11 and 1.13).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</si>
  <si>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</si>
  <si>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</si>
  <si>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carried under the Contractor's general overheads and preliminaries, and that it "does not reprice Item 1's Est. % / Est. Amount values". It provides no support for the amount claimed.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</si>
  <si>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</si>
  <si>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</si>
  <si>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</si>
  <si>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</si>
  <si>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Assessed as 1,024 m2 of perimeter scaffold, access towers and podium steps ('Build-Up' 5.3 to 5.6). No area, period or rate stated.</t>
  </si>
  <si>
    <t xml:space="preserve">Mobile crane(s) rental for tank panel erection (duration-based)</t>
  </si>
  <si>
    <t xml:space="preserve">Per RFP wording: 'cranes'</t>
  </si>
  <si>
    <t xml:space="preserve">Assessed as a telehandler for 50 days ('Build-Up' 5.2): the existing base frames and 4 m panel height do not call for a mobile crane. The Contractor's plant schedule is awaited. No capacity, units, period or rate stated.</t>
  </si>
  <si>
    <t xml:space="preserve">Boom trucks / man-lifts for elevated works</t>
  </si>
  <si>
    <t xml:space="preserve">Per RFP wording: 'boom trucks'</t>
  </si>
  <si>
    <t xml:space="preserve">Assessed as a boom truck for 50 days ('Build-Up' 5.1). No units, period or rate stated.</t>
  </si>
  <si>
    <t xml:space="preserve">Generators - rental &amp; fuel for site power</t>
  </si>
  <si>
    <t xml:space="preserve">Per RFP wording: 'generators'</t>
  </si>
  <si>
    <t xml:space="preserve">Assessed as a 100 kVA works set by day and a 30 kVA welfare set running continuously, both for the whole period with fuel, and distribution boards ('Build-Up' 5.7, 5.8 and 5.15). All site power is assessed here; none is assessed under the Contractor's Item 1, line 1.5 (temporary utilities), in Section 3 of this tab, so there is no double count. No set size, period or fuel basis stated.</t>
  </si>
  <si>
    <t xml:space="preserve">Site trucks &amp; transport (materials, spoil, deliveries)</t>
  </si>
  <si>
    <t xml:space="preserve">Per RFP wording: 'trucks'</t>
  </si>
  <si>
    <t xml:space="preserve">Assessed as a site pick-up for 3 months ('Build-Up' 5.9). No vehicles, period or rate stated.</t>
  </si>
  <si>
    <t xml:space="preserve">Small tools &amp; consumables (hand tools, torque tools, sealants application tools)</t>
  </si>
  <si>
    <t xml:space="preserve">Per RFP wording: 'small tools'</t>
  </si>
  <si>
    <t xml:space="preserve">Assessed as power-tool hire, jointing and general consumables ('Build-Up' 5.11 to 5.13). No basis stated.</t>
  </si>
  <si>
    <t xml:space="preserve">Temporary facilities upkeep (site cabins, storage, lighting) for works duration</t>
  </si>
  <si>
    <t xml:space="preserve">Per RFP wording: 'temporary facilities'</t>
  </si>
  <si>
    <t xml:space="preserve">Assessed as lighting towers ('Build-Up' 5.14); cabins and storage are under Item 1.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</si>
  <si>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</si>
  <si>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</si>
  <si>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</si>
  <si>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</si>
  <si>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Five helpers for 3 months, a condition of the supplier's quotation ('Build-Up' 5.10).</t>
  </si>
  <si>
    <t xml:space="preserve">Column F foots to the item total on the 'Assessment' tab, row 14.</t>
  </si>
  <si>
    <t xml:space="preserve">5.  ITEM 7 - TESTING, COMMISSIONING AND HANDOVER</t>
  </si>
  <si>
    <t xml:space="preserve">Claimed as 2 No. at SAR 213,200.00 each. The basic leak-test supervision is already in the tank supplier's price under Item 6. Assessed amounts are for both tanks. 'Scope' in the Contractor's stated basis means the RFP Scope of Works.</t>
  </si>
  <si>
    <t xml:space="preserve">Hydrostatic / leak test per tank (water fill, 24-hr hold, drain, re-test if needed)</t>
  </si>
  <si>
    <t xml:space="preserve">Per Scope 5.1</t>
  </si>
  <si>
    <t xml:space="preserve">Assessed as one fill with transfer to the second tank, disinfection, flushing, water-quality testing and standby ('Build-Up' 7.1 to 7.12 and 7.22). Re-testing is the Contractor's obligation and is not allowed. No volume, source or rate stated.</t>
  </si>
  <si>
    <t xml:space="preserve">Component &amp; instrumentation function testing (level instruments, valves, nozzles)</t>
  </si>
  <si>
    <t xml:space="preserve">Per Scope 5.2 - T&amp;C Programme</t>
  </si>
  <si>
    <t xml:space="preserve">Assessed as an electrician, a calibration technician, certified calibrations and test equipment ('Build-Up' 7.15 and 7.17 to 7.19). No counts or rates stated.</t>
  </si>
  <si>
    <t xml:space="preserve">Subsystem validation (tank-pump-network interface verification)</t>
  </si>
  <si>
    <t xml:space="preserve">Per Scope 5.2</t>
  </si>
  <si>
    <t xml:space="preserve">Assessed as MEP technicians and integration coordination ('Build-Up' 7.14 and 7.16). No resource or duration stated.</t>
  </si>
  <si>
    <t xml:space="preserve">Integrated system commissioning (full operational demonstration, witness testing)</t>
  </si>
  <si>
    <t xml:space="preserve">Assessed as a commissioning engineer for 15 days ('Build-Up' 7.13). The Engineer's representative attendance, included in the Contractor's labour, is not a Contractor cost.</t>
  </si>
  <si>
    <t xml:space="preserve">Documentation &amp; handover (as-built, test certificates, O&amp;M manuals, ITP/WIR close-out)</t>
  </si>
  <si>
    <t xml:space="preserve">Per Scope 5.3</t>
  </si>
  <si>
    <t xml:space="preserve">Assessed as a technical clerk and as-built mark-ups ('Build-Up' 7.20 and 7.21).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</si>
  <si>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</si>
  <si>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</si>
  <si>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The take-off from the marked-up schematic in the RFP was requested and has not been provided.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</si>
  <si>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</si>
  <si>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</si>
  <si>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Assessed as 200 m of DN200-300 and 60 m of small-bore pipework with joints and flanges, supplied and installed ('Build-Up' 8.1, 8.2 and 8.4 to 8.6).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</si>
  <si>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</si>
  <si>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</si>
  <si>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</si>
  <si>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</si>
  <si>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</si>
  <si>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</si>
  <si>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</si>
  <si>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</si>
  <si>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</si>
  <si>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</si>
  <si>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</si>
  <si>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</si>
  <si>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70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</si>
  <si>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</si>
  <si>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</si>
  <si>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 A follow-up clarification request was prepared after the Engineer's (KEO) email of 30-Aug-2026; its issue is to be confirmed before it is relied on.</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</si>
  <si>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</si>
  <si>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</si>
  <si>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</si>
  <si>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</si>
  <si>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</si>
  <si>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</si>
  <si>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</si>
  <si>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</si>
  <si>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</si>
  <si>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WT Partnership Aconex substantiation request dated 25-Aug-2026; WT Partnership follow-up clarification request (issue to be confirmed).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</si>
  <si>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</si>
  <si>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</si>
  <si>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</si>
  <si>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</si>
  <si>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</si>
  <si>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Baseline programme (data date 01-Jul-2026), S-curve, cash flow, manpower histogram and look-ahead received 29-Sep-2026; under the Engineer's approval.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</si>
  <si>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</si>
  <si>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</si>
  <si>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</si>
  <si>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</si>
  <si>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</si>
  <si>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</si>
  <si>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</si>
  <si>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</si>
  <si>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</si>
  <si>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</si>
  <si>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man-weeks,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</si>
  <si>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</si>
  <si>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</si>
  <si>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</si>
  <si>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</si>
  <si>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</si>
  <si>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That spread is the Contractor's own allocation of the sums claimed; it is evidence of how the Contractor intends to apply for payment against each activity, not evidence of the cost of any activity or of where any part of a lump sum sits.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</si>
  <si>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</si>
  <si>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</si>
  <si>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</si>
  <si>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</si>
  <si>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</si>
  <si>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</si>
  <si>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</si>
  <si>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Equals Item 1 x 1.05 exactly. Site establishment and welfare are loaded on the 5-day mobilisation activities (22 to 26-Aug-2026), so the Contractor will apply for the whole of Item 1 except SAR 50,000.00 on mobilisation</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</si>
  <si>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</si>
  <si>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</si>
  <si>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</si>
  <si>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</si>
  <si>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</si>
  <si>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</si>
  <si>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</si>
  <si>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</si>
  <si>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</si>
  <si>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</si>
  <si>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Equals Items 5 to 8 x 1.05 exactly.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</si>
  <si>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</si>
  <si>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</si>
  <si>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The Contractor's allocation to testing and commissioning is less than half of its Item 7 claim; the balance of Item 7 is not identifiable within the loading of the erection and tie-in activities.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</si>
  <si>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</si>
  <si>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</si>
  <si>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August carries the purchase order for the tanks (SAR 348,110.34) and the start of manufacturing: value the Contractor expects to draw before anything is installed.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</si>
  <si>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</si>
  <si>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</si>
  <si>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</si>
  <si>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</si>
  <si>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</si>
  <si>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</si>
  <si>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</si>
  <si>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</si>
  <si>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</si>
  <si>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</si>
  <si>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</si>
  <si>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</si>
  <si>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</si>
  <si>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</si>
  <si>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</si>
  <si>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</si>
  <si>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</si>
  <si>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man-weeks in total, 136 skilled and 85 helpers; peak 35 in the week ending 30-Oct-2026 when the Tank 1 walls and bracing overlap the Tank 2 base. The workbook does not say whose labour it is. The tank supplier's price under Item 6 includes installation and requires 4 to 6 helpers from the Contractor; if the histogram includes the supplier's erection crews it cannot support the Contractor's Items 1, 5 or 7, and if it is the Contractor's own labour, 136 skilled man-weeks on a job whose erection is subcontracted are unexplained. Until the Contractor answers (Section 7, item 10), the histogram is used only as evidence of the 16-week labour window, which sits inside the works period carried.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</si>
  <si>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</si>
  <si>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</si>
  <si>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</si>
  <si>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</si>
  <si>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</si>
  <si>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</si>
  <si>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</si>
  <si>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</si>
  <si>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</si>
  <si>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</si>
  <si>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</si>
  <si>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</si>
  <si>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</si>
  <si>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</si>
  <si>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</si>
  <si>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</si>
  <si>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</si>
  <si>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</si>
  <si>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</si>
  <si>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</si>
  <si>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</si>
  <si>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</si>
  <si>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</si>
  <si>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</si>
  <si>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man-weeks</t>
  </si>
  <si>
    <t xml:space="preserve">Whose labour: to be confirmed by the Contractor</t>
  </si>
  <si>
    <t xml:space="preserve">THE CONTRACTOR'S PROGRAMME - ACTIVITY DATA AND DURATION BASES</t>
  </si>
  <si>
    <t xml:space="preserve">How to read this tab: Section 1 records the status of the programme and of the instruction. Section 2 is the working calendar taken from the programme file. Section 3 sets the programme's windows as submitted (Basis A) beside the basis carried in the assessment (Basis B), every date derived by formula from the activity data in Section 5 and the calendar in Section 2. Section 4 lists each 'Build-Up' line whose quantity is taken from this tab, with its quantity and amount on both bases; the Basis B quantity is the one linked into column D of the 'Build-Up' tab. All amounts exclude VAT.</t>
  </si>
  <si>
    <t xml:space="preserve">1. STATUS OF THE PROGRAMME AND OF THE INSTRUCTION</t>
  </si>
  <si>
    <t xml:space="preserve">Programme: baseline schedule 'QC05958-BSL01THF-TSE-Final' (QC05958-BSL01THF-TSE.xer, data date 01-Jul-2026, 81 activities, cost-loaded to the proposal value of SAR 8,110,296.62 including 5 per cent Overhead and Profit), submitted by the Contractor to the Engineer on 12-Sep-2026 and issued to the Cost Consultant on 29-Sep-2026 with a cost S-curve, a monthly cash flow, a weekly direct-manpower histogram and a two-week look-ahead (data date 28-Sep-2026). Status at 30-Sep-2026: under the Engineer's approval process - returned as acceptable with minor comments, a procurement schedule being required; not approved. The programme is therefore evidence of the Contractor's intended sequence and durations, not an agreed basis; every line on the 'Build-Up' tab that relies on it says so.</t>
  </si>
  <si>
    <t xml:space="preserve">Instruction: the Contractor has been instructed to proceed and is on site (the existing tank is dismantled and the Tank 1 base panels are being received). The instruction reference and date have not been supplied to the Cost Consultant and are to be recorded on the 'Project Info' tab when received. RFP-027 dated 28-Jun-2026 stated that it was not itself an instruction to proceed. The instruction affects entitlement and the certification route, not the assessed value.</t>
  </si>
  <si>
    <t xml:space="preserve">Use made of the programme: (i) the site period, which is governed by the external milestone 'SAJCO Readiness for Tie-In Connections' on 03-Dec-2026 and the tie-in, commissioning and demobilisation that follow it, is taken as submitted; (ii) the erection windows, which the submitted programme stretches to match staged panel deliveries, are re-derived on an efficient-working basis because delivery staging is the Contractor's procurement risk and buys no plant, labour or hire time; (iii) testing is carried on the Engineer's basis of 30-Aug-2026 (one tank filled, water re-used for the second) and shown to fit inside the submitted completion dates. Slippage against the baseline shown in the look-ahead (Tank 1 base panels forecast to start 30-Sep-2026 against 12-Sep-2026 programmed) is delivery-driven and adds nothing to the assessment. Dates after the look-ahead data date of 28-Sep-2026 are forecasts, not actuals.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</si>
  <si>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</si>
  <si>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</si>
  <si>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</si>
  <si>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</si>
  <si>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</si>
  <si>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</si>
  <si>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</si>
  <si>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</si>
  <si>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</si>
  <si>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</si>
  <si>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Calendar exception in QC05958-BSL01THF-TSE.xer (Saudi National Day). Every working-day formula on this tab excludes Fridays and this date</t>
  </si>
  <si>
    <t xml:space="preserve">C3</t>
  </si>
  <si>
    <t xml:space="preserve">Calendar days per month used to convert periods to months</t>
  </si>
  <si>
    <t xml:space="preserve">Average month (365 days / 12); months are rounded to one decimal place</t>
  </si>
  <si>
    <t xml:space="preserve">3. DURATION BASES - A: THE PROGRAMME AS SUBMITTED; B: THE BASIS CARRIED IN THE ASSESSMENT</t>
  </si>
  <si>
    <t xml:space="preserve">Basis A reproduces the submitted programme. Basis B is the basis carried: the site period as submitted, because its end is fixed by the external readiness milestone of 03-Dec-2026 and the tie-in, commissioning and demobilisation that follow, which the Contractor's delivery staging consumes but does not extend; and an efficient-working erection sequence for the work-consumed resources (plant, attendance labour, access equipment, lighting, containers), in which Tank 1 takes the durations the Contractor programmed for the identical work on Tank 2, the Tank 2 base panels start when the Tank 1 wall panels are complete (the submitted programme itself starts Tank 2 two working days before the Tank 1 walls finish), and the activity logic is the programme's own (bracing starts 2 working days after the walls and finishes 5 working days after them; the roof follows the bracing; the mechanical works finish 3 working days after the roof). The efficient sequence is an illustrative counterfactual used only to size those resources; it is not a forecast of the Contractor's progress. Working days are on the calendar in Section 2.</t>
  </si>
  <si>
    <t xml:space="preserve">Window</t>
  </si>
  <si>
    <t xml:space="preserve">Start - Basis A</t>
  </si>
  <si>
    <t xml:space="preserve">Finish - Basis A</t>
  </si>
  <si>
    <t xml:space="preserve">Days - A</t>
  </si>
  <si>
    <t xml:space="preserve">Start - Basis B</t>
  </si>
  <si>
    <t xml:space="preserve">Finish - Basis B</t>
  </si>
  <si>
    <t xml:space="preserve">Days - B</t>
  </si>
  <si>
    <t xml:space="preserve">Derivation and source</t>
  </si>
  <si>
    <t xml:space="preserve">P1</t>
  </si>
  <si>
    <t xml:space="preserve">Mobilisation and site establishment (calendar days)</t>
  </si>
  <si>
    <t xml:space="preserve">Activities QCD18TSEMOB1240 and QCD18TSEMOB1250, 22 to 26-Aug-2026, QC05958-BSL01THF-TSE.xer. Same on both bases; mobilisation has taken place (the existing tank is dismantled)</t>
  </si>
  <si>
    <t xml:space="preserve">P2</t>
  </si>
  <si>
    <t xml:space="preserve">Dismantling of the existing damaged Tank-1 (calendar days)</t>
  </si>
  <si>
    <t xml:space="preserve">Activities QCD18TSECONDSM1020 to 1030, 27-Aug to 12-Sep-2026, QC05958-BSL01THF-TSE.xer. Complete per the look-ahead of 29-Sep-2026 (data date 28-Sep-2026); the completion date is not recorded, so the programmed dates are kept</t>
  </si>
  <si>
    <t xml:space="preserve">P3</t>
  </si>
  <si>
    <t xml:space="preserve">Tank 1 - base panels (working days)</t>
  </si>
  <si>
    <t xml:space="preserve">A: activity QCD18TSECONT1INS1020, 12-Sep to 05-Oct-2026 (20 working days, paced by the partial delivery QCD18TSEPRC1120, 08-Sep to 03-Oct-2026). B: the same start; duration as the Contractor programmed for the identical work on Tank 2 (activity QCD18TSECONT2INS1020, 6 working days). The look-ahead forecasts the actual start as 30-Sep-2026: delivery-driven, the Contractor's risk</t>
  </si>
  <si>
    <t xml:space="preserve">P4</t>
  </si>
  <si>
    <t xml:space="preserve">Tank 1 - wall panels (working days)</t>
  </si>
  <si>
    <t xml:space="preserve">A: activity QCD18TSECONT1INS1030, 06 to 24-Oct-2026 (16 working days, paced by the wall-panel delivery QCD18TSEPRC1170). B: follows the base panels (finish-to-start, as programmed); duration as Tank 2 (QCD18TSECONT2INS1030, 12 working days)</t>
  </si>
  <si>
    <t xml:space="preserve">P5</t>
  </si>
  <si>
    <t xml:space="preserve">Tank 1 - bracing (working days)</t>
  </si>
  <si>
    <t xml:space="preserve">A: activity QCD18TSECONT1INS1060, 08 to 29-Oct-2026. B: the programme's own logic for the Tank 2 bracing (QCD18TSECONT2INS1060): starts 2 working days after the walls start and finishes 5 working days after the walls finish</t>
  </si>
  <si>
    <t xml:space="preserve">P6</t>
  </si>
  <si>
    <t xml:space="preserve">Tank 1 - roof supports and ladder (working days)</t>
  </si>
  <si>
    <t xml:space="preserve">A: activity QCD18TSECONT1INS1040, 31-Oct to 04-Nov-2026. B: follows the bracing (finish-to-start, as programmed); 5 working days on both tanks</t>
  </si>
  <si>
    <t xml:space="preserve">P7</t>
  </si>
  <si>
    <t xml:space="preserve">Tank 1 - roof panels (working days)</t>
  </si>
  <si>
    <t xml:space="preserve">A: activity QCD18TSECONT1INS1050, 05 to 11-Nov-2026. B: follows the roof supports; 6 working days on both tanks</t>
  </si>
  <si>
    <t xml:space="preserve">P8</t>
  </si>
  <si>
    <t xml:space="preserve">Tank 1 - mechanical works: nozzles, level transmitter, pipes and fittings (working days)</t>
  </si>
  <si>
    <t xml:space="preserve">A: activities QCD18TSECONT1MW2050, 2060 and 2055, 09 to 16-Nov-2026. B: the programme's own logic for Tank 2 (nozzles finish 2 working days after the roof; pipes and fittings finish 3 working days after the roof)</t>
  </si>
  <si>
    <t xml:space="preserve">P9</t>
  </si>
  <si>
    <t xml:space="preserve">Tank 2 - base panels (working days)</t>
  </si>
  <si>
    <t xml:space="preserve">A: activity QCD18TSECONT2INS1020, 22 to 28-Oct-2026, started 2 working days after the Tank 2 delivery begins (QCD18TSEPRC1210, 20-Oct-2026) - delivery-driven. B: assumption - the erection crew moves to the Tank 2 base when the Tank 1 walls are complete, consistent with the submitted overlap (Tank 2 base 22-Oct against Tank 1 walls finishing 24-Oct) and with the histogram peak in the week ending 30-Oct-2026 when the two tanks overlap. Materials assumed available: delivery staging is the Contractor's risk</t>
  </si>
  <si>
    <t xml:space="preserve">P10</t>
  </si>
  <si>
    <t xml:space="preserve">Tank 2 - wall panels (working days)</t>
  </si>
  <si>
    <t xml:space="preserve">Activity QCD18TSECONT2INS1030, 29-Oct to 11-Nov-2026, 12 working days; B follows the Tank 2 base panels</t>
  </si>
  <si>
    <t xml:space="preserve">P11</t>
  </si>
  <si>
    <t xml:space="preserve">Tank 2 - bracing (working days)</t>
  </si>
  <si>
    <t xml:space="preserve">Activity QCD18TSECONT2INS1060, 01 to 17-Nov-2026; B applies the same logic to the B wall dates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</si>
  <si>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</si>
  <si>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</si>
  <si>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</si>
  <si>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</si>
  <si>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</si>
  <si>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</si>
  <si>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</si>
  <si>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</si>
  <si>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 B applies the same logic to the B roof date</t>
  </si>
  <si>
    <t xml:space="preserve">P15</t>
  </si>
  <si>
    <t xml:space="preserve">Milestone - SAJCO readiness for the tie-in connections (external)</t>
  </si>
  <si>
    <t xml:space="preserve">-</t>
  </si>
  <si>
    <t xml:space="preserve">Activity QCD18TSECONIF2050, 03-Dec-2026, zero duration. An interface milestone outside the Contractor's control; not advanced on Basis B because no evidence supports an earlier readiness.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</si>
  <si>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</si>
  <si>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</si>
  <si>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 Same on both bases</t>
  </si>
  <si>
    <t xml:space="preserve">P17</t>
  </si>
  <si>
    <t xml:space="preserve">Testing and commissioning as programmed - both tanks in parallel (working days)</t>
  </si>
  <si>
    <t xml:space="preserve">Activities QCD18TSECONTCT12050 and QCD18TSECONTCT22030, 09 to 16-Dec-2026, 7 working days each, in parallel. Not carried: the Engineer's (KEO) email of 30-Aug-2026 states that installation and testing will not be in parallel and that one tank is filled and the water re-used for the second. The sequential fit is at P18 to P21</t>
  </si>
  <si>
    <t xml:space="preserve">P18</t>
  </si>
  <si>
    <t xml:space="preserve">Hydrostatic test - Tank 1, before the tie-in (working days)</t>
  </si>
  <si>
    <t xml:space="preserve">Fitted on both bases: starts the working day after the Tank 1 mechanical works and takes the 7 working days the Contractor programmed per tank. On the submitted dates it sits inside the 15 working days of float the programme gives Tank 1 (17 to 24-Nov-2026), so it does not delay anything. Assumptions: Tank 1 internals flushed and nozzles blind-flanged (RFP Scope of Works work packages 4 and 5); fill by tankered supply pending the Employer's confirmation of a local source; the water is retained in Tank 1 until Tank 2 is ready - losses are the 10 per cent top-up at 'Build-Up' line 7.5</t>
  </si>
  <si>
    <t xml:space="preserve">P19</t>
  </si>
  <si>
    <t xml:space="preserve">Transfer of the test water from Tank 1 to Tank 2 (working days)</t>
  </si>
  <si>
    <t xml:space="preserve">Starts the working day after both the Tank 1 test has passed (P18) and Tank 2 is ready to receive water (mechanical works complete, P14, and interior flushed - RFP Scope of Works work package 4). Pumped tank to tank through temporary hoses with the tank outlet valves isolated; the tie-in to the pump room is not needed for the transfer. 3 working days is an assessed assumption pending the Contractor's method statement: 3,774 m3 at about 130 m3 per hour over 10-hour shifts, a 150 mm self-priming diesel pump against a low head (adjacent tanks at the same level, about 4 m static plus hose friction) - 'Build-Up' lines 7.2 to 7.4</t>
  </si>
  <si>
    <t xml:space="preserve">P20</t>
  </si>
  <si>
    <t xml:space="preserve">Hydrostatic test - Tank 2 (working days)</t>
  </si>
  <si>
    <t xml:space="preserve">Follows the transfer; 7 working days as programmed per tank. On the submitted dates 08 to 15-Dec-2026, ending within the programmed testing window</t>
  </si>
  <si>
    <t xml:space="preserve">P21</t>
  </si>
  <si>
    <t xml:space="preserve">Component and subsystem checks after the tie-in - instruments, nozzles, valves, ladders; tank-pump-network interfaces (working days)</t>
  </si>
  <si>
    <t xml:space="preserve">RFP Scope of Works 5.2, component testing and subsystem validation. Follows the tie-in on both bases and may overlap the Tank 2 hydrostatic test, because these checks do not need both tanks in service. 3 working days is an assessed assumption: the Contractor's programme has no separate activity for this stage (its 7-working-day 'Testing &amp; Commissioning' activities cover the hydrostatic test and commissioning of each tank together), and programme durations are in any case not of themselves payable</t>
  </si>
  <si>
    <t xml:space="preserve">P21b</t>
  </si>
  <si>
    <t xml:space="preserve">Integrated system commissioning - full operational demonstration and witness testing (working days)</t>
  </si>
  <si>
    <t xml:space="preserve">RFP Scope of Works 5.2, integrated system commissioning. Starts the working day after the last of the tie-in (P16), the Tank 2 hydrostatic test (P20) and the component checks (P21): both tanks must have passed and be connected before full operation is demonstrated. 3 working days is an assessed assumption on the same footing as P21. On the submitted erection dates the Tank 2 test ends 15-Dec-2026, so completion falls after the Contractor's programmed date of 16-Dec-2026; that is a consequence of testing sequentially, as the Engineer requires, and is shown, not forced either way</t>
  </si>
  <si>
    <t xml:space="preserve">P22</t>
  </si>
  <si>
    <t xml:space="preserve">Completion of testing and commissioning - both tanks</t>
  </si>
  <si>
    <t xml:space="preserve">End of the integrated system commissioning. The Contractor's programme has completion milestones QCD18TSEOMS1040 and 1050 on 16-Dec-2026 with parallel testing</t>
  </si>
  <si>
    <t xml:space="preserve">P23</t>
  </si>
  <si>
    <t xml:space="preserve">Demobilisation, as-built drawings and close-out documents (working days)</t>
  </si>
  <si>
    <t xml:space="preserve">Activities QCD18TSEDMOB1020 and QCD18TSEDMOB3020, programmed 17 to 24-Dec-2026, 7 working days in parallel. On both bases re-timed to follow the completion of sequential testing (P22); the programme as submitted, with parallel testing, ends on 24-Dec-2026</t>
  </si>
  <si>
    <t xml:space="preserve">Derived periods used on the 'Build-Up' tab</t>
  </si>
  <si>
    <t xml:space="preserve">D1</t>
  </si>
  <si>
    <t xml:space="preserve">Site period - mobilisation start to demobilisation finish (calendar days)</t>
  </si>
  <si>
    <t xml:space="preserve">Site staff, workforce transport, welfare cabins, WC, water tank and deliveries, the continuous 30 kVA welfare generator, the site pick-up and the watchman run for this period, which includes the demobilisation week so that supervision, HSE and welfare cover the demobilisation. On both bases the end is set by the external readiness milestone of 03-Dec-2026 and the tie-in, sequential testing, commissioning and demobilisation that follow it; the bases differ only in how the Tank 2 test sits against the tie-in. The programme as submitted, with parallel testing, gives 22-Aug to 24-Dec-2026, 125 days</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</si>
  <si>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</si>
  <si>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</si>
  <si>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</si>
  <si>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</si>
  <si>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</si>
  <si>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Supplier-attendance helpers, power tools and lighting towers are needed while erection is in progress. A: 12-Sep to 03-Dec-2026, stretched by staged deliveries. B: the efficient sequence</t>
  </si>
  <si>
    <t xml:space="preserve">D4</t>
  </si>
  <si>
    <t xml:space="preserve">Panel-handling plant, segment 1 - first panels on site to the later of the Tank 1 roof and the Tank 2 walls (working days)</t>
  </si>
  <si>
    <t xml:space="preserve">Boom truck and telehandler days: one hired unit of each serves both adjacent tanks, so overlapping activities are counted once. The panel-handling activities are the deliveries and the base, wall, roof-support and roof installations; bracing and mechanical works need none. Segment 1 is the continuous union of those activities: on A, from the first delivery (QCD18TSEPRC1120, 08-Sep-2026) through the Tank 1 base and walls, the Tank 2 delivery, base and walls and the Tank 1 roof, without a gap (checked activity by activity in Section 5); on B, from the Tank 1 base start through the Tank 2 walls, the Tank 1 roof falling inside. No delivery is charged on B: materials are assumed available</t>
  </si>
  <si>
    <t xml:space="preserve">D5</t>
  </si>
  <si>
    <t xml:space="preserve">Panel-handling plant, segment 2 - Tank 2 roof supports and roof panels (working days)</t>
  </si>
  <si>
    <t xml:space="preserve">Second segment after the Tank 2 bracing; the bracing days between the two segments are not charged</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</si>
  <si>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</si>
  <si>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</si>
  <si>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</si>
  <si>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</si>
  <si>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</si>
  <si>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A: first delivery 08-Sep-2026 to Tank 2 roof finish 30-Nov-2026. B: efficient sequence; storage between staged deliveries is the Contractor's risk</t>
  </si>
  <si>
    <t xml:space="preserve">4. 'BUILD-UP' LINES WHOSE QUANTITY IS TAKEN FROM THIS TAB - BOTH BASES SIDE BY SIDE</t>
  </si>
  <si>
    <t xml:space="preserve">Rates are those on the 'Build-Up' tab. Column G (Basis B) is linked into column D of the 'Build-Up' tab and is the quantity carried; column F (Basis A) shows what the same rate would give on the programme exactly as submitted. Lines not listed here are unchanged from the previous revision because the programme does not inform them (mobilisation trips, design resources, scaffold area, consumables, commissioning staff and pipework quantities); their basis is stated on the 'Build-Up' tab.</t>
  </si>
  <si>
    <t xml:space="preserve">'Build-Up' line</t>
  </si>
  <si>
    <t xml:space="preserve">Qty - previous revision</t>
  </si>
  <si>
    <t xml:space="preserve">Qty - Basis A</t>
  </si>
  <si>
    <t xml:space="preserve">Qty - Basis B (carried)</t>
  </si>
  <si>
    <t xml:space="preserve">Amount - Basis A (SAR)</t>
  </si>
  <si>
    <t xml:space="preserve">Amount - Basis B (SAR)</t>
  </si>
  <si>
    <t xml:space="preserve">Derivation</t>
  </si>
  <si>
    <t xml:space="preserve">Site period D1 in months, including the demobilisation week; the post-demobilisation completion inspection is line 1.22</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</si>
  <si>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</si>
  <si>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</si>
  <si>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</si>
  <si>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</si>
  <si>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</si>
  <si>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Panel-handling windows D4 and D5, working days</t>
  </si>
  <si>
    <t xml:space="preserve">As 5.1</t>
  </si>
  <si>
    <t xml:space="preserve">2 No. towers for the access window D6, rounded up to whole hire months</t>
  </si>
  <si>
    <t xml:space="preserve">As 5.4</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</si>
  <si>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</si>
  <si>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</si>
  <si>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</si>
  <si>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5 No. helpers for the erection window D3 in months. The histogram's 85 helper man-weeks (19.6 man-months) are not adopted: the workbook does not say whether the supplier's erection crews, whose cost is inside the Item 6 price, are included</t>
  </si>
  <si>
    <t xml:space="preserve">Erection window D3 in months</t>
  </si>
  <si>
    <t xml:space="preserve">2 No. lighting towers for the erection window D3 in months</t>
  </si>
  <si>
    <t xml:space="preserve">A: both tanks filled at once for parallel testing (7,548 m3, RFP Scope of Works section 1). B: one fill, water re-used for the second tank - the Engineer's (KEO) email of 30-Aug-2026</t>
  </si>
  <si>
    <t xml:space="preserve">Transfer pump: not needed on A; 7 days on B (P19 transfer plus set-up and hold)</t>
  </si>
  <si>
    <t xml:space="preserve">Transfer hoses: not needed on A; 1 week on B</t>
  </si>
  <si>
    <t xml:space="preserve">Transfer labour: not needed on A; 2 No. x 3 days on B (P19)</t>
  </si>
  <si>
    <t xml:space="preserve">Top-up at 10 per cent of the water filled: of two fills on A, of one fill on B (retention in Tank 1 between P18 and P19)</t>
  </si>
  <si>
    <t xml:space="preserve">Component checks P21 and integrated commissioning P21b, plus one day at each hydrostatic test hold; the fills and holds themselves are supervised by the QA/QC inspector (line 1.3) and the supplier's leak-test supervision within Item 6</t>
  </si>
  <si>
    <t xml:space="preserve">2 No. technicians for the component checks P21 and the integrated commissioning P21b</t>
  </si>
  <si>
    <t xml:space="preserve">Tie-in P16 working days plus one day of integrated commissioning</t>
  </si>
  <si>
    <t xml:space="preserve">Tanker and pump standby: 3 fill days and 1 hold day for Tank 1, 3 transfer days and 1 hold day for Tank 2; the same on both bases because the programme's parallel testing would need the same standby for two simultaneous fills</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</si>
  <si>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</si>
  <si>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</si>
  <si>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</si>
  <si>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</si>
  <si>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</si>
  <si>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</si>
  <si>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</si>
  <si>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</si>
  <si>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</si>
  <si>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Basis B is the 'Assessment' tab total (row 21). Basis A replaces the listed lines with their Basis A amounts and applies the Overhead and Profit once, as on the 'Assessment' tab</t>
  </si>
  <si>
    <t xml:space="preserve">5. ACTIVITY DATA - QC05958-BSL01THF-TSE.xer, PROJECT 'QC05958-BSL01THF-TSE-FINAL', DATA DATE 01-JUL-2026</t>
  </si>
  <si>
    <t xml:space="preserve">All 81 activities as submitted, sorted by start date; names and sections are reproduced as they appear in the programme file. Working days are on each activity's own calendar: '6-day, 10 h' is the calendar 'QIC 6 Days 10 Hrs', '5-day, 10 h' is 'QIC 5 Days 10 Hrs' and '7-day, 10 h' is 'QIC 7 Days 10 Hrs' or 'QIC 7D/10H'. 'Cost loaded' is the Contractor's allocation of its proposal of SAR 8,110,296.62 including 5 per cent Overhead and Profit to the single cost resource 'TSE Tank Cost'; it is an allocation for progress measurement, not evidence of the cost of any activity.</t>
  </si>
  <si>
    <t xml:space="preserve">Activity (as named in the programme)</t>
  </si>
  <si>
    <t xml:space="preserve">Start</t>
  </si>
  <si>
    <t xml:space="preserve">Finish</t>
  </si>
  <si>
    <t xml:space="preserve">Working days</t>
  </si>
  <si>
    <t xml:space="preserve">Cost loaded (SAR, incl. 5% OHP)</t>
  </si>
  <si>
    <t xml:space="preserve">Activity ID</t>
  </si>
  <si>
    <t xml:space="preserve">Calendar</t>
  </si>
  <si>
    <t xml:space="preserve">Total float (days)</t>
  </si>
  <si>
    <t xml:space="preserve">GRP TSE Tank - Supplier identifcation</t>
  </si>
  <si>
    <t xml:space="preserve">QCD18TSEMOB1020</t>
  </si>
  <si>
    <t xml:space="preserve">6-day, 10 h</t>
  </si>
  <si>
    <t xml:space="preserve">MOBILIZATION / Supplier Identification &amp; Evaluation</t>
  </si>
  <si>
    <t xml:space="preserve">Project Start</t>
  </si>
  <si>
    <t xml:space="preserve">QCD18TSEMS1000</t>
  </si>
  <si>
    <t xml:space="preserve">7-day, 10 h</t>
  </si>
  <si>
    <t xml:space="preserve">MILESTONES</t>
  </si>
  <si>
    <t xml:space="preserve">Issuance of Engineer's Instruction</t>
  </si>
  <si>
    <t xml:space="preserve">QCD18TSEOMS1020</t>
  </si>
  <si>
    <t xml:space="preserve">MILESTONES / Other Milestones</t>
  </si>
  <si>
    <t xml:space="preserve">GRP TSE Tank - Supplier Evaluation &amp; Proposal</t>
  </si>
  <si>
    <t xml:space="preserve">QCD18TSEMOB1030</t>
  </si>
  <si>
    <t xml:space="preserve">Preparation &amp; Submission of MOS - TSE Tank Dismantling</t>
  </si>
  <si>
    <t xml:space="preserve">QCD18TSEMOB1040</t>
  </si>
  <si>
    <t xml:space="preserve">MOBILIZATION / Project Deliverables &amp; Submittals / Project Submittals / Submissions of Submittals</t>
  </si>
  <si>
    <t xml:space="preserve">Preparation &amp; Submission of MOS - TSE Tank Installation</t>
  </si>
  <si>
    <t xml:space="preserve">QCD18TSEMOB1050</t>
  </si>
  <si>
    <t xml:space="preserve">Approval of MOS - TSE Tank Dismantling</t>
  </si>
  <si>
    <t xml:space="preserve">QCD18TSEMOB1060</t>
  </si>
  <si>
    <t xml:space="preserve">5-day, 10 h</t>
  </si>
  <si>
    <t xml:space="preserve">MOBILIZATION / Project Deliverables &amp; Submittals / Project Submittals / Approval of Submittals</t>
  </si>
  <si>
    <t xml:space="preserve">Approval of MOS - TSE Tank Installation</t>
  </si>
  <si>
    <t xml:space="preserve">QCD18TSEMOB1070</t>
  </si>
  <si>
    <t xml:space="preserve">Preparation &amp; Submission of Health &amp; Safety Managment Plan</t>
  </si>
  <si>
    <t xml:space="preserve">QCD18TSEMOB1080</t>
  </si>
  <si>
    <t xml:space="preserve">MOBILIZATION / Project Deliverables &amp; Submittals / Project Deliverables / Submissions of Deliverables</t>
  </si>
  <si>
    <t xml:space="preserve">Preparation &amp; Submission of CEMP Plan</t>
  </si>
  <si>
    <t xml:space="preserve">QCD18TSEMOB1090</t>
  </si>
  <si>
    <t xml:space="preserve">Preparation &amp; Submission of Project Execution Plan</t>
  </si>
  <si>
    <t xml:space="preserve">QCD18TSEMOB1100</t>
  </si>
  <si>
    <t xml:space="preserve">Preparation &amp; Submission of Project Mobilization Plan</t>
  </si>
  <si>
    <t xml:space="preserve">QCD18TSEMOB1110</t>
  </si>
  <si>
    <t xml:space="preserve">Preparation &amp; Submission of Project Quality Plan</t>
  </si>
  <si>
    <t xml:space="preserve">QCD18TSEMOB1120</t>
  </si>
  <si>
    <t xml:space="preserve">Preparation &amp; Submission of MOS - Pipe Installation</t>
  </si>
  <si>
    <t xml:space="preserve">QCD18TSEMOB1130</t>
  </si>
  <si>
    <t xml:space="preserve">Preparation &amp; Submission of MOS - Tie in Connections</t>
  </si>
  <si>
    <t xml:space="preserve">QCD18TSEMOB1140</t>
  </si>
  <si>
    <t xml:space="preserve">Preparation &amp; Submission of ITP</t>
  </si>
  <si>
    <t xml:space="preserve">QCD18TSEMOB1150</t>
  </si>
  <si>
    <t xml:space="preserve">Vendor/Supplier PQD Submission</t>
  </si>
  <si>
    <t xml:space="preserve">QCD18TSEPRC1020</t>
  </si>
  <si>
    <t xml:space="preserve">PROCUREMENT / Long Lead Item / GRP Material / Vendor / Supplier Approval</t>
  </si>
  <si>
    <t xml:space="preserve">Submisison of MAR</t>
  </si>
  <si>
    <t xml:space="preserve">QCD18TSEPRC1030</t>
  </si>
  <si>
    <t xml:space="preserve">PROCUREMENT / Long Lead Item / GRP Material / Material Approval</t>
  </si>
  <si>
    <t xml:space="preserve">Preparation &amp; Submission of Vendor/Supplier PQD</t>
  </si>
  <si>
    <t xml:space="preserve">QCD18TSEPRC1090</t>
  </si>
  <si>
    <t xml:space="preserve">PROCUREMENT / Short Lead Item / Pipes,Valves &amp; Accessories / Vendor / Supplier Approval</t>
  </si>
  <si>
    <t xml:space="preserve">Vendor/Supplier PQD Approval</t>
  </si>
  <si>
    <t xml:space="preserve">QCD18TSEPRC1040</t>
  </si>
  <si>
    <t xml:space="preserve">Approval of MAR</t>
  </si>
  <si>
    <t xml:space="preserve">QCD18TSEPRC1050</t>
  </si>
  <si>
    <t xml:space="preserve">Issuance of Purchase Order</t>
  </si>
  <si>
    <t xml:space="preserve">QCD18TSEPRC1060</t>
  </si>
  <si>
    <t xml:space="preserve">PROCUREMENT / Long Lead Item / GRP Material / PO Issuance</t>
  </si>
  <si>
    <t xml:space="preserve">Approval of Vendor/Supplier PQD</t>
  </si>
  <si>
    <t xml:space="preserve">QCD18TSEPRC1100</t>
  </si>
  <si>
    <t xml:space="preserve">Submission of Shop Drawings</t>
  </si>
  <si>
    <t xml:space="preserve">QCD18TSEENG1240</t>
  </si>
  <si>
    <t xml:space="preserve">ENGINEERING / Shop Drawings</t>
  </si>
  <si>
    <t xml:space="preserve">Manufacturing of Material</t>
  </si>
  <si>
    <t xml:space="preserve">QCD18TSEPRC1070</t>
  </si>
  <si>
    <t xml:space="preserve">PROCUREMENT / Long Lead Item / GRP Material / Manufacturing &amp; Delivery / TSE Tank-02</t>
  </si>
  <si>
    <t xml:space="preserve">QCD18TSEPRC1080</t>
  </si>
  <si>
    <t xml:space="preserve">PROCUREMENT / Long Lead Item / GRP Material / Manufacturing &amp; Delivery / TSE Tank-01</t>
  </si>
  <si>
    <t xml:space="preserve">Approval of Project Quality Plan</t>
  </si>
  <si>
    <t xml:space="preserve">QCD18TSEMOB1160</t>
  </si>
  <si>
    <t xml:space="preserve">MOBILIZATION / Project Deliverables &amp; Submittals / Project Deliverables / Aprroval of Deliverables</t>
  </si>
  <si>
    <t xml:space="preserve">Approval of Shop Drawings</t>
  </si>
  <si>
    <t xml:space="preserve">QCD18TSEENG1250</t>
  </si>
  <si>
    <t xml:space="preserve">Approval of Health &amp; Safety Managment Plan</t>
  </si>
  <si>
    <t xml:space="preserve">QCD18TSEMOB1170</t>
  </si>
  <si>
    <t xml:space="preserve">Approval of Project Execution Plan</t>
  </si>
  <si>
    <t xml:space="preserve">QCD18TSEMOB1180</t>
  </si>
  <si>
    <t xml:space="preserve">Approval of Project Mobilization Plan</t>
  </si>
  <si>
    <t xml:space="preserve">QCD18TSEMOB1190</t>
  </si>
  <si>
    <t xml:space="preserve">Approval of MOS - Pipe Installation</t>
  </si>
  <si>
    <t xml:space="preserve">QCD18TSEMOB1200</t>
  </si>
  <si>
    <t xml:space="preserve">Approval of MOS - Tie in Connections</t>
  </si>
  <si>
    <t xml:space="preserve">QCD18TSEMOB1210</t>
  </si>
  <si>
    <t xml:space="preserve">Approval of CEMP Plan</t>
  </si>
  <si>
    <t xml:space="preserve">QCD18TSEMOB1220</t>
  </si>
  <si>
    <t xml:space="preserve">Approval of ITP</t>
  </si>
  <si>
    <t xml:space="preserve">QCD18TSEMOB1230</t>
  </si>
  <si>
    <t xml:space="preserve">Mobilization of Manpower &amp; Equipment</t>
  </si>
  <si>
    <t xml:space="preserve">QCD18TSEMOB1240</t>
  </si>
  <si>
    <t xml:space="preserve">MOBILIZATION / Manpower &amp; Equipment Mobilization</t>
  </si>
  <si>
    <t xml:space="preserve">Site Establishment &amp; Temporaray Welfare Facilities</t>
  </si>
  <si>
    <t xml:space="preserve">QCD18TSEMOB1250</t>
  </si>
  <si>
    <t xml:space="preserve">MOBILIZATION / Welfare Facilities</t>
  </si>
  <si>
    <t xml:space="preserve">QCD18TSEPRC1110</t>
  </si>
  <si>
    <t xml:space="preserve">PROCUREMENT / Short Lead Item / Pipes,Valves &amp; Accessories / Material Approval</t>
  </si>
  <si>
    <t xml:space="preserve">Removal &amp; Disposal of Roof panels &amp; Structure</t>
  </si>
  <si>
    <t xml:space="preserve">QCD18TSECONDSM1020</t>
  </si>
  <si>
    <t xml:space="preserve">CONSTRUCTION / Dismantling of Existing TSE Tank</t>
  </si>
  <si>
    <t xml:space="preserve">Removal &amp; Disposal of Side Panels</t>
  </si>
  <si>
    <t xml:space="preserve">QCD18TSECONDSM1040</t>
  </si>
  <si>
    <t xml:space="preserve">QCD18TSEPRC1140</t>
  </si>
  <si>
    <t xml:space="preserve">Removal &amp; Disposal of base Panels</t>
  </si>
  <si>
    <t xml:space="preserve">QCD18TSECONDSM1030</t>
  </si>
  <si>
    <t xml:space="preserve">Survey &amp; Leveling verfication for the existing foundation</t>
  </si>
  <si>
    <t xml:space="preserve">QCD18TSECONSL1050</t>
  </si>
  <si>
    <t xml:space="preserve">CONSTRUCTION / Survey &amp; Levelling (Existing Foundations)</t>
  </si>
  <si>
    <t xml:space="preserve">Partial Delivery of material TSE Tank - 01  (Base panels)</t>
  </si>
  <si>
    <t xml:space="preserve">QCD18TSEPRC1120</t>
  </si>
  <si>
    <t xml:space="preserve">Submission of MIR for TSE Tank - 01  (Base panels)</t>
  </si>
  <si>
    <t xml:space="preserve">QCD18TSEPRC1130</t>
  </si>
  <si>
    <t xml:space="preserve">PROCUREMENT / Long Lead Item / GRP Material / Material Inspection / TSE Tank-01</t>
  </si>
  <si>
    <t xml:space="preserve">Approval of MIR for TSE Tank - 01  (Base panels)</t>
  </si>
  <si>
    <t xml:space="preserve">QCD18TSEPRC1150</t>
  </si>
  <si>
    <t xml:space="preserve">Installation of Base Panels with Internal lining &amp; food grade joint sealent</t>
  </si>
  <si>
    <t xml:space="preserve">QCD18TSECONT1INS1020</t>
  </si>
  <si>
    <t xml:space="preserve">CONSTRUCTION / TSE Tank -01 / Tank Installation</t>
  </si>
  <si>
    <t xml:space="preserve">QCD18TSEPRC1160</t>
  </si>
  <si>
    <t xml:space="preserve">PROCUREMENT / Short Lead Item / Pipes,Valves &amp; Accessories / PO Issuance</t>
  </si>
  <si>
    <t xml:space="preserve">Manufacturing of Material &amp; delivery</t>
  </si>
  <si>
    <t xml:space="preserve">QCD18TSEPRC1190</t>
  </si>
  <si>
    <t xml:space="preserve">PROCUREMENT / Short Lead Item / Pipes,Valves &amp; Accessories / Manufacturing &amp; Delivery</t>
  </si>
  <si>
    <t xml:space="preserve">Partial Delievery of wall panels + associated material TSE Tank - 01</t>
  </si>
  <si>
    <t xml:space="preserve">QCD18TSEPRC1170</t>
  </si>
  <si>
    <t xml:space="preserve">Submission of MIR of wall panels + associated material TSE Tank - 01</t>
  </si>
  <si>
    <t xml:space="preserve">QCD18TSEPRC1180</t>
  </si>
  <si>
    <t xml:space="preserve">Approval of MIR of wall panels + associated material TSE Tank - 01</t>
  </si>
  <si>
    <t xml:space="preserve">QCD18TSEPRC1200</t>
  </si>
  <si>
    <t xml:space="preserve">Installation of Wall Panels with Internal lining &amp; food grade joint sealent</t>
  </si>
  <si>
    <t xml:space="preserve">QCD18TSECONT1INS1030</t>
  </si>
  <si>
    <t xml:space="preserve">Installation of Bracing</t>
  </si>
  <si>
    <t xml:space="preserve">QCD18TSECONT1INS1060</t>
  </si>
  <si>
    <t xml:space="preserve">Delievery of TSE Tanks -02 (Base+Wall Panel + associated material)</t>
  </si>
  <si>
    <t xml:space="preserve">QCD18TSEPRC1210</t>
  </si>
  <si>
    <t xml:space="preserve">Submission of MIR  TSE Tanks -02 (Base+Wall Panel + associated material)</t>
  </si>
  <si>
    <t xml:space="preserve">QCD18TSEPRC1220</t>
  </si>
  <si>
    <t xml:space="preserve">PROCUREMENT / Long Lead Item / GRP Material / Material Inspection / TSE Tank-02</t>
  </si>
  <si>
    <t xml:space="preserve">QCD18TSECONT2INS1020</t>
  </si>
  <si>
    <t xml:space="preserve">CONSTRUCTION / TSE Tank -02 / Tank Installation</t>
  </si>
  <si>
    <t xml:space="preserve">Approval of MIR  TSE Tanks -02 (Base+Wall Panel + associated material)</t>
  </si>
  <si>
    <t xml:space="preserve">QCD18TSEPRC1230</t>
  </si>
  <si>
    <t xml:space="preserve">QCD18TSECONT2INS1030</t>
  </si>
  <si>
    <t xml:space="preserve">Installation of Roof Supports &amp; Ladder</t>
  </si>
  <si>
    <t xml:space="preserve">QCD18TSECONT1INS1040</t>
  </si>
  <si>
    <t xml:space="preserve">QCD18TSECONT2INS1060</t>
  </si>
  <si>
    <t xml:space="preserve">Submission of MIR for Pipe, Vlaves &amp; Accessories</t>
  </si>
  <si>
    <t xml:space="preserve">QCD18TSEPRC1240</t>
  </si>
  <si>
    <t xml:space="preserve">PROCUREMENT / Short Lead Item / Pipes,Valves &amp; Accessories / Material Inspection</t>
  </si>
  <si>
    <t xml:space="preserve">Approval of MIR for  Pipe, Vlaves &amp; Accessories</t>
  </si>
  <si>
    <t xml:space="preserve">QCD18TSEPRC1250</t>
  </si>
  <si>
    <t xml:space="preserve">Installation of Roof Panels with Internal lining &amp; food grade joint sealent</t>
  </si>
  <si>
    <t xml:space="preserve">QCD18TSECONT1INS1050</t>
  </si>
  <si>
    <t xml:space="preserve">Installation of Inlet/Outlet, Overflow &amp; Drain Nozzles, Internals &amp; Blind Flanges</t>
  </si>
  <si>
    <t xml:space="preserve">QCD18TSECONT1MW2050</t>
  </si>
  <si>
    <t xml:space="preserve">CONSTRUCTION / TSE Tank -01 / Mechanical Works</t>
  </si>
  <si>
    <t xml:space="preserve">Installation of Level Trabsmitter / Remote level indication.</t>
  </si>
  <si>
    <t xml:space="preserve">QCD18TSECONT1MW2060</t>
  </si>
  <si>
    <t xml:space="preserve">Installation of Pipes &amp; Fittings</t>
  </si>
  <si>
    <t xml:space="preserve">QCD18TSECONT1MW2055</t>
  </si>
  <si>
    <t xml:space="preserve">QCD18TSECONT2INS1040</t>
  </si>
  <si>
    <t xml:space="preserve">QCD18TSECONT2INS1050</t>
  </si>
  <si>
    <t xml:space="preserve">QCD18TSECONT2MW2030</t>
  </si>
  <si>
    <t xml:space="preserve">CONSTRUCTION / TSE Tank -02 / Mechanical Works</t>
  </si>
  <si>
    <t xml:space="preserve">QCD18TSECONT2MW2040</t>
  </si>
  <si>
    <t xml:space="preserve">QCD18TSECONT2MW2020</t>
  </si>
  <si>
    <t xml:space="preserve">SAJCO Readiness for Tie-In Connections</t>
  </si>
  <si>
    <t xml:space="preserve">QCD18TSECONIF2050</t>
  </si>
  <si>
    <t xml:space="preserve">CONSTRUCTION / Tie in Interface</t>
  </si>
  <si>
    <t xml:space="preserve">Tie in Connections with Existing Pump Room</t>
  </si>
  <si>
    <t xml:space="preserve">QCD18TSECONTC2040</t>
  </si>
  <si>
    <t xml:space="preserve">Testing &amp; Commissioning-TSE TanK-01</t>
  </si>
  <si>
    <t xml:space="preserve">QCD18TSECONTCT12050</t>
  </si>
  <si>
    <t xml:space="preserve">CONSTRUCTION / Testing &amp; Commissioning</t>
  </si>
  <si>
    <t xml:space="preserve">Testing &amp; Commissioning-TSE TanK-02</t>
  </si>
  <si>
    <t xml:space="preserve">QCD18TSECONTCT22030</t>
  </si>
  <si>
    <t xml:space="preserve">Completion of TSE Tank - 01</t>
  </si>
  <si>
    <t xml:space="preserve">QCD18TSEOMS1040</t>
  </si>
  <si>
    <t xml:space="preserve">Completion of TSE Tank - 02</t>
  </si>
  <si>
    <t xml:space="preserve">QCD18TSEOMS1050</t>
  </si>
  <si>
    <t xml:space="preserve">Demobilization of Manpower, Equipment &amp; Temporary Facilities</t>
  </si>
  <si>
    <t xml:space="preserve">QCD18TSEDMOB1020</t>
  </si>
  <si>
    <t xml:space="preserve">DEMOBILIZATION &amp; CLOSEOUT / Manpower, Equipment &amp; Temp. Facilities</t>
  </si>
  <si>
    <t xml:space="preserve">As Built Drawing &amp; Closeout documents</t>
  </si>
  <si>
    <t xml:space="preserve">QCD18TSEDMOB3020</t>
  </si>
  <si>
    <t xml:space="preserve">DEMOBILIZATION &amp; CLOSEOUT / Closeout</t>
  </si>
  <si>
    <t xml:space="preserve">Project Finish</t>
  </si>
  <si>
    <t xml:space="preserve">QCD18TSEMS1010</t>
  </si>
  <si>
    <t xml:space="preserve">Total cost loaded</t>
  </si>
  <si>
    <t xml:space="preserve">Equals the Contractor's proposal of SAR 8,110,296.62 including Overhead and Profit</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</si>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</sst>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7">
    <numFmt numFmtId="164" formatCode="General"/>
    <numFmt numFmtId="165" formatCode="#,##0.00"/>
    <numFmt numFmtId="166" formatCode="0.0%"/>
    <numFmt numFmtId="167" formatCode="#,##0"/>
    <numFmt numFmtId="168" formatCode="dd\-mmm\-yyyy"/>
    <numFmt numFmtId="169" formatCode="0.0"/>
    <numFmt numFmtId="170" formatCode="#,##0.00;\(#,##0.00\);\-"/>
  </numFmts>
  <fonts count="22">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b val="true"/>
      <sz val="9"/>
      <color rgb="FF000000"/>
      <name val="PT Sans"/>
      <family val="0"/>
      <charset val="1"/>
    </font>
    <font>
      <b val="true"/>
      <sz val="9"/>
      <color rgb="FF0045BF"/>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03366"/>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2"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7" fillId="3" borderId="11"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tru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5" fontId="19"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7" fillId="3" borderId="12" xfId="0" applyFont="true" applyBorder="true" applyAlignment="true" applyProtection="false">
      <alignment horizontal="general" vertical="center" textRotation="0" wrapText="false" indent="0" shrinkToFit="false"/>
      <protection locked="true" hidden="false"/>
    </xf>
    <xf numFmtId="165" fontId="7" fillId="0" borderId="12"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0"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fals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0" fontId="7" fillId="3" borderId="17" xfId="0" applyFont="true" applyBorder="true" applyAlignment="true" applyProtection="false">
      <alignment horizontal="right" vertical="center"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045BF"/>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0"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1"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640625" defaultRowHeight="14.25" zeroHeight="false" outlineLevelRow="0" outlineLevelCol="0"/>
  <cols>
    <col collapsed="false" customWidth="true" hidden="false" outlineLevel="0" max="1" min="1" style="0" width="2"/>
    <col collapsed="false" customWidth="true" hidden="false" outlineLevel="0" max="2" min="2" style="0" width="28"/>
    <col collapsed="false" customWidth="true" hidden="false" outlineLevel="0" max="3" min="3" style="0" width="75"/>
  </cols>
  <sheetData>
    <row r="2" customFormat="false" ht="36" hidden="false" customHeight="true" outlineLevel="0" collapsed="false">
      <c r="B2" s="1" t="s">
        <v>0</v>
      </c>
    </row>
    <row r="4" customFormat="false" ht="30" hidden="false" customHeight="true" outlineLevel="0" collapsed="false">
      <c r="B4" s="2" t="s">
        <v>1</v>
      </c>
    </row>
    <row r="6" customFormat="false" ht="21.75" hidden="false" customHeight="true" outlineLevel="0" collapsed="false">
      <c r="B6" s="3" t="s">
        <v>2</v>
      </c>
      <c r="C6" s="4" t="s">
        <v>3</v>
      </c>
    </row>
    <row r="7" customFormat="false" ht="21.75" hidden="false" customHeight="true" outlineLevel="0" collapsed="false">
      <c r="B7" s="3" t="s">
        <v>4</v>
      </c>
      <c r="C7" s="4" t="s">
        <v>5</v>
      </c>
    </row>
    <row r="8" customFormat="false" ht="21.75" hidden="false" customHeight="true" outlineLevel="0" collapsed="false">
      <c r="B8" s="3" t="s">
        <v>6</v>
      </c>
      <c r="C8" s="4" t="s">
        <v>7</v>
      </c>
    </row>
    <row r="9" customFormat="false" ht="21.75" hidden="false" customHeight="true" outlineLevel="0" collapsed="false">
      <c r="B9" s="3" t="s">
        <v>8</v>
      </c>
      <c r="C9" s="4" t="s">
        <v>9</v>
      </c>
    </row>
    <row r="10" customFormat="false" ht="21.75" hidden="false" customHeight="true" outlineLevel="0" collapsed="false">
      <c r="B10" s="3" t="s">
        <v>10</v>
      </c>
      <c r="C10" s="4" t="s">
        <v>11</v>
      </c>
    </row>
    <row r="11" customFormat="false" ht="21.75" hidden="false" customHeight="true" outlineLevel="0" collapsed="false">
      <c r="B11" s="3" t="s">
        <v>12</v>
      </c>
      <c r="C11" s="4" t="s">
        <v>13</v>
      </c>
    </row>
    <row r="12" customFormat="false" ht="21.75" hidden="false" customHeight="true" outlineLevel="0" collapsed="false">
      <c r="B12" s="3" t="s">
        <v>14</v>
      </c>
      <c r="C12" s="4" t="s">
        <v>15</v>
      </c>
    </row>
    <row r="13" customFormat="false" ht="21.75" hidden="false" customHeight="true" outlineLevel="0" collapsed="false">
      <c r="B13" s="3" t="s">
        <v>16</v>
      </c>
      <c r="C13" s="4" t="s">
        <v>17</v>
      </c>
    </row>
    <row r="14" customFormat="false" ht="21.75" hidden="false" customHeight="true" outlineLevel="0" collapsed="false">
      <c r="B14" s="3" t="s">
        <v>18</v>
      </c>
      <c r="C14" s="4" t="s">
        <v>19</v>
      </c>
    </row>
    <row r="15" customFormat="false" ht="21.75" hidden="false" customHeight="true" outlineLevel="0" collapsed="false">
      <c r="B15" s="3" t="s">
        <v>20</v>
      </c>
      <c r="C15" s="4" t="s">
        <v>21</v>
      </c>
    </row>
    <row r="16" customFormat="false" ht="21.75" hidden="false" customHeight="true" outlineLevel="0" collapsed="false">
      <c r="B16" s="3" t="s">
        <v>22</v>
      </c>
      <c r="C16" s="4" t="s">
        <v>23</v>
      </c>
    </row>
    <row r="17" customFormat="false" ht="21.75" hidden="false" customHeight="true" outlineLevel="0" collapsed="false">
      <c r="B17" s="3" t="s">
        <v>24</v>
      </c>
      <c r="C17" s="4" t="s">
        <v>25</v>
      </c>
    </row>
    <row r="18" customFormat="false" ht="21.75" hidden="false" customHeight="true" outlineLevel="0" collapsed="false">
      <c r="B18" s="5" t="s">
        <v>26</v>
      </c>
      <c r="C18" s="6" t="str">
        <f aca="false">C13 &amp; " | " &amp; C14</f>
        <v>Cost Assessment of the Contractor's Proposal - TSE Irrigation Storage Tanks (RFP-027) - Rev 02 | 30-Sep-2026</v>
      </c>
    </row>
    <row r="19" customFormat="false" ht="21.75" hidden="false" customHeight="true" outlineLevel="0" collapsed="false">
      <c r="B19" s="5" t="s">
        <v>27</v>
      </c>
      <c r="C19" s="6" t="str">
        <f aca="false">"Reference: " &amp; C15</f>
        <v>Reference: RFP-027 / SAMACO-RRFP-000001</v>
      </c>
    </row>
    <row r="20" customFormat="false" ht="21.75" hidden="false" customHeight="true" outlineLevel="0" collapsed="false">
      <c r="B20" s="5" t="s">
        <v>28</v>
      </c>
      <c r="C20" s="6"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52"/>
    <col collapsed="false" customWidth="true" hidden="false" outlineLevel="0" max="3" min="3" style="7" width="7"/>
    <col collapsed="false" customWidth="true" hidden="false" outlineLevel="0" max="4" min="4" style="7" width="9"/>
    <col collapsed="false" customWidth="true" hidden="false" outlineLevel="0" max="5" min="5" style="7" width="13"/>
    <col collapsed="false" customWidth="true" hidden="false" outlineLevel="0" max="6" min="6" style="7" width="15"/>
    <col collapsed="false" customWidth="true" hidden="false" outlineLevel="0" max="7" min="7" style="7" width="30"/>
    <col collapsed="false" customWidth="true" hidden="false" outlineLevel="0" max="8" min="8" style="7" width="7"/>
    <col collapsed="false" customWidth="true" hidden="false" outlineLevel="0" max="9" min="9" style="7" width="9"/>
    <col collapsed="false" customWidth="true" hidden="false" outlineLevel="0" max="10" min="10" style="7" width="13"/>
    <col collapsed="false" customWidth="true" hidden="false" outlineLevel="0" max="11" min="11" style="7" width="15"/>
    <col collapsed="false" customWidth="true" hidden="false" outlineLevel="0" max="12" min="12" style="7" width="52"/>
    <col collapsed="false" customWidth="true" hidden="false" outlineLevel="0" max="13" min="13" style="7" width="14"/>
    <col collapsed="false" customWidth="true" hidden="false" outlineLevel="0" max="14" min="14" style="7" width="20"/>
    <col collapsed="false" customWidth="true" hidden="false" outlineLevel="0" max="15" min="15" style="7" width="15"/>
    <col collapsed="false" customWidth="true" hidden="false" outlineLevel="0" max="16" min="16" style="7" width="10"/>
  </cols>
  <sheetData>
    <row r="1" customFormat="false" ht="25.5" hidden="false" customHeight="true" outlineLevel="0" collapsed="false">
      <c r="A1" s="8" t="s">
        <v>29</v>
      </c>
    </row>
    <row r="2" customFormat="false" ht="17.25" hidden="false" customHeight="true" outlineLevel="0" collapsed="false">
      <c r="A2" s="9" t="s">
        <v>30</v>
      </c>
    </row>
    <row r="3" customFormat="false" ht="14.25" hidden="false" customHeight="false" outlineLevel="0" collapsed="false">
      <c r="A3" s="10" t="s">
        <v>31</v>
      </c>
    </row>
    <row r="4" customFormat="false" ht="57" hidden="false" customHeight="true" outlineLevel="0" collapsed="false">
      <c r="A4" s="11" t="str">
        <f aca="false">"Purpose: to value the Contractor's revised proposal ref. SAMACO-RRFP-000001 dated 13-Aug-2026 for the 2 No. TSE irrigation storage tanks, dismantling of damaged Tank-1, associated pipework and testing. Result: the proposal of SAR " &amp; TEXT(F21,"#,##0.00") &amp; " is assessed at SAR " &amp; TEXT(K21,"#,##0.00") &amp; ", both excluding VAT (row 21). Basis: supplier quotations where the Contractor obtained them (Items 3 and 6), first-principles build-ups elsewhere ('Build-Up' tab), with every time-related period taken from the Contractor's programme of 29-Sep-2026 ('Programme' tab) - a programme under the Engineer's approval, not an agreed basis. Status: preliminary - items marked Provisional depend on confirmations still outstanding. Rev 02 replaces Rev 01 dated 17-Sep-2026 (SAR " &amp; TEXT(6921685.64,"#,##0.00") &amp; ")."</f>
        <v>Purpose: to value the Contractor's revised proposal ref. SAMACO-RRFP-000001 dated 13-Aug-2026 for the 2 No. TSE irrigation storage tanks, dismantling of damaged Tank-1, associated pipework and testing. Result: the proposal of SAR 8,110,296.62 is assessed at SAR 6,959,217.89, both excluding VAT (row 21). Basis: supplier quotations where the Contractor obtained them (Items 3 and 6), first-principles build-ups elsewhere ('Build-Up' tab), with every time-related period taken from the Contractor's programme of 29-Sep-2026 ('Programme' tab) - a programme under the Engineer's approval, not an agreed basis. Status: preliminary - items marked Provisional depend on confirmations still outstanding. Rev 02 replaces Rev 01 dated 17-Sep-2026 (SAR 6,921,685.64).</v>
      </c>
      <c r="B4" s="11"/>
      <c r="C4" s="11"/>
      <c r="D4" s="11"/>
      <c r="E4" s="11"/>
      <c r="F4" s="11"/>
      <c r="G4" s="11"/>
      <c r="H4" s="11"/>
      <c r="I4" s="11"/>
      <c r="J4" s="11"/>
      <c r="K4" s="11"/>
      <c r="L4" s="11"/>
      <c r="M4" s="11"/>
      <c r="N4" s="11"/>
      <c r="O4" s="11"/>
      <c r="P4" s="11"/>
    </row>
    <row r="5" customFormat="false" ht="33" hidden="false" customHeight="true" outlineLevel="0" collapsed="false">
      <c r="C5" s="12" t="s">
        <v>32</v>
      </c>
      <c r="D5" s="12"/>
      <c r="E5" s="12"/>
      <c r="F5" s="12"/>
      <c r="G5" s="12"/>
      <c r="H5" s="12" t="s">
        <v>33</v>
      </c>
      <c r="I5" s="12"/>
      <c r="J5" s="12"/>
      <c r="K5" s="12"/>
      <c r="L5" s="12"/>
      <c r="M5" s="12"/>
      <c r="N5" s="12"/>
      <c r="O5" s="12" t="s">
        <v>34</v>
      </c>
      <c r="P5" s="12"/>
    </row>
    <row r="6" customFormat="false" ht="31.5" hidden="false" customHeight="true" outlineLevel="0" collapsed="false">
      <c r="A6" s="13" t="s">
        <v>35</v>
      </c>
      <c r="B6" s="13" t="s">
        <v>36</v>
      </c>
      <c r="C6" s="13" t="s">
        <v>37</v>
      </c>
      <c r="D6" s="13" t="s">
        <v>38</v>
      </c>
      <c r="E6" s="13" t="s">
        <v>39</v>
      </c>
      <c r="F6" s="13" t="s">
        <v>40</v>
      </c>
      <c r="G6" s="13" t="s">
        <v>41</v>
      </c>
      <c r="H6" s="13" t="s">
        <v>37</v>
      </c>
      <c r="I6" s="13" t="s">
        <v>38</v>
      </c>
      <c r="J6" s="13" t="s">
        <v>39</v>
      </c>
      <c r="K6" s="14" t="s">
        <v>40</v>
      </c>
      <c r="L6" s="13" t="s">
        <v>42</v>
      </c>
      <c r="M6" s="13" t="s">
        <v>43</v>
      </c>
      <c r="N6" s="13" t="s">
        <v>44</v>
      </c>
      <c r="O6" s="13" t="s">
        <v>45</v>
      </c>
      <c r="P6" s="13" t="s">
        <v>46</v>
      </c>
    </row>
    <row r="7" customFormat="false" ht="21" hidden="false" customHeight="true" outlineLevel="0" collapsed="false">
      <c r="A7" s="15" t="s">
        <v>47</v>
      </c>
      <c r="B7" s="15"/>
      <c r="C7" s="15"/>
      <c r="D7" s="15"/>
      <c r="E7" s="15"/>
      <c r="F7" s="15"/>
      <c r="G7" s="15"/>
      <c r="H7" s="15"/>
      <c r="I7" s="15"/>
      <c r="J7" s="15"/>
      <c r="K7" s="15"/>
      <c r="L7" s="15"/>
      <c r="M7" s="15"/>
      <c r="N7" s="15"/>
      <c r="O7" s="15"/>
      <c r="P7" s="15"/>
    </row>
    <row r="8" customFormat="false" ht="157.5" hidden="false" customHeight="true" outlineLevel="0" collapsed="false">
      <c r="A8" s="16" t="n">
        <v>1</v>
      </c>
      <c r="B8" s="17" t="s">
        <v>48</v>
      </c>
      <c r="C8" s="16" t="s">
        <v>49</v>
      </c>
      <c r="D8" s="18" t="n">
        <v>1</v>
      </c>
      <c r="E8" s="18" t="n">
        <v>680000</v>
      </c>
      <c r="F8" s="18" t="n">
        <v>680000</v>
      </c>
      <c r="G8" s="19" t="s">
        <v>50</v>
      </c>
      <c r="H8" s="16" t="s">
        <v>49</v>
      </c>
      <c r="I8" s="18" t="n">
        <v>1</v>
      </c>
      <c r="J8" s="18" t="n">
        <f aca="false">'Build-Up'!$F$32</f>
        <v>323210.56</v>
      </c>
      <c r="K8" s="20" t="n">
        <f aca="false">I8*J8</f>
        <v>323210.56</v>
      </c>
      <c r="L8" s="19" t="s">
        <v>51</v>
      </c>
      <c r="M8" s="21" t="s">
        <v>52</v>
      </c>
      <c r="N8" s="21" t="s">
        <v>53</v>
      </c>
      <c r="O8" s="18" t="n">
        <f aca="false">F8-K8</f>
        <v>356789.44</v>
      </c>
      <c r="P8" s="22" t="n">
        <f aca="false">IF(K8=0,"",(F8-K8)/K8)</f>
        <v>1.10389165502513</v>
      </c>
    </row>
    <row r="9" customFormat="false" ht="21" hidden="false" customHeight="true" outlineLevel="0" collapsed="false">
      <c r="A9" s="15" t="s">
        <v>54</v>
      </c>
      <c r="B9" s="15"/>
      <c r="C9" s="15"/>
      <c r="D9" s="15"/>
      <c r="E9" s="15"/>
      <c r="F9" s="15"/>
      <c r="G9" s="15"/>
      <c r="H9" s="15"/>
      <c r="I9" s="15"/>
      <c r="J9" s="15"/>
      <c r="K9" s="15"/>
      <c r="L9" s="15"/>
      <c r="M9" s="15"/>
      <c r="N9" s="15"/>
      <c r="O9" s="15"/>
      <c r="P9" s="15"/>
    </row>
    <row r="10" customFormat="false" ht="39.75" hidden="false" customHeight="true" outlineLevel="0" collapsed="false">
      <c r="A10" s="16" t="n">
        <v>2</v>
      </c>
      <c r="B10" s="17" t="s">
        <v>55</v>
      </c>
      <c r="C10" s="16" t="s">
        <v>49</v>
      </c>
      <c r="D10" s="18" t="n">
        <v>1</v>
      </c>
      <c r="E10" s="18" t="n">
        <v>85000</v>
      </c>
      <c r="F10" s="18" t="n">
        <v>85000</v>
      </c>
      <c r="G10" s="19" t="s">
        <v>56</v>
      </c>
      <c r="H10" s="16" t="s">
        <v>49</v>
      </c>
      <c r="I10" s="18" t="n">
        <v>1</v>
      </c>
      <c r="J10" s="18" t="n">
        <f aca="false">'Build-Up'!$F$41</f>
        <v>50000</v>
      </c>
      <c r="K10" s="20" t="n">
        <f aca="false">I10*J10</f>
        <v>50000</v>
      </c>
      <c r="L10" s="19" t="s">
        <v>57</v>
      </c>
      <c r="M10" s="21" t="s">
        <v>52</v>
      </c>
      <c r="N10" s="21" t="s">
        <v>53</v>
      </c>
      <c r="O10" s="18" t="n">
        <f aca="false">F10-K10</f>
        <v>35000</v>
      </c>
      <c r="P10" s="22" t="n">
        <f aca="false">IF(K10=0,"",(F10-K10)/K10)</f>
        <v>0.7</v>
      </c>
    </row>
    <row r="11" customFormat="false" ht="21" hidden="false" customHeight="true" outlineLevel="0" collapsed="false">
      <c r="A11" s="15" t="s">
        <v>58</v>
      </c>
      <c r="B11" s="15"/>
      <c r="C11" s="15"/>
      <c r="D11" s="15"/>
      <c r="E11" s="15"/>
      <c r="F11" s="15"/>
      <c r="G11" s="15"/>
      <c r="H11" s="15"/>
      <c r="I11" s="15"/>
      <c r="J11" s="15"/>
      <c r="K11" s="15"/>
      <c r="L11" s="15"/>
      <c r="M11" s="15"/>
      <c r="N11" s="15"/>
      <c r="O11" s="15"/>
      <c r="P11" s="15"/>
    </row>
    <row r="12" customFormat="false" ht="66" hidden="false" customHeight="true" outlineLevel="0" collapsed="false">
      <c r="A12" s="16" t="n">
        <v>3</v>
      </c>
      <c r="B12" s="17" t="s">
        <v>59</v>
      </c>
      <c r="C12" s="16" t="s">
        <v>60</v>
      </c>
      <c r="D12" s="18" t="n">
        <v>1</v>
      </c>
      <c r="E12" s="18" t="n">
        <v>71000</v>
      </c>
      <c r="F12" s="18" t="n">
        <v>71000</v>
      </c>
      <c r="G12" s="19" t="s">
        <v>61</v>
      </c>
      <c r="H12" s="16" t="s">
        <v>60</v>
      </c>
      <c r="I12" s="18" t="n">
        <v>1</v>
      </c>
      <c r="J12" s="18" t="n">
        <f aca="false">'Build-Up'!$F$47</f>
        <v>71000</v>
      </c>
      <c r="K12" s="20" t="n">
        <f aca="false">I12*J12</f>
        <v>71000</v>
      </c>
      <c r="L12" s="19" t="s">
        <v>62</v>
      </c>
      <c r="M12" s="21" t="s">
        <v>63</v>
      </c>
      <c r="N12" s="21" t="s">
        <v>64</v>
      </c>
      <c r="O12" s="18" t="n">
        <f aca="false">F12-K12</f>
        <v>0</v>
      </c>
      <c r="P12" s="22" t="n">
        <f aca="false">IF(K12=0,"",(F12-K12)/K12)</f>
        <v>0</v>
      </c>
    </row>
    <row r="13" customFormat="false" ht="66" hidden="false" customHeight="true" outlineLevel="0" collapsed="false">
      <c r="A13" s="16" t="n">
        <v>4</v>
      </c>
      <c r="B13" s="17" t="s">
        <v>65</v>
      </c>
      <c r="C13" s="16" t="s">
        <v>49</v>
      </c>
      <c r="D13" s="18" t="n">
        <v>1</v>
      </c>
      <c r="E13" s="18" t="n">
        <v>10500</v>
      </c>
      <c r="F13" s="18" t="n">
        <v>10500</v>
      </c>
      <c r="G13" s="19" t="s">
        <v>56</v>
      </c>
      <c r="H13" s="16" t="s">
        <v>49</v>
      </c>
      <c r="I13" s="18" t="n">
        <v>1</v>
      </c>
      <c r="J13" s="18" t="n">
        <f aca="false">'Build-Up'!$F$69</f>
        <v>6300</v>
      </c>
      <c r="K13" s="20" t="n">
        <f aca="false">I13*J13</f>
        <v>6300</v>
      </c>
      <c r="L13" s="19" t="s">
        <v>66</v>
      </c>
      <c r="M13" s="21" t="s">
        <v>52</v>
      </c>
      <c r="N13" s="21" t="s">
        <v>67</v>
      </c>
      <c r="O13" s="18" t="n">
        <f aca="false">F13-K13</f>
        <v>4200</v>
      </c>
      <c r="P13" s="22" t="n">
        <f aca="false">IF(K13=0,"",(F13-K13)/K13)</f>
        <v>0.666666666666667</v>
      </c>
    </row>
    <row r="14" customFormat="false" ht="132" hidden="false" customHeight="true" outlineLevel="0" collapsed="false">
      <c r="A14" s="16" t="n">
        <v>5</v>
      </c>
      <c r="B14" s="17" t="s">
        <v>68</v>
      </c>
      <c r="C14" s="16" t="s">
        <v>60</v>
      </c>
      <c r="D14" s="18" t="n">
        <v>1</v>
      </c>
      <c r="E14" s="18" t="n">
        <v>504192.02</v>
      </c>
      <c r="F14" s="18" t="n">
        <v>504192.02</v>
      </c>
      <c r="G14" s="19" t="s">
        <v>50</v>
      </c>
      <c r="H14" s="16" t="s">
        <v>60</v>
      </c>
      <c r="I14" s="18" t="n">
        <v>1</v>
      </c>
      <c r="J14" s="18" t="n">
        <f aca="false">'Build-Up'!$F$89</f>
        <v>296010</v>
      </c>
      <c r="K14" s="20" t="n">
        <f aca="false">I14*J14</f>
        <v>296010</v>
      </c>
      <c r="L14" s="19" t="s">
        <v>69</v>
      </c>
      <c r="M14" s="21" t="s">
        <v>52</v>
      </c>
      <c r="N14" s="21" t="s">
        <v>53</v>
      </c>
      <c r="O14" s="18" t="n">
        <f aca="false">F14-K14</f>
        <v>208182.02</v>
      </c>
      <c r="P14" s="22" t="n">
        <f aca="false">IF(K14=0,"",(F14-K14)/K14)</f>
        <v>0.703293875206919</v>
      </c>
    </row>
    <row r="15" customFormat="false" ht="21" hidden="false" customHeight="true" outlineLevel="0" collapsed="false">
      <c r="A15" s="15" t="s">
        <v>70</v>
      </c>
      <c r="B15" s="15"/>
      <c r="C15" s="15"/>
      <c r="D15" s="15"/>
      <c r="E15" s="15"/>
      <c r="F15" s="15"/>
      <c r="G15" s="15"/>
      <c r="H15" s="15"/>
      <c r="I15" s="15"/>
      <c r="J15" s="15"/>
      <c r="K15" s="15"/>
      <c r="L15" s="15"/>
      <c r="M15" s="15"/>
      <c r="N15" s="15"/>
      <c r="O15" s="15"/>
      <c r="P15" s="15"/>
    </row>
    <row r="16" customFormat="false" ht="81.75" hidden="false" customHeight="true" outlineLevel="0" collapsed="false">
      <c r="A16" s="16" t="n">
        <v>6</v>
      </c>
      <c r="B16" s="17" t="s">
        <v>71</v>
      </c>
      <c r="C16" s="16" t="s">
        <v>72</v>
      </c>
      <c r="D16" s="18" t="n">
        <v>2</v>
      </c>
      <c r="E16" s="18" t="n">
        <v>2763500</v>
      </c>
      <c r="F16" s="18" t="n">
        <v>5527000</v>
      </c>
      <c r="G16" s="19" t="s">
        <v>73</v>
      </c>
      <c r="H16" s="16" t="s">
        <v>72</v>
      </c>
      <c r="I16" s="18" t="n">
        <v>2</v>
      </c>
      <c r="J16" s="18" t="n">
        <f aca="false">'Build-Up'!$F$95</f>
        <v>2763500</v>
      </c>
      <c r="K16" s="20" t="n">
        <f aca="false">I16*J16</f>
        <v>5527000</v>
      </c>
      <c r="L16" s="19" t="s">
        <v>74</v>
      </c>
      <c r="M16" s="21" t="s">
        <v>63</v>
      </c>
      <c r="N16" s="21" t="s">
        <v>75</v>
      </c>
      <c r="O16" s="18" t="n">
        <f aca="false">F16-K16</f>
        <v>0</v>
      </c>
      <c r="P16" s="22" t="n">
        <f aca="false">IF(K16=0,"",(F16-K16)/K16)</f>
        <v>0</v>
      </c>
    </row>
    <row r="17" customFormat="false" ht="170.25" hidden="false" customHeight="true" outlineLevel="0" collapsed="false">
      <c r="A17" s="16" t="n">
        <v>7</v>
      </c>
      <c r="B17" s="17" t="s">
        <v>76</v>
      </c>
      <c r="C17" s="16" t="s">
        <v>60</v>
      </c>
      <c r="D17" s="18" t="n">
        <v>2</v>
      </c>
      <c r="E17" s="18" t="n">
        <v>213200</v>
      </c>
      <c r="F17" s="18" t="n">
        <v>426400</v>
      </c>
      <c r="G17" s="19" t="s">
        <v>50</v>
      </c>
      <c r="H17" s="16" t="s">
        <v>60</v>
      </c>
      <c r="I17" s="18" t="n">
        <v>2</v>
      </c>
      <c r="J17" s="18" t="n">
        <f aca="false">'Build-Up'!$F$124</f>
        <v>54553</v>
      </c>
      <c r="K17" s="20" t="n">
        <f aca="false">I17*J17</f>
        <v>109106</v>
      </c>
      <c r="L17" s="19" t="s">
        <v>77</v>
      </c>
      <c r="M17" s="21" t="s">
        <v>52</v>
      </c>
      <c r="N17" s="21" t="s">
        <v>78</v>
      </c>
      <c r="O17" s="18" t="n">
        <f aca="false">F17-K17</f>
        <v>317294</v>
      </c>
      <c r="P17" s="22" t="n">
        <f aca="false">IF(K17=0,"",(F17-K17)/K17)</f>
        <v>2.90812604256411</v>
      </c>
    </row>
    <row r="18" customFormat="false" ht="105.75" hidden="false" customHeight="true" outlineLevel="0" collapsed="false">
      <c r="A18" s="16" t="n">
        <v>8</v>
      </c>
      <c r="B18" s="17" t="s">
        <v>79</v>
      </c>
      <c r="C18" s="16" t="s">
        <v>49</v>
      </c>
      <c r="D18" s="18" t="n">
        <v>1</v>
      </c>
      <c r="E18" s="18" t="n">
        <v>420000</v>
      </c>
      <c r="F18" s="18" t="n">
        <v>420000</v>
      </c>
      <c r="G18" s="19" t="s">
        <v>50</v>
      </c>
      <c r="H18" s="16" t="s">
        <v>49</v>
      </c>
      <c r="I18" s="18" t="n">
        <v>1</v>
      </c>
      <c r="J18" s="18" t="n">
        <f aca="false">'Build-Up'!$F$150</f>
        <v>245200</v>
      </c>
      <c r="K18" s="20" t="n">
        <f aca="false">I18*J18</f>
        <v>245200</v>
      </c>
      <c r="L18" s="19" t="s">
        <v>80</v>
      </c>
      <c r="M18" s="21" t="s">
        <v>52</v>
      </c>
      <c r="N18" s="21" t="s">
        <v>81</v>
      </c>
      <c r="O18" s="18" t="n">
        <f aca="false">F18-K18</f>
        <v>174800</v>
      </c>
      <c r="P18" s="22" t="n">
        <f aca="false">IF(K18=0,"",(F18-K18)/K18)</f>
        <v>0.712887438825449</v>
      </c>
    </row>
    <row r="19" customFormat="false" ht="21.75" hidden="false" customHeight="true" outlineLevel="0" collapsed="false">
      <c r="A19" s="23"/>
      <c r="B19" s="23" t="s">
        <v>82</v>
      </c>
      <c r="C19" s="23"/>
      <c r="D19" s="23"/>
      <c r="E19" s="23"/>
      <c r="F19" s="24" t="n">
        <f aca="false">SUM(F8:F18)</f>
        <v>7724092.02</v>
      </c>
      <c r="G19" s="23"/>
      <c r="H19" s="23"/>
      <c r="I19" s="23"/>
      <c r="J19" s="23"/>
      <c r="K19" s="25" t="n">
        <f aca="false">SUM(K8:K18)</f>
        <v>6627826.56</v>
      </c>
      <c r="L19" s="23"/>
      <c r="M19" s="23"/>
      <c r="N19" s="23"/>
      <c r="O19" s="24" t="n">
        <f aca="false">F19-K19</f>
        <v>1096265.46</v>
      </c>
      <c r="P19" s="26" t="n">
        <f aca="false">IF(K19=0,"",(F19-K19)/K19)</f>
        <v>0.165403462217334</v>
      </c>
    </row>
    <row r="20" customFormat="false" ht="70.5" hidden="false" customHeight="true" outlineLevel="0" collapsed="false">
      <c r="A20" s="27"/>
      <c r="B20" s="27" t="s">
        <v>83</v>
      </c>
      <c r="C20" s="27"/>
      <c r="D20" s="27"/>
      <c r="E20" s="27"/>
      <c r="F20" s="28" t="n">
        <v>386204.6</v>
      </c>
      <c r="G20" s="27"/>
      <c r="H20" s="27"/>
      <c r="I20" s="27"/>
      <c r="J20" s="27"/>
      <c r="K20" s="29" t="n">
        <f aca="false">ROUND(K19*0.05,2)</f>
        <v>331391.33</v>
      </c>
      <c r="L20" s="30" t="s">
        <v>84</v>
      </c>
      <c r="M20" s="27"/>
      <c r="N20" s="27"/>
      <c r="O20" s="28" t="n">
        <f aca="false">F20-K20</f>
        <v>54813.27</v>
      </c>
      <c r="P20" s="31" t="n">
        <f aca="false">IF(K20=0,"",(F20-K20)/K20)</f>
        <v>0.165403452166356</v>
      </c>
    </row>
    <row r="21" customFormat="false" ht="21.75" hidden="false" customHeight="true" outlineLevel="0" collapsed="false">
      <c r="A21" s="23"/>
      <c r="B21" s="23" t="s">
        <v>85</v>
      </c>
      <c r="C21" s="23"/>
      <c r="D21" s="23"/>
      <c r="E21" s="23"/>
      <c r="F21" s="24" t="n">
        <f aca="false">F19+F20</f>
        <v>8110296.62</v>
      </c>
      <c r="G21" s="23"/>
      <c r="H21" s="23"/>
      <c r="I21" s="23"/>
      <c r="J21" s="23"/>
      <c r="K21" s="32" t="n">
        <f aca="false">K19+K20</f>
        <v>6959217.89</v>
      </c>
      <c r="L21" s="23"/>
      <c r="M21" s="23"/>
      <c r="N21" s="23"/>
      <c r="O21" s="24" t="n">
        <f aca="false">F21-K21</f>
        <v>1151078.73</v>
      </c>
      <c r="P21" s="26" t="n">
        <f aca="false">IF(K21=0,"",(F21-K21)/K21)</f>
        <v>0.165403461738716</v>
      </c>
    </row>
    <row r="22" customFormat="false" ht="39.75" hidden="false" customHeight="true" outlineLevel="0" collapsed="false">
      <c r="A22" s="11" t="s">
        <v>86</v>
      </c>
      <c r="B22" s="11"/>
      <c r="C22" s="11"/>
      <c r="D22" s="11"/>
      <c r="E22" s="11"/>
      <c r="F22" s="11"/>
      <c r="G22" s="11"/>
      <c r="H22" s="11"/>
      <c r="I22" s="11"/>
      <c r="J22" s="11"/>
      <c r="K22" s="11"/>
      <c r="L22" s="11"/>
      <c r="M22" s="11"/>
      <c r="N22" s="11"/>
      <c r="O22" s="11"/>
      <c r="P22" s="11"/>
    </row>
    <row r="23" customFormat="false" ht="27.75" hidden="false" customHeight="true" outlineLevel="0" collapsed="false">
      <c r="A23" s="33" t="s">
        <v>87</v>
      </c>
      <c r="B23" s="33"/>
      <c r="C23" s="33"/>
      <c r="D23" s="33"/>
      <c r="E23" s="33"/>
      <c r="F23" s="33"/>
      <c r="G23" s="33"/>
      <c r="H23" s="33"/>
      <c r="I23" s="33"/>
      <c r="J23" s="33"/>
      <c r="K23" s="33"/>
      <c r="L23" s="33"/>
      <c r="M23" s="33"/>
      <c r="N23" s="33"/>
      <c r="O23" s="33"/>
      <c r="P23" s="33"/>
    </row>
    <row r="24" customFormat="false" ht="54" hidden="false" customHeight="true" outlineLevel="0" collapsed="false">
      <c r="A24" s="11" t="str">
        <f aca="false">"Changes from Rev 01 dated 17-Sep-2026 (SAR 6,921,685.64): every time-related period re-based from an assumed 3-month site period to the Contractor's programme of 29-Sep-2026 - site staff and facilities for the site period to the end of demobilisation (Item 1 and the generators in Item 5), plant, attendance and access equipment on the efficient-working erection windows (Item 5); Item 7 re-sequenced with the Engineer's sequential basis carried, commissioning staff reconciled to that sequence and a nil line added for the third-party factory test; Item 8 re-described to the RFP specification with the Contractor's procured materials shown alongside; the Contractor's cost loading, cash flow and manpower histogram recorded as evidence on the 'Build-Up Comparison' tab. No rate has moved. Net effect: SAR " &amp; TEXT(K21-6921685.64,"#,##0.00;-#,##0.00") &amp; " (" &amp; TEXT((K21-6921685.64)/6921685.64,"0.0%;-0.0%") &amp; ")."</f>
        <v>Changes from Rev 01 dated 17-Sep-2026 (SAR 6,921,685.64): every time-related period re-based from an assumed 3-month site period to the Contractor's programme of 29-Sep-2026 - site staff and facilities for the site period to the end of demobilisation (Item 1 and the generators in Item 5), plant, attendance and access equipment on the efficient-working erection windows (Item 5); Item 7 re-sequenced with the Engineer's sequential basis carried, commissioning staff reconciled to that sequence and a nil line added for the third-party factory test; Item 8 re-described to the RFP specification with the Contractor's procured materials shown alongside; the Contractor's cost loading, cash flow and manpower histogram recorded as evidence on the 'Build-Up Comparison' tab. No rate has moved. Net effect: SAR 37,532.25 (0.5%).</v>
      </c>
      <c r="B24" s="11"/>
      <c r="C24" s="11"/>
      <c r="D24" s="11"/>
      <c r="E24" s="11"/>
      <c r="F24" s="11"/>
      <c r="G24" s="11"/>
      <c r="H24" s="11"/>
      <c r="I24" s="11"/>
      <c r="J24" s="11"/>
      <c r="K24" s="11"/>
      <c r="L24" s="11"/>
      <c r="M24" s="11"/>
      <c r="N24" s="11"/>
      <c r="O24" s="11"/>
      <c r="P24" s="11"/>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6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G15" activeCellId="0" sqref="G15"/>
    </sheetView>
  </sheetViews>
  <sheetFormatPr defaultColWidth="8.6640625" defaultRowHeight="14.25" zeroHeight="false" outlineLevelRow="0" outlineLevelCol="0"/>
  <cols>
    <col collapsed="false" customWidth="true" hidden="false" outlineLevel="0" max="1" min="1" style="7" width="7"/>
    <col collapsed="false" customWidth="true" hidden="false" outlineLevel="0" max="2" min="2" style="7" width="58"/>
    <col collapsed="false" customWidth="true" hidden="false" outlineLevel="0" max="3" min="3" style="7" width="9"/>
    <col collapsed="false" customWidth="true" hidden="false" outlineLevel="0" max="4" min="4" style="7" width="10"/>
    <col collapsed="false" customWidth="true" hidden="false" outlineLevel="0" max="5" min="5" style="7" width="13"/>
    <col collapsed="false" customWidth="true" hidden="false" outlineLevel="0" max="6" min="6" style="7" width="15"/>
    <col collapsed="false" customWidth="true" hidden="false" outlineLevel="0" max="7" min="7" style="7" width="52"/>
  </cols>
  <sheetData>
    <row r="1" customFormat="false" ht="25.5" hidden="false" customHeight="true" outlineLevel="0" collapsed="false">
      <c r="A1" s="8" t="s">
        <v>88</v>
      </c>
    </row>
    <row r="2" customFormat="false" ht="17.25" hidden="false" customHeight="true" outlineLevel="0" collapsed="false">
      <c r="A2" s="9" t="s">
        <v>30</v>
      </c>
    </row>
    <row r="3" customFormat="false" ht="14.25" hidden="false" customHeight="false" outlineLevel="0" collapsed="false">
      <c r="A3" s="10" t="s">
        <v>31</v>
      </c>
    </row>
    <row r="4" customFormat="false" ht="54.75" hidden="false" customHeight="true" outlineLevel="0" collapsed="false">
      <c r="A4" s="11" t="s">
        <v>89</v>
      </c>
      <c r="B4" s="11"/>
      <c r="C4" s="11"/>
      <c r="D4" s="11"/>
      <c r="E4" s="11"/>
      <c r="F4" s="11"/>
      <c r="G4" s="11"/>
    </row>
    <row r="6" customFormat="false" ht="21" hidden="false" customHeight="true" outlineLevel="0" collapsed="false">
      <c r="A6" s="15" t="s">
        <v>90</v>
      </c>
      <c r="B6" s="15"/>
      <c r="C6" s="15"/>
      <c r="D6" s="15"/>
      <c r="E6" s="15"/>
      <c r="F6" s="15"/>
      <c r="G6" s="15"/>
    </row>
    <row r="7" customFormat="false" ht="96" hidden="false" customHeight="true" outlineLevel="0" collapsed="false">
      <c r="A7" s="11" t="s">
        <v>91</v>
      </c>
      <c r="B7" s="11"/>
      <c r="C7" s="11"/>
      <c r="D7" s="11"/>
      <c r="E7" s="11"/>
      <c r="F7" s="11"/>
      <c r="G7" s="11"/>
    </row>
    <row r="8" customFormat="false" ht="24" hidden="false" customHeight="true" outlineLevel="0" collapsed="false">
      <c r="A8" s="13" t="s">
        <v>92</v>
      </c>
      <c r="B8" s="13" t="s">
        <v>36</v>
      </c>
      <c r="C8" s="13" t="s">
        <v>37</v>
      </c>
      <c r="D8" s="13" t="s">
        <v>38</v>
      </c>
      <c r="E8" s="13" t="s">
        <v>39</v>
      </c>
      <c r="F8" s="13" t="s">
        <v>40</v>
      </c>
      <c r="G8" s="13" t="s">
        <v>93</v>
      </c>
    </row>
    <row r="9" customFormat="false" ht="67.5" hidden="false" customHeight="true" outlineLevel="0" collapsed="false">
      <c r="A9" s="16" t="s">
        <v>94</v>
      </c>
      <c r="B9" s="17" t="s">
        <v>95</v>
      </c>
      <c r="C9" s="16" t="s">
        <v>96</v>
      </c>
      <c r="D9" s="18" t="n">
        <f aca="false">Programme!$G$56</f>
        <v>4.1</v>
      </c>
      <c r="E9" s="18" t="n">
        <v>12000</v>
      </c>
      <c r="F9" s="18" t="n">
        <f aca="false">D9*E9</f>
        <v>49200</v>
      </c>
      <c r="G9" s="19" t="s">
        <v>97</v>
      </c>
    </row>
    <row r="10" customFormat="false" ht="42" hidden="false" customHeight="true" outlineLevel="0" collapsed="false">
      <c r="A10" s="16" t="s">
        <v>98</v>
      </c>
      <c r="B10" s="17" t="s">
        <v>99</v>
      </c>
      <c r="C10" s="16" t="s">
        <v>96</v>
      </c>
      <c r="D10" s="18" t="n">
        <f aca="false">Programme!$G$57</f>
        <v>4.1</v>
      </c>
      <c r="E10" s="18" t="n">
        <v>10000</v>
      </c>
      <c r="F10" s="18" t="n">
        <f aca="false">D10*E10</f>
        <v>41000</v>
      </c>
      <c r="G10" s="19" t="s">
        <v>100</v>
      </c>
    </row>
    <row r="11" customFormat="false" ht="54.75" hidden="false" customHeight="true" outlineLevel="0" collapsed="false">
      <c r="A11" s="16" t="s">
        <v>101</v>
      </c>
      <c r="B11" s="17" t="s">
        <v>102</v>
      </c>
      <c r="C11" s="16" t="s">
        <v>96</v>
      </c>
      <c r="D11" s="18" t="n">
        <f aca="false">Programme!$G$58</f>
        <v>4.1</v>
      </c>
      <c r="E11" s="18" t="n">
        <v>10000</v>
      </c>
      <c r="F11" s="18" t="n">
        <f aca="false">D11*E11</f>
        <v>41000</v>
      </c>
      <c r="G11" s="19" t="s">
        <v>103</v>
      </c>
    </row>
    <row r="12" customFormat="false" ht="42" hidden="false" customHeight="true" outlineLevel="0" collapsed="false">
      <c r="A12" s="16" t="s">
        <v>104</v>
      </c>
      <c r="B12" s="17" t="s">
        <v>105</v>
      </c>
      <c r="C12" s="16" t="s">
        <v>96</v>
      </c>
      <c r="D12" s="18" t="n">
        <f aca="false">Programme!$G$59</f>
        <v>4.1</v>
      </c>
      <c r="E12" s="18" t="n">
        <v>8000</v>
      </c>
      <c r="F12" s="18" t="n">
        <f aca="false">D12*E12</f>
        <v>32800</v>
      </c>
      <c r="G12" s="19" t="s">
        <v>100</v>
      </c>
    </row>
    <row r="13" customFormat="false" ht="54.75" hidden="false" customHeight="true" outlineLevel="0" collapsed="false">
      <c r="A13" s="16" t="s">
        <v>106</v>
      </c>
      <c r="B13" s="17" t="s">
        <v>107</v>
      </c>
      <c r="C13" s="16" t="s">
        <v>96</v>
      </c>
      <c r="D13" s="18" t="n">
        <f aca="false">Programme!$G$60</f>
        <v>4.1</v>
      </c>
      <c r="E13" s="18" t="n">
        <v>4000</v>
      </c>
      <c r="F13" s="18" t="n">
        <f aca="false">D13*E13</f>
        <v>16400</v>
      </c>
      <c r="G13" s="19" t="s">
        <v>108</v>
      </c>
    </row>
    <row r="14" customFormat="false" ht="54.75" hidden="false" customHeight="true" outlineLevel="0" collapsed="false">
      <c r="A14" s="16" t="s">
        <v>109</v>
      </c>
      <c r="B14" s="17" t="s">
        <v>110</v>
      </c>
      <c r="C14" s="16" t="s">
        <v>96</v>
      </c>
      <c r="D14" s="18" t="n">
        <f aca="false">Programme!$G$61</f>
        <v>4.1</v>
      </c>
      <c r="E14" s="18" t="n">
        <v>2200</v>
      </c>
      <c r="F14" s="18" t="n">
        <f aca="false">D14*E14</f>
        <v>9020</v>
      </c>
      <c r="G14" s="19" t="s">
        <v>111</v>
      </c>
    </row>
    <row r="15" customFormat="false" ht="54.75" hidden="false" customHeight="true" outlineLevel="0" collapsed="false">
      <c r="A15" s="16" t="s">
        <v>112</v>
      </c>
      <c r="B15" s="17" t="s">
        <v>113</v>
      </c>
      <c r="C15" s="16" t="s">
        <v>96</v>
      </c>
      <c r="D15" s="18" t="n">
        <f aca="false">Programme!$G$62</f>
        <v>4.1</v>
      </c>
      <c r="E15" s="18" t="n">
        <v>2200</v>
      </c>
      <c r="F15" s="18" t="n">
        <f aca="false">D15*E15</f>
        <v>9020</v>
      </c>
      <c r="G15" s="19" t="s">
        <v>111</v>
      </c>
    </row>
    <row r="16" customFormat="false" ht="54.75" hidden="false" customHeight="true" outlineLevel="0" collapsed="false">
      <c r="A16" s="16" t="s">
        <v>114</v>
      </c>
      <c r="B16" s="17" t="s">
        <v>115</v>
      </c>
      <c r="C16" s="16" t="s">
        <v>96</v>
      </c>
      <c r="D16" s="18" t="n">
        <f aca="false">Programme!$G$63</f>
        <v>4.1</v>
      </c>
      <c r="E16" s="18" t="n">
        <v>1300</v>
      </c>
      <c r="F16" s="18" t="n">
        <f aca="false">D16*E16</f>
        <v>5330</v>
      </c>
      <c r="G16" s="19" t="s">
        <v>111</v>
      </c>
    </row>
    <row r="17" customFormat="false" ht="54.75" hidden="false" customHeight="true" outlineLevel="0" collapsed="false">
      <c r="A17" s="16" t="s">
        <v>116</v>
      </c>
      <c r="B17" s="17" t="s">
        <v>117</v>
      </c>
      <c r="C17" s="16" t="s">
        <v>118</v>
      </c>
      <c r="D17" s="18" t="n">
        <f aca="false">Programme!$G$64</f>
        <v>36</v>
      </c>
      <c r="E17" s="18" t="n">
        <v>350</v>
      </c>
      <c r="F17" s="18" t="n">
        <f aca="false">D17*E17</f>
        <v>12600</v>
      </c>
      <c r="G17" s="19" t="s">
        <v>119</v>
      </c>
    </row>
    <row r="18" customFormat="false" ht="54.75" hidden="false" customHeight="true" outlineLevel="0" collapsed="false">
      <c r="A18" s="16" t="s">
        <v>120</v>
      </c>
      <c r="B18" s="17" t="s">
        <v>121</v>
      </c>
      <c r="C18" s="16" t="s">
        <v>96</v>
      </c>
      <c r="D18" s="18" t="n">
        <f aca="false">Programme!$G$65</f>
        <v>4.1</v>
      </c>
      <c r="E18" s="18" t="n">
        <v>350</v>
      </c>
      <c r="F18" s="18" t="n">
        <f aca="false">D18*E18</f>
        <v>1435</v>
      </c>
      <c r="G18" s="19" t="s">
        <v>111</v>
      </c>
    </row>
    <row r="19" customFormat="false" ht="54.75" hidden="false" customHeight="true" outlineLevel="0" collapsed="false">
      <c r="A19" s="16" t="s">
        <v>122</v>
      </c>
      <c r="B19" s="17" t="s">
        <v>123</v>
      </c>
      <c r="C19" s="16" t="s">
        <v>124</v>
      </c>
      <c r="D19" s="18" t="n">
        <f aca="false">Programme!$G$66</f>
        <v>4</v>
      </c>
      <c r="E19" s="18" t="n">
        <v>1200</v>
      </c>
      <c r="F19" s="18" t="n">
        <f aca="false">D19*E19</f>
        <v>4800</v>
      </c>
      <c r="G19" s="19" t="s">
        <v>125</v>
      </c>
    </row>
    <row r="20" customFormat="false" ht="54.75" hidden="false" customHeight="true" outlineLevel="0" collapsed="false">
      <c r="A20" s="16" t="s">
        <v>126</v>
      </c>
      <c r="B20" s="17" t="s">
        <v>127</v>
      </c>
      <c r="C20" s="16" t="s">
        <v>96</v>
      </c>
      <c r="D20" s="18" t="n">
        <f aca="false">Programme!$G$67</f>
        <v>4.1</v>
      </c>
      <c r="E20" s="18" t="n">
        <v>4000</v>
      </c>
      <c r="F20" s="18" t="n">
        <f aca="false">D20*E20</f>
        <v>16400</v>
      </c>
      <c r="G20" s="19" t="s">
        <v>128</v>
      </c>
    </row>
    <row r="21" customFormat="false" ht="67.5" hidden="false" customHeight="true" outlineLevel="0" collapsed="false">
      <c r="A21" s="16" t="s">
        <v>129</v>
      </c>
      <c r="B21" s="17" t="s">
        <v>130</v>
      </c>
      <c r="C21" s="16" t="s">
        <v>96</v>
      </c>
      <c r="D21" s="18" t="n">
        <f aca="false">Programme!$G$68</f>
        <v>4.1</v>
      </c>
      <c r="E21" s="18" t="n">
        <v>4500</v>
      </c>
      <c r="F21" s="18" t="n">
        <f aca="false">D21*E21</f>
        <v>18450</v>
      </c>
      <c r="G21" s="19" t="s">
        <v>131</v>
      </c>
    </row>
    <row r="22" customFormat="false" ht="54.75" hidden="false" customHeight="true" outlineLevel="0" collapsed="false">
      <c r="A22" s="16" t="s">
        <v>132</v>
      </c>
      <c r="B22" s="17" t="s">
        <v>133</v>
      </c>
      <c r="C22" s="16" t="s">
        <v>134</v>
      </c>
      <c r="D22" s="18" t="n">
        <v>5</v>
      </c>
      <c r="E22" s="18" t="n">
        <v>1250</v>
      </c>
      <c r="F22" s="18" t="n">
        <f aca="false">D22*E22</f>
        <v>6250</v>
      </c>
      <c r="G22" s="19" t="s">
        <v>135</v>
      </c>
    </row>
    <row r="23" customFormat="false" ht="54.75" hidden="false" customHeight="true" outlineLevel="0" collapsed="false">
      <c r="A23" s="16" t="s">
        <v>136</v>
      </c>
      <c r="B23" s="17" t="s">
        <v>137</v>
      </c>
      <c r="C23" s="16" t="s">
        <v>134</v>
      </c>
      <c r="D23" s="18" t="n">
        <v>5</v>
      </c>
      <c r="E23" s="18" t="n">
        <v>1250</v>
      </c>
      <c r="F23" s="18" t="n">
        <f aca="false">D23*E23</f>
        <v>6250</v>
      </c>
      <c r="G23" s="19" t="s">
        <v>138</v>
      </c>
    </row>
    <row r="24" customFormat="false" ht="29.25" hidden="false" customHeight="true" outlineLevel="0" collapsed="false">
      <c r="A24" s="16" t="s">
        <v>139</v>
      </c>
      <c r="B24" s="17" t="s">
        <v>140</v>
      </c>
      <c r="C24" s="16" t="s">
        <v>141</v>
      </c>
      <c r="D24" s="18" t="n">
        <v>12</v>
      </c>
      <c r="E24" s="18" t="n">
        <v>150</v>
      </c>
      <c r="F24" s="18" t="n">
        <f aca="false">D24*E24</f>
        <v>1800</v>
      </c>
      <c r="G24" s="19" t="s">
        <v>142</v>
      </c>
    </row>
    <row r="25" customFormat="false" ht="66" hidden="false" customHeight="true" outlineLevel="0" collapsed="false">
      <c r="A25" s="16" t="s">
        <v>143</v>
      </c>
      <c r="B25" s="17" t="s">
        <v>144</v>
      </c>
      <c r="C25" s="16" t="s">
        <v>145</v>
      </c>
      <c r="D25" s="18" t="n">
        <v>1</v>
      </c>
      <c r="E25" s="18" t="n">
        <v>13000</v>
      </c>
      <c r="F25" s="18" t="n">
        <f aca="false">D25*E25</f>
        <v>13000</v>
      </c>
      <c r="G25" s="19" t="s">
        <v>146</v>
      </c>
    </row>
    <row r="26" customFormat="false" ht="54.75" hidden="false" customHeight="true" outlineLevel="0" collapsed="false">
      <c r="A26" s="16" t="s">
        <v>147</v>
      </c>
      <c r="B26" s="17" t="s">
        <v>148</v>
      </c>
      <c r="C26" s="16" t="s">
        <v>72</v>
      </c>
      <c r="D26" s="18" t="n">
        <v>15</v>
      </c>
      <c r="E26" s="18" t="n">
        <v>350</v>
      </c>
      <c r="F26" s="18" t="n">
        <f aca="false">D26*E26</f>
        <v>5250</v>
      </c>
      <c r="G26" s="19" t="s">
        <v>149</v>
      </c>
    </row>
    <row r="27" customFormat="false" ht="51.75" hidden="false" customHeight="true" outlineLevel="0" collapsed="false">
      <c r="A27" s="16" t="s">
        <v>150</v>
      </c>
      <c r="B27" s="17" t="s">
        <v>151</v>
      </c>
      <c r="C27" s="16" t="s">
        <v>72</v>
      </c>
      <c r="D27" s="18" t="n">
        <v>12</v>
      </c>
      <c r="E27" s="18" t="n">
        <v>150</v>
      </c>
      <c r="F27" s="18" t="n">
        <f aca="false">D27*E27</f>
        <v>1800</v>
      </c>
      <c r="G27" s="19" t="s">
        <v>152</v>
      </c>
    </row>
    <row r="28" customFormat="false" ht="54.75" hidden="false" customHeight="true" outlineLevel="0" collapsed="false">
      <c r="A28" s="16" t="s">
        <v>153</v>
      </c>
      <c r="B28" s="17" t="s">
        <v>154</v>
      </c>
      <c r="C28" s="16" t="s">
        <v>72</v>
      </c>
      <c r="D28" s="18" t="n">
        <v>12</v>
      </c>
      <c r="E28" s="18" t="n">
        <v>1479.63</v>
      </c>
      <c r="F28" s="18" t="n">
        <f aca="false">D28*E28</f>
        <v>17755.56</v>
      </c>
      <c r="G28" s="19" t="s">
        <v>155</v>
      </c>
    </row>
    <row r="29" customFormat="false" ht="51.75" hidden="false" customHeight="true" outlineLevel="0" collapsed="false">
      <c r="A29" s="16" t="s">
        <v>156</v>
      </c>
      <c r="B29" s="17" t="s">
        <v>157</v>
      </c>
      <c r="C29" s="16" t="s">
        <v>158</v>
      </c>
      <c r="D29" s="18" t="n">
        <v>100</v>
      </c>
      <c r="E29" s="18" t="n">
        <v>100</v>
      </c>
      <c r="F29" s="18" t="n">
        <f aca="false">D29*E29</f>
        <v>10000</v>
      </c>
      <c r="G29" s="19" t="s">
        <v>159</v>
      </c>
    </row>
    <row r="30" customFormat="false" ht="118.5" hidden="false" customHeight="true" outlineLevel="0" collapsed="false">
      <c r="A30" s="16" t="s">
        <v>160</v>
      </c>
      <c r="B30" s="17" t="s">
        <v>161</v>
      </c>
      <c r="C30" s="16" t="s">
        <v>162</v>
      </c>
      <c r="D30" s="18" t="n">
        <v>3</v>
      </c>
      <c r="E30" s="18" t="n">
        <v>550</v>
      </c>
      <c r="F30" s="18" t="n">
        <f aca="false">D30*E30</f>
        <v>1650</v>
      </c>
      <c r="G30" s="19" t="s">
        <v>163</v>
      </c>
    </row>
    <row r="31" customFormat="false" ht="45" hidden="false" customHeight="true" outlineLevel="0" collapsed="false">
      <c r="A31" s="16" t="s">
        <v>164</v>
      </c>
      <c r="B31" s="17" t="s">
        <v>165</v>
      </c>
      <c r="C31" s="16" t="s">
        <v>162</v>
      </c>
      <c r="D31" s="18" t="n">
        <v>4</v>
      </c>
      <c r="E31" s="18" t="n">
        <v>500</v>
      </c>
      <c r="F31" s="18" t="n">
        <f aca="false">D31*E31</f>
        <v>2000</v>
      </c>
      <c r="G31" s="19" t="s">
        <v>142</v>
      </c>
    </row>
    <row r="32" customFormat="false" ht="19.5" hidden="false" customHeight="true" outlineLevel="0" collapsed="false">
      <c r="A32" s="34"/>
      <c r="B32" s="23" t="s">
        <v>166</v>
      </c>
      <c r="C32" s="34"/>
      <c r="D32" s="34"/>
      <c r="E32" s="34"/>
      <c r="F32" s="35" t="n">
        <f aca="false">SUM(F9:F31)</f>
        <v>323210.56</v>
      </c>
      <c r="G32" s="34"/>
    </row>
    <row r="34" customFormat="false" ht="21" hidden="false" customHeight="true" outlineLevel="0" collapsed="false">
      <c r="A34" s="15" t="s">
        <v>167</v>
      </c>
      <c r="B34" s="15"/>
      <c r="C34" s="15"/>
      <c r="D34" s="15"/>
      <c r="E34" s="15"/>
      <c r="F34" s="15"/>
      <c r="G34" s="15"/>
    </row>
    <row r="35" customFormat="false" ht="31.5" hidden="false" customHeight="true" outlineLevel="0" collapsed="false">
      <c r="A35" s="11" t="s">
        <v>168</v>
      </c>
      <c r="B35" s="11"/>
      <c r="C35" s="11"/>
      <c r="D35" s="11"/>
      <c r="E35" s="11"/>
      <c r="F35" s="11"/>
      <c r="G35" s="11"/>
    </row>
    <row r="36" customFormat="false" ht="24" hidden="false" customHeight="true" outlineLevel="0" collapsed="false">
      <c r="A36" s="13" t="s">
        <v>92</v>
      </c>
      <c r="B36" s="13" t="s">
        <v>36</v>
      </c>
      <c r="C36" s="13" t="s">
        <v>37</v>
      </c>
      <c r="D36" s="13" t="s">
        <v>38</v>
      </c>
      <c r="E36" s="13" t="s">
        <v>39</v>
      </c>
      <c r="F36" s="13" t="s">
        <v>40</v>
      </c>
      <c r="G36" s="13" t="s">
        <v>93</v>
      </c>
    </row>
    <row r="37" customFormat="false" ht="80.25" hidden="false" customHeight="true" outlineLevel="0" collapsed="false">
      <c r="A37" s="16" t="s">
        <v>169</v>
      </c>
      <c r="B37" s="17" t="s">
        <v>170</v>
      </c>
      <c r="C37" s="16" t="s">
        <v>96</v>
      </c>
      <c r="D37" s="18" t="n">
        <v>2</v>
      </c>
      <c r="E37" s="18" t="n">
        <v>15000</v>
      </c>
      <c r="F37" s="18" t="n">
        <f aca="false">D37*E37</f>
        <v>30000</v>
      </c>
      <c r="G37" s="19" t="s">
        <v>171</v>
      </c>
    </row>
    <row r="38" customFormat="false" ht="54.75" hidden="false" customHeight="true" outlineLevel="0" collapsed="false">
      <c r="A38" s="16" t="s">
        <v>172</v>
      </c>
      <c r="B38" s="17" t="s">
        <v>173</v>
      </c>
      <c r="C38" s="16" t="s">
        <v>96</v>
      </c>
      <c r="D38" s="18" t="n">
        <v>1.5</v>
      </c>
      <c r="E38" s="18" t="n">
        <v>8000</v>
      </c>
      <c r="F38" s="18" t="n">
        <f aca="false">D38*E38</f>
        <v>12000</v>
      </c>
      <c r="G38" s="19" t="s">
        <v>174</v>
      </c>
    </row>
    <row r="39" customFormat="false" ht="90.75" hidden="false" customHeight="true" outlineLevel="0" collapsed="false">
      <c r="A39" s="16" t="s">
        <v>175</v>
      </c>
      <c r="B39" s="17" t="s">
        <v>176</v>
      </c>
      <c r="C39" s="16" t="s">
        <v>177</v>
      </c>
      <c r="D39" s="18" t="n">
        <v>4</v>
      </c>
      <c r="E39" s="18" t="n">
        <v>1500</v>
      </c>
      <c r="F39" s="18" t="n">
        <f aca="false">D39*E39</f>
        <v>6000</v>
      </c>
      <c r="G39" s="19" t="s">
        <v>178</v>
      </c>
    </row>
    <row r="40" customFormat="false" ht="36" hidden="false" customHeight="true" outlineLevel="0" collapsed="false">
      <c r="A40" s="16" t="s">
        <v>179</v>
      </c>
      <c r="B40" s="17" t="s">
        <v>180</v>
      </c>
      <c r="C40" s="16" t="s">
        <v>162</v>
      </c>
      <c r="D40" s="18" t="n">
        <v>4</v>
      </c>
      <c r="E40" s="18" t="n">
        <v>500</v>
      </c>
      <c r="F40" s="18" t="n">
        <f aca="false">D40*E40</f>
        <v>2000</v>
      </c>
      <c r="G40" s="19" t="s">
        <v>142</v>
      </c>
    </row>
    <row r="41" customFormat="false" ht="19.5" hidden="false" customHeight="true" outlineLevel="0" collapsed="false">
      <c r="A41" s="34"/>
      <c r="B41" s="23" t="s">
        <v>181</v>
      </c>
      <c r="C41" s="34"/>
      <c r="D41" s="34"/>
      <c r="E41" s="34"/>
      <c r="F41" s="35" t="n">
        <f aca="false">SUM(F37:F40)</f>
        <v>50000</v>
      </c>
      <c r="G41" s="34"/>
    </row>
    <row r="43" customFormat="false" ht="21" hidden="false" customHeight="true" outlineLevel="0" collapsed="false">
      <c r="A43" s="15" t="s">
        <v>182</v>
      </c>
      <c r="B43" s="15"/>
      <c r="C43" s="15"/>
      <c r="D43" s="15"/>
      <c r="E43" s="15"/>
      <c r="F43" s="15"/>
      <c r="G43" s="15"/>
    </row>
    <row r="44" customFormat="false" ht="31.5" hidden="false" customHeight="true" outlineLevel="0" collapsed="false">
      <c r="A44" s="11" t="s">
        <v>183</v>
      </c>
      <c r="B44" s="11"/>
      <c r="C44" s="11"/>
      <c r="D44" s="11"/>
      <c r="E44" s="11"/>
      <c r="F44" s="11"/>
      <c r="G44" s="11"/>
    </row>
    <row r="45" customFormat="false" ht="24" hidden="false" customHeight="true" outlineLevel="0" collapsed="false">
      <c r="A45" s="13" t="s">
        <v>92</v>
      </c>
      <c r="B45" s="13" t="s">
        <v>36</v>
      </c>
      <c r="C45" s="13" t="s">
        <v>37</v>
      </c>
      <c r="D45" s="13" t="s">
        <v>38</v>
      </c>
      <c r="E45" s="13" t="s">
        <v>39</v>
      </c>
      <c r="F45" s="13" t="s">
        <v>40</v>
      </c>
      <c r="G45" s="13" t="s">
        <v>93</v>
      </c>
    </row>
    <row r="46" customFormat="false" ht="54.75" hidden="false" customHeight="true" outlineLevel="0" collapsed="false">
      <c r="A46" s="16" t="s">
        <v>184</v>
      </c>
      <c r="B46" s="17" t="s">
        <v>185</v>
      </c>
      <c r="C46" s="16" t="s">
        <v>145</v>
      </c>
      <c r="D46" s="18" t="n">
        <v>1</v>
      </c>
      <c r="E46" s="18" t="n">
        <v>71000</v>
      </c>
      <c r="F46" s="18" t="n">
        <f aca="false">D46*E46</f>
        <v>71000</v>
      </c>
      <c r="G46" s="19" t="s">
        <v>186</v>
      </c>
    </row>
    <row r="47" customFormat="false" ht="19.5" hidden="false" customHeight="true" outlineLevel="0" collapsed="false">
      <c r="A47" s="34"/>
      <c r="B47" s="23" t="s">
        <v>187</v>
      </c>
      <c r="C47" s="34"/>
      <c r="D47" s="34"/>
      <c r="E47" s="34"/>
      <c r="F47" s="35" t="n">
        <f aca="false">SUM(F46:F46)</f>
        <v>71000</v>
      </c>
      <c r="G47" s="34"/>
    </row>
    <row r="48" customFormat="false" ht="14.25" hidden="false" customHeight="false" outlineLevel="0" collapsed="false">
      <c r="B48" s="36" t="s">
        <v>188</v>
      </c>
    </row>
    <row r="49" customFormat="false" ht="29.25" hidden="false" customHeight="true" outlineLevel="0" collapsed="false">
      <c r="A49" s="16" t="s">
        <v>189</v>
      </c>
      <c r="B49" s="17" t="s">
        <v>190</v>
      </c>
      <c r="C49" s="16" t="s">
        <v>141</v>
      </c>
      <c r="D49" s="18" t="n">
        <v>72</v>
      </c>
      <c r="E49" s="18" t="n">
        <v>150</v>
      </c>
      <c r="F49" s="18" t="n">
        <f aca="false">D49*E49</f>
        <v>10800</v>
      </c>
      <c r="G49" s="19" t="s">
        <v>142</v>
      </c>
    </row>
    <row r="50" customFormat="false" ht="29.25" hidden="false" customHeight="true" outlineLevel="0" collapsed="false">
      <c r="A50" s="16" t="s">
        <v>191</v>
      </c>
      <c r="B50" s="17" t="s">
        <v>192</v>
      </c>
      <c r="C50" s="16" t="s">
        <v>141</v>
      </c>
      <c r="D50" s="18" t="n">
        <v>12</v>
      </c>
      <c r="E50" s="18" t="n">
        <v>250</v>
      </c>
      <c r="F50" s="18" t="n">
        <f aca="false">D50*E50</f>
        <v>3000</v>
      </c>
      <c r="G50" s="19" t="s">
        <v>142</v>
      </c>
    </row>
    <row r="51" customFormat="false" ht="29.25" hidden="false" customHeight="true" outlineLevel="0" collapsed="false">
      <c r="A51" s="16" t="s">
        <v>193</v>
      </c>
      <c r="B51" s="17" t="s">
        <v>194</v>
      </c>
      <c r="C51" s="16" t="s">
        <v>162</v>
      </c>
      <c r="D51" s="18" t="n">
        <v>12</v>
      </c>
      <c r="E51" s="18" t="n">
        <v>2500</v>
      </c>
      <c r="F51" s="18" t="n">
        <f aca="false">D51*E51</f>
        <v>30000</v>
      </c>
      <c r="G51" s="19" t="s">
        <v>142</v>
      </c>
    </row>
    <row r="52" customFormat="false" ht="29.25" hidden="false" customHeight="true" outlineLevel="0" collapsed="false">
      <c r="A52" s="16" t="s">
        <v>195</v>
      </c>
      <c r="B52" s="17" t="s">
        <v>196</v>
      </c>
      <c r="C52" s="16" t="s">
        <v>72</v>
      </c>
      <c r="D52" s="18" t="n">
        <v>200</v>
      </c>
      <c r="E52" s="18" t="n">
        <v>10</v>
      </c>
      <c r="F52" s="18" t="n">
        <f aca="false">D52*E52</f>
        <v>2000</v>
      </c>
      <c r="G52" s="19" t="s">
        <v>142</v>
      </c>
    </row>
    <row r="53" customFormat="false" ht="29.25" hidden="false" customHeight="true" outlineLevel="0" collapsed="false">
      <c r="A53" s="16" t="s">
        <v>197</v>
      </c>
      <c r="B53" s="17" t="s">
        <v>198</v>
      </c>
      <c r="C53" s="16" t="s">
        <v>199</v>
      </c>
      <c r="D53" s="18" t="n">
        <v>1</v>
      </c>
      <c r="E53" s="18" t="n">
        <v>1500</v>
      </c>
      <c r="F53" s="18" t="n">
        <f aca="false">D53*E53</f>
        <v>1500</v>
      </c>
      <c r="G53" s="19" t="s">
        <v>142</v>
      </c>
    </row>
    <row r="54" customFormat="false" ht="29.25" hidden="false" customHeight="true" outlineLevel="0" collapsed="false">
      <c r="A54" s="16" t="s">
        <v>200</v>
      </c>
      <c r="B54" s="17" t="s">
        <v>201</v>
      </c>
      <c r="C54" s="16" t="s">
        <v>202</v>
      </c>
      <c r="D54" s="18" t="n">
        <v>1</v>
      </c>
      <c r="E54" s="18" t="n">
        <v>1500</v>
      </c>
      <c r="F54" s="18" t="n">
        <f aca="false">D54*E54</f>
        <v>1500</v>
      </c>
      <c r="G54" s="19" t="s">
        <v>142</v>
      </c>
    </row>
    <row r="55" customFormat="false" ht="29.25" hidden="false" customHeight="true" outlineLevel="0" collapsed="false">
      <c r="A55" s="16" t="s">
        <v>203</v>
      </c>
      <c r="B55" s="17" t="s">
        <v>204</v>
      </c>
      <c r="C55" s="16" t="s">
        <v>162</v>
      </c>
      <c r="D55" s="18" t="n">
        <v>3</v>
      </c>
      <c r="E55" s="18" t="n">
        <v>500</v>
      </c>
      <c r="F55" s="18" t="n">
        <f aca="false">D55*E55</f>
        <v>1500</v>
      </c>
      <c r="G55" s="19" t="s">
        <v>142</v>
      </c>
    </row>
    <row r="56" customFormat="false" ht="29.25" hidden="false" customHeight="true" outlineLevel="0" collapsed="false">
      <c r="A56" s="16" t="s">
        <v>205</v>
      </c>
      <c r="B56" s="17" t="s">
        <v>206</v>
      </c>
      <c r="C56" s="16" t="s">
        <v>207</v>
      </c>
      <c r="D56" s="18" t="n">
        <v>30</v>
      </c>
      <c r="E56" s="18" t="n">
        <v>10</v>
      </c>
      <c r="F56" s="18" t="n">
        <f aca="false">D56*E56</f>
        <v>300</v>
      </c>
      <c r="G56" s="19" t="s">
        <v>142</v>
      </c>
    </row>
    <row r="57" customFormat="false" ht="29.25" hidden="false" customHeight="true" outlineLevel="0" collapsed="false">
      <c r="A57" s="16" t="s">
        <v>208</v>
      </c>
      <c r="B57" s="17" t="s">
        <v>209</v>
      </c>
      <c r="C57" s="16" t="s">
        <v>141</v>
      </c>
      <c r="D57" s="18" t="n">
        <v>6</v>
      </c>
      <c r="E57" s="18" t="n">
        <v>150</v>
      </c>
      <c r="F57" s="18" t="n">
        <f aca="false">D57*E57</f>
        <v>900</v>
      </c>
      <c r="G57" s="19" t="s">
        <v>142</v>
      </c>
    </row>
    <row r="58" customFormat="false" ht="29.25" hidden="false" customHeight="true" outlineLevel="0" collapsed="false">
      <c r="A58" s="16" t="s">
        <v>210</v>
      </c>
      <c r="B58" s="17" t="s">
        <v>211</v>
      </c>
      <c r="C58" s="16" t="s">
        <v>72</v>
      </c>
      <c r="D58" s="18" t="n">
        <v>8</v>
      </c>
      <c r="E58" s="18" t="n">
        <v>400</v>
      </c>
      <c r="F58" s="18" t="n">
        <f aca="false">D58*E58</f>
        <v>3200</v>
      </c>
      <c r="G58" s="19" t="s">
        <v>142</v>
      </c>
    </row>
    <row r="59" customFormat="false" ht="29.25" hidden="false" customHeight="true" outlineLevel="0" collapsed="false">
      <c r="A59" s="16" t="s">
        <v>212</v>
      </c>
      <c r="B59" s="17" t="s">
        <v>213</v>
      </c>
      <c r="C59" s="16" t="s">
        <v>162</v>
      </c>
      <c r="D59" s="18" t="n">
        <v>4</v>
      </c>
      <c r="E59" s="18" t="n">
        <v>500</v>
      </c>
      <c r="F59" s="18" t="n">
        <f aca="false">D59*E59</f>
        <v>2000</v>
      </c>
      <c r="G59" s="19" t="s">
        <v>142</v>
      </c>
    </row>
    <row r="60" customFormat="false" ht="29.25" hidden="false" customHeight="true" outlineLevel="0" collapsed="false">
      <c r="A60" s="16" t="s">
        <v>214</v>
      </c>
      <c r="B60" s="17" t="s">
        <v>215</v>
      </c>
      <c r="C60" s="16" t="s">
        <v>162</v>
      </c>
      <c r="D60" s="18" t="n">
        <v>3</v>
      </c>
      <c r="E60" s="18" t="n">
        <v>800</v>
      </c>
      <c r="F60" s="18" t="n">
        <f aca="false">D60*E60</f>
        <v>2400</v>
      </c>
      <c r="G60" s="19" t="s">
        <v>142</v>
      </c>
    </row>
    <row r="61" customFormat="false" ht="29.25" hidden="false" customHeight="true" outlineLevel="0" collapsed="false">
      <c r="A61" s="16" t="s">
        <v>216</v>
      </c>
      <c r="B61" s="17" t="s">
        <v>217</v>
      </c>
      <c r="C61" s="16" t="s">
        <v>72</v>
      </c>
      <c r="D61" s="18" t="n">
        <v>4</v>
      </c>
      <c r="E61" s="18" t="n">
        <v>400</v>
      </c>
      <c r="F61" s="18" t="n">
        <f aca="false">D61*E61</f>
        <v>1600</v>
      </c>
      <c r="G61" s="19" t="s">
        <v>142</v>
      </c>
    </row>
    <row r="62" customFormat="false" ht="29.25" hidden="false" customHeight="true" outlineLevel="0" collapsed="false">
      <c r="A62" s="16" t="s">
        <v>218</v>
      </c>
      <c r="B62" s="17" t="s">
        <v>219</v>
      </c>
      <c r="C62" s="16" t="s">
        <v>145</v>
      </c>
      <c r="D62" s="18" t="n">
        <v>1</v>
      </c>
      <c r="E62" s="18" t="n">
        <v>1000</v>
      </c>
      <c r="F62" s="18" t="n">
        <f aca="false">D62*E62</f>
        <v>1000</v>
      </c>
      <c r="G62" s="19" t="s">
        <v>142</v>
      </c>
    </row>
    <row r="63" customFormat="false" ht="14.25" hidden="false" customHeight="false" outlineLevel="0" collapsed="false">
      <c r="B63" s="36" t="s">
        <v>220</v>
      </c>
      <c r="F63" s="37" t="n">
        <f aca="false">SUM(F49:F62)</f>
        <v>61700</v>
      </c>
    </row>
    <row r="65" customFormat="false" ht="21" hidden="false" customHeight="true" outlineLevel="0" collapsed="false">
      <c r="A65" s="15" t="s">
        <v>221</v>
      </c>
      <c r="B65" s="15"/>
      <c r="C65" s="15"/>
      <c r="D65" s="15"/>
      <c r="E65" s="15"/>
      <c r="F65" s="15"/>
      <c r="G65" s="15"/>
    </row>
    <row r="66" customFormat="false" ht="45" hidden="false" customHeight="true" outlineLevel="0" collapsed="false">
      <c r="A66" s="11" t="s">
        <v>222</v>
      </c>
      <c r="B66" s="11"/>
      <c r="C66" s="11"/>
      <c r="D66" s="11"/>
      <c r="E66" s="11"/>
      <c r="F66" s="11"/>
      <c r="G66" s="11"/>
    </row>
    <row r="67" customFormat="false" ht="24" hidden="false" customHeight="true" outlineLevel="0" collapsed="false">
      <c r="A67" s="13" t="s">
        <v>92</v>
      </c>
      <c r="B67" s="13" t="s">
        <v>36</v>
      </c>
      <c r="C67" s="13" t="s">
        <v>37</v>
      </c>
      <c r="D67" s="13" t="s">
        <v>38</v>
      </c>
      <c r="E67" s="13" t="s">
        <v>39</v>
      </c>
      <c r="F67" s="13" t="s">
        <v>40</v>
      </c>
      <c r="G67" s="13" t="s">
        <v>93</v>
      </c>
    </row>
    <row r="68" customFormat="false" ht="54.75" hidden="false" customHeight="true" outlineLevel="0" collapsed="false">
      <c r="A68" s="16" t="s">
        <v>223</v>
      </c>
      <c r="B68" s="17" t="s">
        <v>224</v>
      </c>
      <c r="C68" s="16" t="s">
        <v>225</v>
      </c>
      <c r="D68" s="18" t="n">
        <v>14</v>
      </c>
      <c r="E68" s="18" t="n">
        <v>450</v>
      </c>
      <c r="F68" s="18" t="n">
        <f aca="false">D68*E68</f>
        <v>6300</v>
      </c>
      <c r="G68" s="19" t="s">
        <v>226</v>
      </c>
    </row>
    <row r="69" customFormat="false" ht="19.5" hidden="false" customHeight="true" outlineLevel="0" collapsed="false">
      <c r="A69" s="34"/>
      <c r="B69" s="23" t="s">
        <v>227</v>
      </c>
      <c r="C69" s="34"/>
      <c r="D69" s="34"/>
      <c r="E69" s="34"/>
      <c r="F69" s="35" t="n">
        <f aca="false">SUM(F68:F68)</f>
        <v>6300</v>
      </c>
      <c r="G69" s="34"/>
    </row>
    <row r="71" customFormat="false" ht="21" hidden="false" customHeight="true" outlineLevel="0" collapsed="false">
      <c r="A71" s="15" t="s">
        <v>228</v>
      </c>
      <c r="B71" s="15"/>
      <c r="C71" s="15"/>
      <c r="D71" s="15"/>
      <c r="E71" s="15"/>
      <c r="F71" s="15"/>
      <c r="G71" s="15"/>
    </row>
    <row r="72" customFormat="false" ht="96" hidden="false" customHeight="true" outlineLevel="0" collapsed="false">
      <c r="A72" s="11" t="s">
        <v>229</v>
      </c>
      <c r="B72" s="11"/>
      <c r="C72" s="11"/>
      <c r="D72" s="11"/>
      <c r="E72" s="11"/>
      <c r="F72" s="11"/>
      <c r="G72" s="11"/>
    </row>
    <row r="73" customFormat="false" ht="24" hidden="false" customHeight="true" outlineLevel="0" collapsed="false">
      <c r="A73" s="13" t="s">
        <v>92</v>
      </c>
      <c r="B73" s="13" t="s">
        <v>36</v>
      </c>
      <c r="C73" s="13" t="s">
        <v>37</v>
      </c>
      <c r="D73" s="13" t="s">
        <v>38</v>
      </c>
      <c r="E73" s="13" t="s">
        <v>39</v>
      </c>
      <c r="F73" s="13" t="s">
        <v>40</v>
      </c>
      <c r="G73" s="13" t="s">
        <v>93</v>
      </c>
    </row>
    <row r="74" customFormat="false" ht="93" hidden="false" customHeight="true" outlineLevel="0" collapsed="false">
      <c r="A74" s="16" t="s">
        <v>230</v>
      </c>
      <c r="B74" s="17" t="s">
        <v>231</v>
      </c>
      <c r="C74" s="16" t="s">
        <v>162</v>
      </c>
      <c r="D74" s="18" t="n">
        <f aca="false">Programme!$G$69</f>
        <v>47</v>
      </c>
      <c r="E74" s="18" t="n">
        <v>1200</v>
      </c>
      <c r="F74" s="18" t="n">
        <f aca="false">D74*E74</f>
        <v>56400</v>
      </c>
      <c r="G74" s="19" t="s">
        <v>232</v>
      </c>
    </row>
    <row r="75" customFormat="false" ht="29.25" hidden="false" customHeight="true" outlineLevel="0" collapsed="false">
      <c r="A75" s="16" t="s">
        <v>233</v>
      </c>
      <c r="B75" s="17" t="s">
        <v>234</v>
      </c>
      <c r="C75" s="16" t="s">
        <v>162</v>
      </c>
      <c r="D75" s="18" t="n">
        <f aca="false">Programme!$G$70</f>
        <v>47</v>
      </c>
      <c r="E75" s="18" t="n">
        <v>900</v>
      </c>
      <c r="F75" s="18" t="n">
        <f aca="false">D75*E75</f>
        <v>42300</v>
      </c>
      <c r="G75" s="19" t="s">
        <v>235</v>
      </c>
    </row>
    <row r="76" customFormat="false" ht="67.5" hidden="false" customHeight="true" outlineLevel="0" collapsed="false">
      <c r="A76" s="16" t="s">
        <v>236</v>
      </c>
      <c r="B76" s="17" t="s">
        <v>237</v>
      </c>
      <c r="C76" s="16" t="s">
        <v>238</v>
      </c>
      <c r="D76" s="18" t="n">
        <v>1024</v>
      </c>
      <c r="E76" s="18" t="n">
        <v>55</v>
      </c>
      <c r="F76" s="18" t="n">
        <f aca="false">D76*E76</f>
        <v>56320</v>
      </c>
      <c r="G76" s="19" t="s">
        <v>239</v>
      </c>
    </row>
    <row r="77" customFormat="false" ht="54.75" hidden="false" customHeight="true" outlineLevel="0" collapsed="false">
      <c r="A77" s="16" t="s">
        <v>240</v>
      </c>
      <c r="B77" s="17" t="s">
        <v>241</v>
      </c>
      <c r="C77" s="16" t="s">
        <v>242</v>
      </c>
      <c r="D77" s="18" t="n">
        <f aca="false">Programme!$G$71</f>
        <v>4</v>
      </c>
      <c r="E77" s="18" t="n">
        <v>1800</v>
      </c>
      <c r="F77" s="18" t="n">
        <f aca="false">D77*E77</f>
        <v>7200</v>
      </c>
      <c r="G77" s="19" t="s">
        <v>243</v>
      </c>
    </row>
    <row r="78" customFormat="false" ht="29.25" hidden="false" customHeight="true" outlineLevel="0" collapsed="false">
      <c r="A78" s="16" t="s">
        <v>244</v>
      </c>
      <c r="B78" s="17" t="s">
        <v>245</v>
      </c>
      <c r="C78" s="16" t="s">
        <v>72</v>
      </c>
      <c r="D78" s="18" t="n">
        <v>4</v>
      </c>
      <c r="E78" s="18" t="n">
        <v>400</v>
      </c>
      <c r="F78" s="18" t="n">
        <f aca="false">D78*E78</f>
        <v>1600</v>
      </c>
      <c r="G78" s="19" t="s">
        <v>142</v>
      </c>
    </row>
    <row r="79" customFormat="false" ht="29.25" hidden="false" customHeight="true" outlineLevel="0" collapsed="false">
      <c r="A79" s="16" t="s">
        <v>246</v>
      </c>
      <c r="B79" s="17" t="s">
        <v>247</v>
      </c>
      <c r="C79" s="16" t="s">
        <v>248</v>
      </c>
      <c r="D79" s="18" t="n">
        <f aca="false">Programme!$G$72</f>
        <v>4</v>
      </c>
      <c r="E79" s="18" t="n">
        <v>350</v>
      </c>
      <c r="F79" s="18" t="n">
        <f aca="false">D79*E79</f>
        <v>1400</v>
      </c>
      <c r="G79" s="19" t="s">
        <v>249</v>
      </c>
    </row>
    <row r="80" customFormat="false" ht="67.5" hidden="false" customHeight="true" outlineLevel="0" collapsed="false">
      <c r="A80" s="16" t="s">
        <v>250</v>
      </c>
      <c r="B80" s="17" t="s">
        <v>251</v>
      </c>
      <c r="C80" s="16" t="s">
        <v>96</v>
      </c>
      <c r="D80" s="18" t="n">
        <f aca="false">Programme!$G$73</f>
        <v>3.8</v>
      </c>
      <c r="E80" s="18" t="n">
        <v>11000</v>
      </c>
      <c r="F80" s="18" t="n">
        <f aca="false">D80*E80</f>
        <v>41800</v>
      </c>
      <c r="G80" s="19" t="s">
        <v>252</v>
      </c>
    </row>
    <row r="81" customFormat="false" ht="54.75" hidden="false" customHeight="true" outlineLevel="0" collapsed="false">
      <c r="A81" s="16" t="s">
        <v>253</v>
      </c>
      <c r="B81" s="17" t="s">
        <v>254</v>
      </c>
      <c r="C81" s="16" t="s">
        <v>96</v>
      </c>
      <c r="D81" s="18" t="n">
        <f aca="false">Programme!$G$74</f>
        <v>4.1</v>
      </c>
      <c r="E81" s="18" t="n">
        <v>6000</v>
      </c>
      <c r="F81" s="18" t="n">
        <f aca="false">D81*E81</f>
        <v>24600</v>
      </c>
      <c r="G81" s="19" t="s">
        <v>255</v>
      </c>
    </row>
    <row r="82" customFormat="false" ht="42" hidden="false" customHeight="true" outlineLevel="0" collapsed="false">
      <c r="A82" s="16" t="s">
        <v>256</v>
      </c>
      <c r="B82" s="17" t="s">
        <v>257</v>
      </c>
      <c r="C82" s="16" t="s">
        <v>96</v>
      </c>
      <c r="D82" s="18" t="n">
        <f aca="false">Programme!$G$75</f>
        <v>4.1</v>
      </c>
      <c r="E82" s="18" t="n">
        <v>3000</v>
      </c>
      <c r="F82" s="18" t="n">
        <f aca="false">D82*E82</f>
        <v>12300</v>
      </c>
      <c r="G82" s="19" t="s">
        <v>258</v>
      </c>
    </row>
    <row r="83" customFormat="false" ht="93" hidden="false" customHeight="true" outlineLevel="0" collapsed="false">
      <c r="A83" s="16" t="s">
        <v>259</v>
      </c>
      <c r="B83" s="17" t="s">
        <v>260</v>
      </c>
      <c r="C83" s="16" t="s">
        <v>261</v>
      </c>
      <c r="D83" s="18" t="n">
        <f aca="false">Programme!$G$76</f>
        <v>10.5</v>
      </c>
      <c r="E83" s="18" t="n">
        <v>3000</v>
      </c>
      <c r="F83" s="18" t="n">
        <f aca="false">D83*E83</f>
        <v>31500</v>
      </c>
      <c r="G83" s="19" t="s">
        <v>262</v>
      </c>
    </row>
    <row r="84" customFormat="false" ht="42" hidden="false" customHeight="true" outlineLevel="0" collapsed="false">
      <c r="A84" s="16" t="s">
        <v>263</v>
      </c>
      <c r="B84" s="17" t="s">
        <v>264</v>
      </c>
      <c r="C84" s="16" t="s">
        <v>96</v>
      </c>
      <c r="D84" s="18" t="n">
        <f aca="false">Programme!$G$77</f>
        <v>2.1</v>
      </c>
      <c r="E84" s="18" t="n">
        <v>2500</v>
      </c>
      <c r="F84" s="18" t="n">
        <f aca="false">D84*E84</f>
        <v>5250</v>
      </c>
      <c r="G84" s="19" t="s">
        <v>265</v>
      </c>
    </row>
    <row r="85" customFormat="false" ht="29.25" hidden="false" customHeight="true" outlineLevel="0" collapsed="false">
      <c r="A85" s="16" t="s">
        <v>266</v>
      </c>
      <c r="B85" s="17" t="s">
        <v>267</v>
      </c>
      <c r="C85" s="16" t="s">
        <v>202</v>
      </c>
      <c r="D85" s="18" t="n">
        <v>2</v>
      </c>
      <c r="E85" s="18" t="n">
        <v>1500</v>
      </c>
      <c r="F85" s="18" t="n">
        <f aca="false">D85*E85</f>
        <v>3000</v>
      </c>
      <c r="G85" s="19" t="s">
        <v>142</v>
      </c>
    </row>
    <row r="86" customFormat="false" ht="29.25" hidden="false" customHeight="true" outlineLevel="0" collapsed="false">
      <c r="A86" s="16" t="s">
        <v>268</v>
      </c>
      <c r="B86" s="17" t="s">
        <v>269</v>
      </c>
      <c r="C86" s="16" t="s">
        <v>202</v>
      </c>
      <c r="D86" s="18" t="n">
        <v>2</v>
      </c>
      <c r="E86" s="18" t="n">
        <v>2250</v>
      </c>
      <c r="F86" s="18" t="n">
        <f aca="false">D86*E86</f>
        <v>4500</v>
      </c>
      <c r="G86" s="19" t="s">
        <v>142</v>
      </c>
    </row>
    <row r="87" customFormat="false" ht="42" hidden="false" customHeight="true" outlineLevel="0" collapsed="false">
      <c r="A87" s="16" t="s">
        <v>270</v>
      </c>
      <c r="B87" s="17" t="s">
        <v>271</v>
      </c>
      <c r="C87" s="16" t="s">
        <v>248</v>
      </c>
      <c r="D87" s="18" t="n">
        <f aca="false">Programme!$G$78</f>
        <v>4.2</v>
      </c>
      <c r="E87" s="18" t="n">
        <v>1200</v>
      </c>
      <c r="F87" s="18" t="n">
        <f aca="false">D87*E87</f>
        <v>5040</v>
      </c>
      <c r="G87" s="19" t="s">
        <v>272</v>
      </c>
    </row>
    <row r="88" customFormat="false" ht="29.25" hidden="false" customHeight="true" outlineLevel="0" collapsed="false">
      <c r="A88" s="16" t="s">
        <v>273</v>
      </c>
      <c r="B88" s="17" t="s">
        <v>274</v>
      </c>
      <c r="C88" s="16" t="s">
        <v>199</v>
      </c>
      <c r="D88" s="18" t="n">
        <v>2</v>
      </c>
      <c r="E88" s="18" t="n">
        <v>1400</v>
      </c>
      <c r="F88" s="18" t="n">
        <f aca="false">D88*E88</f>
        <v>2800</v>
      </c>
      <c r="G88" s="19" t="s">
        <v>142</v>
      </c>
    </row>
    <row r="89" customFormat="false" ht="19.5" hidden="false" customHeight="true" outlineLevel="0" collapsed="false">
      <c r="A89" s="34"/>
      <c r="B89" s="23" t="s">
        <v>275</v>
      </c>
      <c r="C89" s="34"/>
      <c r="D89" s="34"/>
      <c r="E89" s="34"/>
      <c r="F89" s="35" t="n">
        <f aca="false">SUM(F74:F88)</f>
        <v>296010</v>
      </c>
      <c r="G89" s="34"/>
    </row>
    <row r="91" customFormat="false" ht="21" hidden="false" customHeight="true" outlineLevel="0" collapsed="false">
      <c r="A91" s="15" t="s">
        <v>276</v>
      </c>
      <c r="B91" s="15"/>
      <c r="C91" s="15"/>
      <c r="D91" s="15"/>
      <c r="E91" s="15"/>
      <c r="F91" s="15"/>
      <c r="G91" s="15"/>
    </row>
    <row r="92" customFormat="false" ht="45" hidden="false" customHeight="true" outlineLevel="0" collapsed="false">
      <c r="A92" s="11" t="s">
        <v>277</v>
      </c>
      <c r="B92" s="11"/>
      <c r="C92" s="11"/>
      <c r="D92" s="11"/>
      <c r="E92" s="11"/>
      <c r="F92" s="11"/>
      <c r="G92" s="11"/>
    </row>
    <row r="93" customFormat="false" ht="24" hidden="false" customHeight="true" outlineLevel="0" collapsed="false">
      <c r="A93" s="13" t="s">
        <v>92</v>
      </c>
      <c r="B93" s="13" t="s">
        <v>36</v>
      </c>
      <c r="C93" s="13" t="s">
        <v>37</v>
      </c>
      <c r="D93" s="13" t="s">
        <v>38</v>
      </c>
      <c r="E93" s="13" t="s">
        <v>39</v>
      </c>
      <c r="F93" s="13" t="s">
        <v>40</v>
      </c>
      <c r="G93" s="13" t="s">
        <v>93</v>
      </c>
    </row>
    <row r="94" customFormat="false" ht="93" hidden="false" customHeight="true" outlineLevel="0" collapsed="false">
      <c r="A94" s="16" t="s">
        <v>278</v>
      </c>
      <c r="B94" s="17" t="s">
        <v>279</v>
      </c>
      <c r="C94" s="16" t="s">
        <v>72</v>
      </c>
      <c r="D94" s="18" t="n">
        <v>1</v>
      </c>
      <c r="E94" s="18" t="n">
        <v>2763500</v>
      </c>
      <c r="F94" s="18" t="n">
        <f aca="false">D94*E94</f>
        <v>2763500</v>
      </c>
      <c r="G94" s="19" t="s">
        <v>280</v>
      </c>
    </row>
    <row r="95" customFormat="false" ht="19.5" hidden="false" customHeight="true" outlineLevel="0" collapsed="false">
      <c r="A95" s="34"/>
      <c r="B95" s="23" t="s">
        <v>281</v>
      </c>
      <c r="C95" s="34"/>
      <c r="D95" s="34"/>
      <c r="E95" s="34"/>
      <c r="F95" s="35" t="n">
        <f aca="false">SUM(F94:F94)</f>
        <v>2763500</v>
      </c>
      <c r="G95" s="34"/>
    </row>
    <row r="97" customFormat="false" ht="21" hidden="false" customHeight="true" outlineLevel="0" collapsed="false">
      <c r="A97" s="15" t="s">
        <v>282</v>
      </c>
      <c r="B97" s="15"/>
      <c r="C97" s="15"/>
      <c r="D97" s="15"/>
      <c r="E97" s="15"/>
      <c r="F97" s="15"/>
      <c r="G97" s="15"/>
    </row>
    <row r="98" customFormat="false" ht="96" hidden="false" customHeight="true" outlineLevel="0" collapsed="false">
      <c r="A98" s="11" t="s">
        <v>283</v>
      </c>
      <c r="B98" s="11"/>
      <c r="C98" s="11"/>
      <c r="D98" s="11"/>
      <c r="E98" s="11"/>
      <c r="F98" s="11"/>
      <c r="G98" s="11"/>
    </row>
    <row r="99" customFormat="false" ht="24" hidden="false" customHeight="true" outlineLevel="0" collapsed="false">
      <c r="A99" s="13" t="s">
        <v>92</v>
      </c>
      <c r="B99" s="13" t="s">
        <v>36</v>
      </c>
      <c r="C99" s="13" t="s">
        <v>37</v>
      </c>
      <c r="D99" s="13" t="s">
        <v>38</v>
      </c>
      <c r="E99" s="13" t="s">
        <v>39</v>
      </c>
      <c r="F99" s="13" t="s">
        <v>40</v>
      </c>
      <c r="G99" s="13" t="s">
        <v>93</v>
      </c>
    </row>
    <row r="100" customFormat="false" ht="54.75" hidden="false" customHeight="true" outlineLevel="0" collapsed="false">
      <c r="A100" s="16" t="s">
        <v>284</v>
      </c>
      <c r="B100" s="17" t="s">
        <v>285</v>
      </c>
      <c r="C100" s="16" t="s">
        <v>207</v>
      </c>
      <c r="D100" s="18" t="n">
        <f aca="false">Programme!$G$79</f>
        <v>3774</v>
      </c>
      <c r="E100" s="18" t="n">
        <v>6</v>
      </c>
      <c r="F100" s="18" t="n">
        <f aca="false">D100*E100</f>
        <v>22644</v>
      </c>
      <c r="G100" s="19" t="s">
        <v>286</v>
      </c>
    </row>
    <row r="101" customFormat="false" ht="67.5" hidden="false" customHeight="true" outlineLevel="0" collapsed="false">
      <c r="A101" s="16" t="s">
        <v>287</v>
      </c>
      <c r="B101" s="17" t="s">
        <v>288</v>
      </c>
      <c r="C101" s="16" t="s">
        <v>162</v>
      </c>
      <c r="D101" s="18" t="n">
        <f aca="false">Programme!$G$80</f>
        <v>7</v>
      </c>
      <c r="E101" s="18" t="n">
        <v>500</v>
      </c>
      <c r="F101" s="18" t="n">
        <f aca="false">D101*E101</f>
        <v>3500</v>
      </c>
      <c r="G101" s="19" t="s">
        <v>289</v>
      </c>
    </row>
    <row r="102" customFormat="false" ht="29.25" hidden="false" customHeight="true" outlineLevel="0" collapsed="false">
      <c r="A102" s="16" t="s">
        <v>290</v>
      </c>
      <c r="B102" s="17" t="s">
        <v>291</v>
      </c>
      <c r="C102" s="16" t="s">
        <v>292</v>
      </c>
      <c r="D102" s="18" t="n">
        <f aca="false">Programme!$G$81</f>
        <v>1</v>
      </c>
      <c r="E102" s="18" t="n">
        <v>1000</v>
      </c>
      <c r="F102" s="18" t="n">
        <f aca="false">D102*E102</f>
        <v>1000</v>
      </c>
      <c r="G102" s="19" t="s">
        <v>142</v>
      </c>
    </row>
    <row r="103" customFormat="false" ht="42" hidden="false" customHeight="true" outlineLevel="0" collapsed="false">
      <c r="A103" s="16" t="s">
        <v>293</v>
      </c>
      <c r="B103" s="17" t="s">
        <v>294</v>
      </c>
      <c r="C103" s="16" t="s">
        <v>141</v>
      </c>
      <c r="D103" s="18" t="n">
        <f aca="false">Programme!$G$82</f>
        <v>6</v>
      </c>
      <c r="E103" s="18" t="n">
        <v>150</v>
      </c>
      <c r="F103" s="18" t="n">
        <f aca="false">D103*E103</f>
        <v>900</v>
      </c>
      <c r="G103" s="19" t="s">
        <v>295</v>
      </c>
    </row>
    <row r="104" customFormat="false" ht="42" hidden="false" customHeight="true" outlineLevel="0" collapsed="false">
      <c r="A104" s="16" t="s">
        <v>296</v>
      </c>
      <c r="B104" s="17" t="s">
        <v>297</v>
      </c>
      <c r="C104" s="16" t="s">
        <v>207</v>
      </c>
      <c r="D104" s="18" t="n">
        <f aca="false">Programme!$G$83</f>
        <v>377</v>
      </c>
      <c r="E104" s="18" t="n">
        <v>6</v>
      </c>
      <c r="F104" s="18" t="n">
        <f aca="false">D104*E104</f>
        <v>2262</v>
      </c>
      <c r="G104" s="19" t="s">
        <v>298</v>
      </c>
    </row>
    <row r="105" customFormat="false" ht="29.25" hidden="false" customHeight="true" outlineLevel="0" collapsed="false">
      <c r="A105" s="16" t="s">
        <v>299</v>
      </c>
      <c r="B105" s="17" t="s">
        <v>300</v>
      </c>
      <c r="C105" s="16" t="s">
        <v>301</v>
      </c>
      <c r="D105" s="18" t="n">
        <v>800</v>
      </c>
      <c r="E105" s="18" t="n">
        <v>6</v>
      </c>
      <c r="F105" s="18" t="n">
        <f aca="false">D105*E105</f>
        <v>4800</v>
      </c>
      <c r="G105" s="19" t="s">
        <v>142</v>
      </c>
    </row>
    <row r="106" customFormat="false" ht="29.25" hidden="false" customHeight="true" outlineLevel="0" collapsed="false">
      <c r="A106" s="16" t="s">
        <v>302</v>
      </c>
      <c r="B106" s="17" t="s">
        <v>303</v>
      </c>
      <c r="C106" s="16" t="s">
        <v>292</v>
      </c>
      <c r="D106" s="18" t="n">
        <v>2</v>
      </c>
      <c r="E106" s="18" t="n">
        <v>750</v>
      </c>
      <c r="F106" s="18" t="n">
        <f aca="false">D106*E106</f>
        <v>1500</v>
      </c>
      <c r="G106" s="19" t="s">
        <v>142</v>
      </c>
    </row>
    <row r="107" customFormat="false" ht="29.25" hidden="false" customHeight="true" outlineLevel="0" collapsed="false">
      <c r="A107" s="16" t="s">
        <v>304</v>
      </c>
      <c r="B107" s="17" t="s">
        <v>305</v>
      </c>
      <c r="C107" s="16" t="s">
        <v>141</v>
      </c>
      <c r="D107" s="18" t="n">
        <v>20</v>
      </c>
      <c r="E107" s="18" t="n">
        <v>150</v>
      </c>
      <c r="F107" s="18" t="n">
        <f aca="false">D107*E107</f>
        <v>3000</v>
      </c>
      <c r="G107" s="19" t="s">
        <v>142</v>
      </c>
    </row>
    <row r="108" customFormat="false" ht="29.25" hidden="false" customHeight="true" outlineLevel="0" collapsed="false">
      <c r="A108" s="16" t="s">
        <v>306</v>
      </c>
      <c r="B108" s="17" t="s">
        <v>307</v>
      </c>
      <c r="C108" s="16" t="s">
        <v>301</v>
      </c>
      <c r="D108" s="18" t="n">
        <v>400</v>
      </c>
      <c r="E108" s="18" t="n">
        <v>5</v>
      </c>
      <c r="F108" s="18" t="n">
        <f aca="false">D108*E108</f>
        <v>2000</v>
      </c>
      <c r="G108" s="19" t="s">
        <v>142</v>
      </c>
    </row>
    <row r="109" customFormat="false" ht="29.25" hidden="false" customHeight="true" outlineLevel="0" collapsed="false">
      <c r="A109" s="16" t="s">
        <v>308</v>
      </c>
      <c r="B109" s="17" t="s">
        <v>309</v>
      </c>
      <c r="C109" s="16" t="s">
        <v>202</v>
      </c>
      <c r="D109" s="18" t="n">
        <v>2</v>
      </c>
      <c r="E109" s="18" t="n">
        <v>1850</v>
      </c>
      <c r="F109" s="18" t="n">
        <f aca="false">D109*E109</f>
        <v>3700</v>
      </c>
      <c r="G109" s="19" t="s">
        <v>142</v>
      </c>
    </row>
    <row r="110" customFormat="false" ht="42" hidden="false" customHeight="true" outlineLevel="0" collapsed="false">
      <c r="A110" s="16" t="s">
        <v>310</v>
      </c>
      <c r="B110" s="17" t="s">
        <v>311</v>
      </c>
      <c r="C110" s="16" t="s">
        <v>312</v>
      </c>
      <c r="D110" s="18" t="n">
        <v>6</v>
      </c>
      <c r="E110" s="18" t="n">
        <v>1200</v>
      </c>
      <c r="F110" s="18" t="n">
        <f aca="false">D110*E110</f>
        <v>7200</v>
      </c>
      <c r="G110" s="19" t="s">
        <v>313</v>
      </c>
    </row>
    <row r="111" customFormat="false" ht="29.25" hidden="false" customHeight="true" outlineLevel="0" collapsed="false">
      <c r="A111" s="16" t="s">
        <v>314</v>
      </c>
      <c r="B111" s="17" t="s">
        <v>315</v>
      </c>
      <c r="C111" s="16" t="s">
        <v>316</v>
      </c>
      <c r="D111" s="18" t="n">
        <v>2</v>
      </c>
      <c r="E111" s="18" t="n">
        <v>2400</v>
      </c>
      <c r="F111" s="18" t="n">
        <f aca="false">D111*E111</f>
        <v>4800</v>
      </c>
      <c r="G111" s="19" t="s">
        <v>142</v>
      </c>
    </row>
    <row r="112" customFormat="false" ht="80.25" hidden="false" customHeight="true" outlineLevel="0" collapsed="false">
      <c r="A112" s="16" t="s">
        <v>317</v>
      </c>
      <c r="B112" s="17" t="s">
        <v>318</v>
      </c>
      <c r="C112" s="16" t="s">
        <v>162</v>
      </c>
      <c r="D112" s="18" t="n">
        <f aca="false">Programme!$G$84</f>
        <v>8</v>
      </c>
      <c r="E112" s="18" t="n">
        <v>2000</v>
      </c>
      <c r="F112" s="18" t="n">
        <f aca="false">D112*E112</f>
        <v>16000</v>
      </c>
      <c r="G112" s="19" t="s">
        <v>319</v>
      </c>
    </row>
    <row r="113" customFormat="false" ht="54.75" hidden="false" customHeight="true" outlineLevel="0" collapsed="false">
      <c r="A113" s="16" t="s">
        <v>320</v>
      </c>
      <c r="B113" s="17" t="s">
        <v>321</v>
      </c>
      <c r="C113" s="16" t="s">
        <v>141</v>
      </c>
      <c r="D113" s="18" t="n">
        <f aca="false">Programme!$G$85</f>
        <v>12</v>
      </c>
      <c r="E113" s="18" t="n">
        <v>400</v>
      </c>
      <c r="F113" s="18" t="n">
        <f aca="false">D113*E113</f>
        <v>4800</v>
      </c>
      <c r="G113" s="19" t="s">
        <v>322</v>
      </c>
    </row>
    <row r="114" customFormat="false" ht="29.25" hidden="false" customHeight="true" outlineLevel="0" collapsed="false">
      <c r="A114" s="16" t="s">
        <v>323</v>
      </c>
      <c r="B114" s="17" t="s">
        <v>324</v>
      </c>
      <c r="C114" s="16" t="s">
        <v>162</v>
      </c>
      <c r="D114" s="18" t="n">
        <v>5</v>
      </c>
      <c r="E114" s="18" t="n">
        <v>400</v>
      </c>
      <c r="F114" s="18" t="n">
        <f aca="false">D114*E114</f>
        <v>2000</v>
      </c>
      <c r="G114" s="19" t="s">
        <v>142</v>
      </c>
    </row>
    <row r="115" customFormat="false" ht="54.75" hidden="false" customHeight="true" outlineLevel="0" collapsed="false">
      <c r="A115" s="16" t="s">
        <v>325</v>
      </c>
      <c r="B115" s="17" t="s">
        <v>326</v>
      </c>
      <c r="C115" s="16" t="s">
        <v>162</v>
      </c>
      <c r="D115" s="18" t="n">
        <f aca="false">Programme!$G$86</f>
        <v>5</v>
      </c>
      <c r="E115" s="18" t="n">
        <v>1000</v>
      </c>
      <c r="F115" s="18" t="n">
        <f aca="false">D115*E115</f>
        <v>5000</v>
      </c>
      <c r="G115" s="19" t="s">
        <v>327</v>
      </c>
    </row>
    <row r="116" customFormat="false" ht="29.25" hidden="false" customHeight="true" outlineLevel="0" collapsed="false">
      <c r="A116" s="16" t="s">
        <v>328</v>
      </c>
      <c r="B116" s="17" t="s">
        <v>329</v>
      </c>
      <c r="C116" s="16" t="s">
        <v>162</v>
      </c>
      <c r="D116" s="18" t="n">
        <v>4</v>
      </c>
      <c r="E116" s="18" t="n">
        <v>1000</v>
      </c>
      <c r="F116" s="18" t="n">
        <f aca="false">D116*E116</f>
        <v>4000</v>
      </c>
      <c r="G116" s="19" t="s">
        <v>142</v>
      </c>
    </row>
    <row r="117" customFormat="false" ht="29.25" hidden="false" customHeight="true" outlineLevel="0" collapsed="false">
      <c r="A117" s="16" t="s">
        <v>330</v>
      </c>
      <c r="B117" s="17" t="s">
        <v>331</v>
      </c>
      <c r="C117" s="16" t="s">
        <v>72</v>
      </c>
      <c r="D117" s="18" t="n">
        <v>6</v>
      </c>
      <c r="E117" s="18" t="n">
        <v>750</v>
      </c>
      <c r="F117" s="18" t="n">
        <f aca="false">D117*E117</f>
        <v>4500</v>
      </c>
      <c r="G117" s="19" t="s">
        <v>142</v>
      </c>
    </row>
    <row r="118" customFormat="false" ht="29.25" hidden="false" customHeight="true" outlineLevel="0" collapsed="false">
      <c r="A118" s="16" t="s">
        <v>332</v>
      </c>
      <c r="B118" s="17" t="s">
        <v>333</v>
      </c>
      <c r="C118" s="16" t="s">
        <v>292</v>
      </c>
      <c r="D118" s="18" t="n">
        <v>2</v>
      </c>
      <c r="E118" s="18" t="n">
        <v>750</v>
      </c>
      <c r="F118" s="18" t="n">
        <f aca="false">D118*E118</f>
        <v>1500</v>
      </c>
      <c r="G118" s="19" t="s">
        <v>142</v>
      </c>
    </row>
    <row r="119" customFormat="false" ht="67.5" hidden="false" customHeight="true" outlineLevel="0" collapsed="false">
      <c r="A119" s="16" t="s">
        <v>334</v>
      </c>
      <c r="B119" s="17" t="s">
        <v>335</v>
      </c>
      <c r="C119" s="16" t="s">
        <v>96</v>
      </c>
      <c r="D119" s="18" t="n">
        <v>1</v>
      </c>
      <c r="E119" s="18" t="n">
        <v>6000</v>
      </c>
      <c r="F119" s="18" t="n">
        <f aca="false">D119*E119</f>
        <v>6000</v>
      </c>
      <c r="G119" s="19" t="s">
        <v>336</v>
      </c>
    </row>
    <row r="120" customFormat="false" ht="29.25" hidden="false" customHeight="true" outlineLevel="0" collapsed="false">
      <c r="A120" s="16" t="s">
        <v>337</v>
      </c>
      <c r="B120" s="17" t="s">
        <v>338</v>
      </c>
      <c r="C120" s="16" t="s">
        <v>96</v>
      </c>
      <c r="D120" s="18" t="n">
        <v>0.5</v>
      </c>
      <c r="E120" s="18" t="n">
        <v>8000</v>
      </c>
      <c r="F120" s="18" t="n">
        <f aca="false">D120*E120</f>
        <v>4000</v>
      </c>
      <c r="G120" s="19" t="s">
        <v>142</v>
      </c>
    </row>
    <row r="121" customFormat="false" ht="54.75" hidden="false" customHeight="true" outlineLevel="0" collapsed="false">
      <c r="A121" s="16" t="s">
        <v>339</v>
      </c>
      <c r="B121" s="17" t="s">
        <v>340</v>
      </c>
      <c r="C121" s="16" t="s">
        <v>162</v>
      </c>
      <c r="D121" s="18" t="n">
        <f aca="false">Programme!$G$87</f>
        <v>8</v>
      </c>
      <c r="E121" s="18" t="n">
        <v>500</v>
      </c>
      <c r="F121" s="18" t="n">
        <f aca="false">D121*E121</f>
        <v>4000</v>
      </c>
      <c r="G121" s="19" t="s">
        <v>341</v>
      </c>
    </row>
    <row r="122" customFormat="false" ht="132" hidden="false" customHeight="true" outlineLevel="0" collapsed="false">
      <c r="A122" s="16" t="s">
        <v>342</v>
      </c>
      <c r="B122" s="17" t="s">
        <v>343</v>
      </c>
      <c r="C122" s="16" t="s">
        <v>145</v>
      </c>
      <c r="D122" s="18" t="n">
        <v>0</v>
      </c>
      <c r="E122" s="18" t="n">
        <v>0</v>
      </c>
      <c r="F122" s="18" t="n">
        <f aca="false">D122*E122</f>
        <v>0</v>
      </c>
      <c r="G122" s="19" t="s">
        <v>344</v>
      </c>
    </row>
    <row r="123" customFormat="false" ht="19.5" hidden="false" customHeight="true" outlineLevel="0" collapsed="false">
      <c r="A123" s="34"/>
      <c r="B123" s="23" t="s">
        <v>345</v>
      </c>
      <c r="C123" s="34"/>
      <c r="D123" s="34"/>
      <c r="E123" s="34"/>
      <c r="F123" s="35" t="n">
        <f aca="false">SUM(F100:F122)</f>
        <v>109106</v>
      </c>
      <c r="G123" s="34"/>
    </row>
    <row r="124" customFormat="false" ht="14.25" hidden="false" customHeight="false" outlineLevel="0" collapsed="false">
      <c r="A124" s="38"/>
      <c r="B124" s="39" t="s">
        <v>346</v>
      </c>
      <c r="C124" s="38"/>
      <c r="D124" s="38"/>
      <c r="E124" s="38"/>
      <c r="F124" s="40" t="n">
        <f aca="false">F123/2</f>
        <v>54553</v>
      </c>
      <c r="G124" s="38"/>
    </row>
    <row r="126" customFormat="false" ht="21" hidden="false" customHeight="true" outlineLevel="0" collapsed="false">
      <c r="A126" s="15" t="s">
        <v>347</v>
      </c>
      <c r="B126" s="15"/>
      <c r="C126" s="15"/>
      <c r="D126" s="15"/>
      <c r="E126" s="15"/>
      <c r="F126" s="15"/>
      <c r="G126" s="15"/>
    </row>
    <row r="127" customFormat="false" ht="96" hidden="false" customHeight="true" outlineLevel="0" collapsed="false">
      <c r="A127" s="11" t="s">
        <v>348</v>
      </c>
      <c r="B127" s="11"/>
      <c r="C127" s="11"/>
      <c r="D127" s="11"/>
      <c r="E127" s="11"/>
      <c r="F127" s="11"/>
      <c r="G127" s="11"/>
    </row>
    <row r="128" customFormat="false" ht="24" hidden="false" customHeight="true" outlineLevel="0" collapsed="false">
      <c r="A128" s="13" t="s">
        <v>92</v>
      </c>
      <c r="B128" s="13" t="s">
        <v>36</v>
      </c>
      <c r="C128" s="13" t="s">
        <v>37</v>
      </c>
      <c r="D128" s="13" t="s">
        <v>38</v>
      </c>
      <c r="E128" s="13" t="s">
        <v>39</v>
      </c>
      <c r="F128" s="13" t="s">
        <v>40</v>
      </c>
      <c r="G128" s="13" t="s">
        <v>93</v>
      </c>
    </row>
    <row r="129" customFormat="false" ht="93" hidden="false" customHeight="true" outlineLevel="0" collapsed="false">
      <c r="A129" s="16" t="s">
        <v>349</v>
      </c>
      <c r="B129" s="17" t="s">
        <v>350</v>
      </c>
      <c r="C129" s="16" t="s">
        <v>351</v>
      </c>
      <c r="D129" s="18" t="n">
        <v>200</v>
      </c>
      <c r="E129" s="18" t="n">
        <v>400</v>
      </c>
      <c r="F129" s="18" t="n">
        <f aca="false">D129*E129</f>
        <v>80000</v>
      </c>
      <c r="G129" s="19" t="s">
        <v>352</v>
      </c>
    </row>
    <row r="130" customFormat="false" ht="105.75" hidden="false" customHeight="true" outlineLevel="0" collapsed="false">
      <c r="A130" s="16" t="s">
        <v>353</v>
      </c>
      <c r="B130" s="17" t="s">
        <v>354</v>
      </c>
      <c r="C130" s="16" t="s">
        <v>351</v>
      </c>
      <c r="D130" s="18" t="n">
        <v>60</v>
      </c>
      <c r="E130" s="18" t="n">
        <v>120</v>
      </c>
      <c r="F130" s="18" t="n">
        <f aca="false">D130*E130</f>
        <v>7200</v>
      </c>
      <c r="G130" s="19" t="s">
        <v>355</v>
      </c>
    </row>
    <row r="131" customFormat="false" ht="80.25" hidden="false" customHeight="true" outlineLevel="0" collapsed="false">
      <c r="A131" s="16" t="s">
        <v>356</v>
      </c>
      <c r="B131" s="17" t="s">
        <v>357</v>
      </c>
      <c r="C131" s="16" t="s">
        <v>72</v>
      </c>
      <c r="D131" s="18" t="n">
        <v>10</v>
      </c>
      <c r="E131" s="18" t="n">
        <v>5500</v>
      </c>
      <c r="F131" s="18" t="n">
        <f aca="false">D131*E131</f>
        <v>55000</v>
      </c>
      <c r="G131" s="19" t="s">
        <v>358</v>
      </c>
    </row>
    <row r="132" customFormat="false" ht="29.25" hidden="false" customHeight="true" outlineLevel="0" collapsed="false">
      <c r="A132" s="16" t="s">
        <v>359</v>
      </c>
      <c r="B132" s="17" t="s">
        <v>360</v>
      </c>
      <c r="C132" s="16" t="s">
        <v>72</v>
      </c>
      <c r="D132" s="18" t="n">
        <v>4</v>
      </c>
      <c r="E132" s="18" t="n">
        <v>2500</v>
      </c>
      <c r="F132" s="18" t="n">
        <f aca="false">D132*E132</f>
        <v>10000</v>
      </c>
      <c r="G132" s="19" t="s">
        <v>142</v>
      </c>
    </row>
    <row r="133" customFormat="false" ht="29.25" hidden="false" customHeight="true" outlineLevel="0" collapsed="false">
      <c r="A133" s="16" t="s">
        <v>361</v>
      </c>
      <c r="B133" s="17" t="s">
        <v>362</v>
      </c>
      <c r="C133" s="16" t="s">
        <v>72</v>
      </c>
      <c r="D133" s="18" t="n">
        <v>8</v>
      </c>
      <c r="E133" s="18" t="n">
        <v>375</v>
      </c>
      <c r="F133" s="18" t="n">
        <f aca="false">D133*E133</f>
        <v>3000</v>
      </c>
      <c r="G133" s="19" t="s">
        <v>142</v>
      </c>
    </row>
    <row r="134" customFormat="false" ht="29.25" hidden="false" customHeight="true" outlineLevel="0" collapsed="false">
      <c r="A134" s="16" t="s">
        <v>363</v>
      </c>
      <c r="B134" s="17" t="s">
        <v>364</v>
      </c>
      <c r="C134" s="16" t="s">
        <v>365</v>
      </c>
      <c r="D134" s="18" t="n">
        <v>2</v>
      </c>
      <c r="E134" s="18" t="n">
        <v>3500</v>
      </c>
      <c r="F134" s="18" t="n">
        <f aca="false">D134*E134</f>
        <v>7000</v>
      </c>
      <c r="G134" s="19" t="s">
        <v>142</v>
      </c>
    </row>
    <row r="135" customFormat="false" ht="29.25" hidden="false" customHeight="true" outlineLevel="0" collapsed="false">
      <c r="A135" s="16" t="s">
        <v>366</v>
      </c>
      <c r="B135" s="17" t="s">
        <v>367</v>
      </c>
      <c r="C135" s="16" t="s">
        <v>72</v>
      </c>
      <c r="D135" s="18" t="n">
        <v>40</v>
      </c>
      <c r="E135" s="18" t="n">
        <v>250</v>
      </c>
      <c r="F135" s="18" t="n">
        <f aca="false">D135*E135</f>
        <v>10000</v>
      </c>
      <c r="G135" s="19" t="s">
        <v>142</v>
      </c>
    </row>
    <row r="136" customFormat="false" ht="29.25" hidden="false" customHeight="true" outlineLevel="0" collapsed="false">
      <c r="A136" s="16" t="s">
        <v>368</v>
      </c>
      <c r="B136" s="17" t="s">
        <v>369</v>
      </c>
      <c r="C136" s="16" t="s">
        <v>72</v>
      </c>
      <c r="D136" s="18" t="n">
        <v>8</v>
      </c>
      <c r="E136" s="18" t="n">
        <v>625</v>
      </c>
      <c r="F136" s="18" t="n">
        <f aca="false">D136*E136</f>
        <v>5000</v>
      </c>
      <c r="G136" s="19" t="s">
        <v>142</v>
      </c>
    </row>
    <row r="137" customFormat="false" ht="39" hidden="false" customHeight="true" outlineLevel="0" collapsed="false">
      <c r="A137" s="16" t="s">
        <v>370</v>
      </c>
      <c r="B137" s="17" t="s">
        <v>371</v>
      </c>
      <c r="C137" s="16" t="s">
        <v>72</v>
      </c>
      <c r="D137" s="18" t="n">
        <v>2</v>
      </c>
      <c r="E137" s="18" t="n">
        <v>3500</v>
      </c>
      <c r="F137" s="18" t="n">
        <f aca="false">D137*E137</f>
        <v>7000</v>
      </c>
      <c r="G137" s="19" t="s">
        <v>142</v>
      </c>
    </row>
    <row r="138" customFormat="false" ht="67.5" hidden="false" customHeight="true" outlineLevel="0" collapsed="false">
      <c r="A138" s="16" t="s">
        <v>372</v>
      </c>
      <c r="B138" s="17" t="s">
        <v>373</v>
      </c>
      <c r="C138" s="16" t="s">
        <v>72</v>
      </c>
      <c r="D138" s="18" t="n">
        <v>2</v>
      </c>
      <c r="E138" s="18" t="n">
        <v>4500</v>
      </c>
      <c r="F138" s="18" t="n">
        <f aca="false">D138*E138</f>
        <v>9000</v>
      </c>
      <c r="G138" s="19" t="s">
        <v>374</v>
      </c>
    </row>
    <row r="139" customFormat="false" ht="42" hidden="false" customHeight="true" outlineLevel="0" collapsed="false">
      <c r="A139" s="16" t="s">
        <v>375</v>
      </c>
      <c r="B139" s="17" t="s">
        <v>376</v>
      </c>
      <c r="C139" s="16" t="s">
        <v>351</v>
      </c>
      <c r="D139" s="18" t="n">
        <v>160</v>
      </c>
      <c r="E139" s="18" t="n">
        <v>25</v>
      </c>
      <c r="F139" s="18" t="n">
        <f aca="false">D139*E139</f>
        <v>4000</v>
      </c>
      <c r="G139" s="19" t="s">
        <v>377</v>
      </c>
    </row>
    <row r="140" customFormat="false" ht="29.25" hidden="false" customHeight="true" outlineLevel="0" collapsed="false">
      <c r="A140" s="16" t="s">
        <v>378</v>
      </c>
      <c r="B140" s="17" t="s">
        <v>379</v>
      </c>
      <c r="C140" s="16" t="s">
        <v>199</v>
      </c>
      <c r="D140" s="18" t="n">
        <v>2</v>
      </c>
      <c r="E140" s="18" t="n">
        <v>2500</v>
      </c>
      <c r="F140" s="18" t="n">
        <f aca="false">D140*E140</f>
        <v>5000</v>
      </c>
      <c r="G140" s="19" t="s">
        <v>142</v>
      </c>
    </row>
    <row r="141" customFormat="false" ht="29.25" hidden="false" customHeight="true" outlineLevel="0" collapsed="false">
      <c r="A141" s="16" t="s">
        <v>380</v>
      </c>
      <c r="B141" s="17" t="s">
        <v>381</v>
      </c>
      <c r="C141" s="16" t="s">
        <v>72</v>
      </c>
      <c r="D141" s="18" t="n">
        <v>2</v>
      </c>
      <c r="E141" s="18" t="n">
        <v>1500</v>
      </c>
      <c r="F141" s="18" t="n">
        <f aca="false">D141*E141</f>
        <v>3000</v>
      </c>
      <c r="G141" s="19" t="s">
        <v>142</v>
      </c>
    </row>
    <row r="142" customFormat="false" ht="54.75" hidden="false" customHeight="true" outlineLevel="0" collapsed="false">
      <c r="A142" s="16" t="s">
        <v>382</v>
      </c>
      <c r="B142" s="17" t="s">
        <v>383</v>
      </c>
      <c r="C142" s="16" t="s">
        <v>72</v>
      </c>
      <c r="D142" s="18" t="n">
        <v>2</v>
      </c>
      <c r="E142" s="18" t="n">
        <v>6000</v>
      </c>
      <c r="F142" s="18" t="n">
        <f aca="false">D142*E142</f>
        <v>12000</v>
      </c>
      <c r="G142" s="19" t="s">
        <v>384</v>
      </c>
    </row>
    <row r="143" customFormat="false" ht="29.25" hidden="false" customHeight="true" outlineLevel="0" collapsed="false">
      <c r="A143" s="16" t="s">
        <v>385</v>
      </c>
      <c r="B143" s="17" t="s">
        <v>386</v>
      </c>
      <c r="C143" s="16" t="s">
        <v>72</v>
      </c>
      <c r="D143" s="18" t="n">
        <v>2</v>
      </c>
      <c r="E143" s="18" t="n">
        <v>4000</v>
      </c>
      <c r="F143" s="18" t="n">
        <f aca="false">D143*E143</f>
        <v>8000</v>
      </c>
      <c r="G143" s="19" t="s">
        <v>142</v>
      </c>
    </row>
    <row r="144" customFormat="false" ht="29.25" hidden="false" customHeight="true" outlineLevel="0" collapsed="false">
      <c r="A144" s="16" t="s">
        <v>387</v>
      </c>
      <c r="B144" s="17" t="s">
        <v>388</v>
      </c>
      <c r="C144" s="16" t="s">
        <v>292</v>
      </c>
      <c r="D144" s="18" t="n">
        <v>2</v>
      </c>
      <c r="E144" s="18" t="n">
        <v>1500</v>
      </c>
      <c r="F144" s="18" t="n">
        <f aca="false">D144*E144</f>
        <v>3000</v>
      </c>
      <c r="G144" s="19" t="s">
        <v>142</v>
      </c>
    </row>
    <row r="145" customFormat="false" ht="29.25" hidden="false" customHeight="true" outlineLevel="0" collapsed="false">
      <c r="A145" s="16" t="s">
        <v>389</v>
      </c>
      <c r="B145" s="17" t="s">
        <v>390</v>
      </c>
      <c r="C145" s="16" t="s">
        <v>207</v>
      </c>
      <c r="D145" s="18" t="n">
        <v>300</v>
      </c>
      <c r="E145" s="18" t="n">
        <v>6</v>
      </c>
      <c r="F145" s="18" t="n">
        <f aca="false">D145*E145</f>
        <v>1800</v>
      </c>
      <c r="G145" s="19" t="s">
        <v>142</v>
      </c>
    </row>
    <row r="146" customFormat="false" ht="29.25" hidden="false" customHeight="true" outlineLevel="0" collapsed="false">
      <c r="A146" s="16" t="s">
        <v>391</v>
      </c>
      <c r="B146" s="17" t="s">
        <v>392</v>
      </c>
      <c r="C146" s="16" t="s">
        <v>141</v>
      </c>
      <c r="D146" s="18" t="n">
        <v>24</v>
      </c>
      <c r="E146" s="18" t="n">
        <v>150</v>
      </c>
      <c r="F146" s="18" t="n">
        <f aca="false">D146*E146</f>
        <v>3600</v>
      </c>
      <c r="G146" s="19" t="s">
        <v>142</v>
      </c>
    </row>
    <row r="147" customFormat="false" ht="29.25" hidden="false" customHeight="true" outlineLevel="0" collapsed="false">
      <c r="A147" s="16" t="s">
        <v>393</v>
      </c>
      <c r="B147" s="17" t="s">
        <v>394</v>
      </c>
      <c r="C147" s="16" t="s">
        <v>395</v>
      </c>
      <c r="D147" s="18" t="n">
        <v>2</v>
      </c>
      <c r="E147" s="18" t="n">
        <v>1800</v>
      </c>
      <c r="F147" s="18" t="n">
        <f aca="false">D147*E147</f>
        <v>3600</v>
      </c>
      <c r="G147" s="19" t="s">
        <v>142</v>
      </c>
    </row>
    <row r="148" customFormat="false" ht="29.25" hidden="false" customHeight="true" outlineLevel="0" collapsed="false">
      <c r="A148" s="16" t="s">
        <v>396</v>
      </c>
      <c r="B148" s="17" t="s">
        <v>397</v>
      </c>
      <c r="C148" s="16" t="s">
        <v>351</v>
      </c>
      <c r="D148" s="18" t="n">
        <v>260</v>
      </c>
      <c r="E148" s="18" t="n">
        <v>20</v>
      </c>
      <c r="F148" s="18" t="n">
        <f aca="false">D148*E148</f>
        <v>5200</v>
      </c>
      <c r="G148" s="19" t="s">
        <v>142</v>
      </c>
    </row>
    <row r="149" customFormat="false" ht="54" hidden="false" customHeight="true" outlineLevel="0" collapsed="false">
      <c r="A149" s="16" t="s">
        <v>398</v>
      </c>
      <c r="B149" s="17" t="s">
        <v>399</v>
      </c>
      <c r="C149" s="16" t="s">
        <v>72</v>
      </c>
      <c r="D149" s="18" t="n">
        <v>70</v>
      </c>
      <c r="E149" s="18" t="n">
        <v>40</v>
      </c>
      <c r="F149" s="18" t="n">
        <f aca="false">D149*E149</f>
        <v>2800</v>
      </c>
      <c r="G149" s="19" t="s">
        <v>400</v>
      </c>
    </row>
    <row r="150" customFormat="false" ht="19.5" hidden="false" customHeight="true" outlineLevel="0" collapsed="false">
      <c r="A150" s="34"/>
      <c r="B150" s="23" t="s">
        <v>401</v>
      </c>
      <c r="C150" s="34"/>
      <c r="D150" s="34"/>
      <c r="E150" s="34"/>
      <c r="F150" s="35" t="n">
        <f aca="false">SUM(F129:F149)</f>
        <v>245200</v>
      </c>
      <c r="G150" s="34"/>
    </row>
    <row r="151" customFormat="false" ht="18" hidden="false" customHeight="true" outlineLevel="0" collapsed="false">
      <c r="B151" s="36" t="s">
        <v>402</v>
      </c>
    </row>
    <row r="152" customFormat="false" ht="105.75" hidden="false" customHeight="true" outlineLevel="0" collapsed="false">
      <c r="A152" s="16" t="s">
        <v>403</v>
      </c>
      <c r="B152" s="17" t="s">
        <v>404</v>
      </c>
      <c r="C152" s="16" t="s">
        <v>351</v>
      </c>
      <c r="D152" s="18" t="n">
        <f aca="false">D129</f>
        <v>200</v>
      </c>
      <c r="E152" s="18" t="n">
        <v>280</v>
      </c>
      <c r="F152" s="18" t="n">
        <f aca="false">D152*E152</f>
        <v>56000</v>
      </c>
      <c r="G152" s="19" t="s">
        <v>405</v>
      </c>
    </row>
    <row r="153" customFormat="false" ht="42" hidden="false" customHeight="true" outlineLevel="0" collapsed="false">
      <c r="A153" s="16" t="s">
        <v>406</v>
      </c>
      <c r="B153" s="17" t="s">
        <v>407</v>
      </c>
      <c r="C153" s="16" t="s">
        <v>351</v>
      </c>
      <c r="D153" s="18" t="n">
        <f aca="false">D130</f>
        <v>60</v>
      </c>
      <c r="E153" s="18" t="n">
        <f aca="false">E130</f>
        <v>120</v>
      </c>
      <c r="F153" s="18" t="n">
        <f aca="false">D153*E153</f>
        <v>7200</v>
      </c>
      <c r="G153" s="19" t="s">
        <v>408</v>
      </c>
    </row>
    <row r="154" customFormat="false" ht="54.75" hidden="false" customHeight="true" outlineLevel="0" collapsed="false">
      <c r="A154" s="16" t="s">
        <v>409</v>
      </c>
      <c r="B154" s="17" t="s">
        <v>410</v>
      </c>
      <c r="C154" s="16" t="s">
        <v>72</v>
      </c>
      <c r="D154" s="18" t="n">
        <v>1</v>
      </c>
      <c r="E154" s="18" t="n">
        <v>6500</v>
      </c>
      <c r="F154" s="18" t="n">
        <f aca="false">D154*E154</f>
        <v>6500</v>
      </c>
      <c r="G154" s="19" t="s">
        <v>411</v>
      </c>
    </row>
    <row r="155" customFormat="false" ht="54.75" hidden="false" customHeight="true" outlineLevel="0" collapsed="false">
      <c r="A155" s="16" t="s">
        <v>412</v>
      </c>
      <c r="B155" s="17" t="s">
        <v>413</v>
      </c>
      <c r="C155" s="16" t="s">
        <v>72</v>
      </c>
      <c r="D155" s="18" t="n">
        <v>1</v>
      </c>
      <c r="E155" s="18" t="n">
        <v>14000</v>
      </c>
      <c r="F155" s="18" t="n">
        <f aca="false">D155*E155</f>
        <v>14000</v>
      </c>
      <c r="G155" s="19" t="s">
        <v>414</v>
      </c>
    </row>
    <row r="156" customFormat="false" ht="42" hidden="false" customHeight="true" outlineLevel="0" collapsed="false">
      <c r="A156" s="16" t="s">
        <v>415</v>
      </c>
      <c r="B156" s="17" t="s">
        <v>416</v>
      </c>
      <c r="C156" s="16" t="s">
        <v>72</v>
      </c>
      <c r="D156" s="18" t="n">
        <f aca="false">D131-2</f>
        <v>8</v>
      </c>
      <c r="E156" s="18" t="n">
        <f aca="false">E131</f>
        <v>5500</v>
      </c>
      <c r="F156" s="18" t="n">
        <f aca="false">D156*E156</f>
        <v>44000</v>
      </c>
      <c r="G156" s="19" t="s">
        <v>417</v>
      </c>
    </row>
    <row r="157" customFormat="false" ht="14.25" hidden="false" customHeight="false" outlineLevel="0" collapsed="false">
      <c r="B157" s="36" t="s">
        <v>418</v>
      </c>
      <c r="F157" s="37" t="n">
        <f aca="false">SUM(F152:F156)</f>
        <v>127700</v>
      </c>
    </row>
    <row r="158" customFormat="false" ht="14.25" hidden="false" customHeight="false" outlineLevel="0" collapsed="false">
      <c r="B158" s="36" t="s">
        <v>419</v>
      </c>
      <c r="F158" s="37" t="n">
        <f aca="false">F129+F130+F131</f>
        <v>142200</v>
      </c>
    </row>
    <row r="159" customFormat="false" ht="30" hidden="false" customHeight="true" outlineLevel="0" collapsed="false">
      <c r="B159" s="36" t="s">
        <v>420</v>
      </c>
      <c r="F159" s="37" t="n">
        <f aca="false">F158-F157</f>
        <v>14500</v>
      </c>
    </row>
    <row r="161" customFormat="false" ht="21" hidden="false" customHeight="true" outlineLevel="0" collapsed="false">
      <c r="A161" s="15" t="s">
        <v>421</v>
      </c>
      <c r="B161" s="15"/>
      <c r="C161" s="15"/>
      <c r="D161" s="15"/>
      <c r="E161" s="15"/>
      <c r="F161" s="15"/>
      <c r="G161" s="15"/>
    </row>
    <row r="162" customFormat="false" ht="37.5" hidden="false" customHeight="true" outlineLevel="0" collapsed="false">
      <c r="A162" s="41" t="s">
        <v>422</v>
      </c>
      <c r="B162" s="41"/>
      <c r="C162" s="41"/>
      <c r="D162" s="41"/>
      <c r="E162" s="41"/>
      <c r="F162" s="41"/>
      <c r="G162" s="41"/>
    </row>
    <row r="163" customFormat="false" ht="49.5" hidden="false" customHeight="true" outlineLevel="0" collapsed="false">
      <c r="A163" s="41" t="s">
        <v>423</v>
      </c>
      <c r="B163" s="41"/>
      <c r="C163" s="41"/>
      <c r="D163" s="41"/>
      <c r="E163" s="41"/>
      <c r="F163" s="41"/>
      <c r="G163" s="41"/>
    </row>
    <row r="164" customFormat="false" ht="72.75" hidden="false" customHeight="true" outlineLevel="0" collapsed="false">
      <c r="A164" s="41" t="s">
        <v>424</v>
      </c>
      <c r="B164" s="41"/>
      <c r="C164" s="41"/>
      <c r="D164" s="41"/>
      <c r="E164" s="41"/>
      <c r="F164" s="41"/>
      <c r="G164" s="41"/>
    </row>
    <row r="165" customFormat="false" ht="38.25" hidden="false" customHeight="true" outlineLevel="0" collapsed="false">
      <c r="A165" s="41" t="s">
        <v>425</v>
      </c>
      <c r="B165" s="41"/>
      <c r="C165" s="41"/>
      <c r="D165" s="41"/>
      <c r="E165" s="41"/>
      <c r="F165" s="41"/>
      <c r="G165" s="41"/>
    </row>
    <row r="166" customFormat="false" ht="36.75" hidden="false" customHeight="true" outlineLevel="0" collapsed="false">
      <c r="A166" s="41" t="s">
        <v>426</v>
      </c>
      <c r="B166" s="41"/>
      <c r="C166" s="41"/>
      <c r="D166" s="41"/>
      <c r="E166" s="41"/>
      <c r="F166" s="41"/>
      <c r="G166" s="41"/>
    </row>
    <row r="167" customFormat="false" ht="37.5" hidden="false" customHeight="true" outlineLevel="0" collapsed="false">
      <c r="A167" s="41" t="s">
        <v>427</v>
      </c>
      <c r="B167" s="41"/>
      <c r="C167" s="41"/>
      <c r="D167" s="41"/>
      <c r="E167" s="41"/>
      <c r="F167" s="41"/>
      <c r="G167" s="41"/>
    </row>
    <row r="168" customFormat="false" ht="21" hidden="false" customHeight="true" outlineLevel="0" collapsed="false">
      <c r="A168" s="41" t="s">
        <v>428</v>
      </c>
      <c r="B168" s="41"/>
      <c r="C168" s="41"/>
      <c r="D168" s="41"/>
      <c r="E168" s="41"/>
      <c r="F168" s="41"/>
      <c r="G168" s="41"/>
    </row>
    <row r="169" customFormat="false" ht="21" hidden="false" customHeight="true" outlineLevel="0" collapsed="false">
      <c r="A169" s="41" t="s">
        <v>429</v>
      </c>
      <c r="B169" s="41"/>
      <c r="C169" s="41"/>
      <c r="D169" s="41"/>
      <c r="E169" s="41"/>
      <c r="F169" s="41"/>
      <c r="G169" s="41"/>
    </row>
  </sheetData>
  <mergeCells count="26">
    <mergeCell ref="A4:G4"/>
    <mergeCell ref="A6:G6"/>
    <mergeCell ref="A7:G7"/>
    <mergeCell ref="A34:G34"/>
    <mergeCell ref="A35:G35"/>
    <mergeCell ref="A43:G43"/>
    <mergeCell ref="A44:G44"/>
    <mergeCell ref="A65:G65"/>
    <mergeCell ref="A66:G66"/>
    <mergeCell ref="A71:G71"/>
    <mergeCell ref="A72:G72"/>
    <mergeCell ref="A91:G91"/>
    <mergeCell ref="A92:G92"/>
    <mergeCell ref="A97:G97"/>
    <mergeCell ref="A98:G98"/>
    <mergeCell ref="A126:G126"/>
    <mergeCell ref="A127:G127"/>
    <mergeCell ref="A161:G161"/>
    <mergeCell ref="A162:G162"/>
    <mergeCell ref="A163:G163"/>
    <mergeCell ref="A164:G164"/>
    <mergeCell ref="A165:G165"/>
    <mergeCell ref="A166:G166"/>
    <mergeCell ref="A167:G167"/>
    <mergeCell ref="A168:G168"/>
    <mergeCell ref="A169:G169"/>
  </mergeCell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38"/>
    <col collapsed="false" customWidth="true" hidden="false" outlineLevel="0" max="3" min="3" style="7" width="30"/>
    <col collapsed="false" customWidth="true" hidden="false" outlineLevel="0" max="4" min="4" style="7" width="7"/>
    <col collapsed="false" customWidth="true" hidden="false" outlineLevel="0" max="7" min="5" style="7" width="15"/>
    <col collapsed="false" customWidth="true" hidden="false" outlineLevel="0" max="8" min="8" style="7" width="44"/>
  </cols>
  <sheetData>
    <row r="1" customFormat="false" ht="25.5" hidden="false" customHeight="true" outlineLevel="0" collapsed="false">
      <c r="A1" s="8" t="s">
        <v>430</v>
      </c>
    </row>
    <row r="2" customFormat="false" ht="17.25" hidden="false" customHeight="true" outlineLevel="0" collapsed="false">
      <c r="A2" s="9" t="s">
        <v>30</v>
      </c>
    </row>
    <row r="3" customFormat="false" ht="14.25" hidden="false" customHeight="false" outlineLevel="0" collapsed="false">
      <c r="A3" s="10" t="s">
        <v>31</v>
      </c>
    </row>
    <row r="4" customFormat="false" ht="51.75" hidden="false" customHeight="true" outlineLevel="0" collapsed="false">
      <c r="A4" s="11" t="s">
        <v>431</v>
      </c>
      <c r="B4" s="11"/>
      <c r="C4" s="11"/>
      <c r="D4" s="11"/>
      <c r="E4" s="11"/>
      <c r="F4" s="11"/>
      <c r="G4" s="11"/>
      <c r="H4" s="11"/>
    </row>
    <row r="6" customFormat="false" ht="21" hidden="false" customHeight="true" outlineLevel="0" collapsed="false">
      <c r="A6" s="15" t="s">
        <v>432</v>
      </c>
      <c r="B6" s="15"/>
      <c r="C6" s="15"/>
      <c r="D6" s="15"/>
      <c r="E6" s="15"/>
      <c r="F6" s="15"/>
      <c r="G6" s="15"/>
      <c r="H6" s="15"/>
    </row>
    <row r="7" customFormat="false" ht="31.5" hidden="false" customHeight="true" outlineLevel="0" collapsed="false">
      <c r="A7" s="13" t="s">
        <v>35</v>
      </c>
      <c r="B7" s="42" t="s">
        <v>36</v>
      </c>
      <c r="C7" s="42"/>
      <c r="D7" s="42"/>
      <c r="E7" s="13" t="s">
        <v>433</v>
      </c>
      <c r="F7" s="43" t="s">
        <v>434</v>
      </c>
      <c r="G7" s="13" t="s">
        <v>435</v>
      </c>
      <c r="H7" s="13" t="s">
        <v>436</v>
      </c>
    </row>
    <row r="8" customFormat="false" ht="42" hidden="false" customHeight="true" outlineLevel="0" collapsed="false">
      <c r="A8" s="16" t="s">
        <v>437</v>
      </c>
      <c r="B8" s="44" t="s">
        <v>438</v>
      </c>
      <c r="C8" s="44"/>
      <c r="D8" s="44"/>
      <c r="E8" s="18" t="n">
        <f aca="false">Assessment!$F$8</f>
        <v>680000</v>
      </c>
      <c r="F8" s="20" t="n">
        <f aca="false">Assessment!$K$8</f>
        <v>323210.56</v>
      </c>
      <c r="G8" s="18" t="n">
        <f aca="false">E8-F8</f>
        <v>356789.44</v>
      </c>
      <c r="H8" s="19" t="s">
        <v>439</v>
      </c>
    </row>
    <row r="9" customFormat="false" ht="42" hidden="false" customHeight="true" outlineLevel="0" collapsed="false">
      <c r="A9" s="16" t="s">
        <v>440</v>
      </c>
      <c r="B9" s="44" t="s">
        <v>441</v>
      </c>
      <c r="C9" s="44"/>
      <c r="D9" s="44"/>
      <c r="E9" s="18" t="n">
        <f aca="false">Assessment!$F$14</f>
        <v>504192.02</v>
      </c>
      <c r="F9" s="20" t="n">
        <f aca="false">Assessment!$K$14</f>
        <v>296010</v>
      </c>
      <c r="G9" s="18" t="n">
        <f aca="false">E9-F9</f>
        <v>208182.02</v>
      </c>
      <c r="H9" s="19" t="s">
        <v>442</v>
      </c>
    </row>
    <row r="10" customFormat="false" ht="42" hidden="false" customHeight="true" outlineLevel="0" collapsed="false">
      <c r="A10" s="16" t="s">
        <v>443</v>
      </c>
      <c r="B10" s="44" t="s">
        <v>444</v>
      </c>
      <c r="C10" s="44"/>
      <c r="D10" s="44"/>
      <c r="E10" s="18" t="n">
        <f aca="false">Assessment!$F$17</f>
        <v>426400</v>
      </c>
      <c r="F10" s="20" t="n">
        <f aca="false">Assessment!$K$17</f>
        <v>109106</v>
      </c>
      <c r="G10" s="18" t="n">
        <f aca="false">E10-F10</f>
        <v>317294</v>
      </c>
      <c r="H10" s="19" t="s">
        <v>445</v>
      </c>
    </row>
    <row r="11" customFormat="false" ht="42" hidden="false" customHeight="true" outlineLevel="0" collapsed="false">
      <c r="A11" s="16" t="s">
        <v>446</v>
      </c>
      <c r="B11" s="44" t="s">
        <v>447</v>
      </c>
      <c r="C11" s="44"/>
      <c r="D11" s="44"/>
      <c r="E11" s="18" t="n">
        <f aca="false">Assessment!$F$18</f>
        <v>420000</v>
      </c>
      <c r="F11" s="20" t="n">
        <f aca="false">Assessment!$K$18</f>
        <v>245200</v>
      </c>
      <c r="G11" s="18" t="n">
        <f aca="false">E11-F11</f>
        <v>174800</v>
      </c>
      <c r="H11" s="19" t="s">
        <v>448</v>
      </c>
    </row>
    <row r="12" customFormat="false" ht="24" hidden="false" customHeight="true" outlineLevel="0" collapsed="false">
      <c r="A12" s="23"/>
      <c r="B12" s="23" t="s">
        <v>449</v>
      </c>
      <c r="C12" s="23"/>
      <c r="D12" s="23"/>
      <c r="E12" s="24" t="n">
        <f aca="false">SUM(E8:E11)</f>
        <v>2030592.02</v>
      </c>
      <c r="F12" s="25" t="n">
        <f aca="false">SUM(F8:F11)</f>
        <v>973526.56</v>
      </c>
      <c r="G12" s="24" t="n">
        <f aca="false">E12-F12</f>
        <v>1057065.46</v>
      </c>
      <c r="H12" s="45" t="s">
        <v>450</v>
      </c>
    </row>
    <row r="13" customFormat="false" ht="18.75" hidden="false" customHeight="true" outlineLevel="0" collapsed="false">
      <c r="A13" s="46" t="s">
        <v>451</v>
      </c>
      <c r="B13" s="46"/>
      <c r="C13" s="46"/>
      <c r="D13" s="46"/>
      <c r="E13" s="46"/>
      <c r="F13" s="46"/>
      <c r="G13" s="46"/>
      <c r="H13" s="46"/>
    </row>
    <row r="15" customFormat="false" ht="21" hidden="false" customHeight="true" outlineLevel="0" collapsed="false">
      <c r="A15" s="15" t="s">
        <v>452</v>
      </c>
      <c r="B15" s="15"/>
      <c r="C15" s="15"/>
      <c r="D15" s="15"/>
      <c r="E15" s="15"/>
      <c r="F15" s="15"/>
      <c r="G15" s="15"/>
      <c r="H15" s="15"/>
    </row>
    <row r="16" customFormat="false" ht="31.5" hidden="false" customHeight="true" outlineLevel="0" collapsed="false">
      <c r="A16" s="46" t="s">
        <v>453</v>
      </c>
      <c r="B16" s="46"/>
      <c r="C16" s="46"/>
      <c r="D16" s="46"/>
      <c r="E16" s="46"/>
      <c r="F16" s="46"/>
      <c r="G16" s="46"/>
      <c r="H16" s="46"/>
    </row>
    <row r="17" customFormat="false" ht="18.75" hidden="false" customHeight="true" outlineLevel="0" collapsed="false">
      <c r="A17" s="46" t="s">
        <v>454</v>
      </c>
      <c r="B17" s="46"/>
      <c r="C17" s="46"/>
      <c r="D17" s="46"/>
      <c r="E17" s="46"/>
      <c r="F17" s="46"/>
      <c r="G17" s="46"/>
      <c r="H17" s="46"/>
    </row>
    <row r="18" customFormat="false" ht="18.75" hidden="false" customHeight="true" outlineLevel="0" collapsed="false">
      <c r="A18" s="46" t="s">
        <v>455</v>
      </c>
      <c r="B18" s="46"/>
      <c r="C18" s="46"/>
      <c r="D18" s="46"/>
      <c r="E18" s="46"/>
      <c r="F18" s="46"/>
      <c r="G18" s="46"/>
      <c r="H18" s="46"/>
    </row>
    <row r="19" customFormat="false" ht="18.75" hidden="false" customHeight="true" outlineLevel="0" collapsed="false">
      <c r="A19" s="46" t="s">
        <v>456</v>
      </c>
      <c r="B19" s="46"/>
      <c r="C19" s="46"/>
      <c r="D19" s="46"/>
      <c r="E19" s="46"/>
      <c r="F19" s="46"/>
      <c r="G19" s="46"/>
      <c r="H19" s="46"/>
    </row>
    <row r="20" customFormat="false" ht="31.5" hidden="false" customHeight="true" outlineLevel="0" collapsed="false">
      <c r="A20" s="46" t="s">
        <v>457</v>
      </c>
      <c r="B20" s="46"/>
      <c r="C20" s="46"/>
      <c r="D20" s="46"/>
      <c r="E20" s="46"/>
      <c r="F20" s="46"/>
      <c r="G20" s="46"/>
      <c r="H20" s="46"/>
    </row>
    <row r="22" customFormat="false" ht="21" hidden="false" customHeight="true" outlineLevel="0" collapsed="false">
      <c r="A22" s="15" t="s">
        <v>458</v>
      </c>
      <c r="B22" s="15"/>
      <c r="C22" s="15"/>
      <c r="D22" s="15"/>
      <c r="E22" s="15"/>
      <c r="F22" s="15"/>
      <c r="G22" s="15"/>
      <c r="H22" s="15"/>
    </row>
    <row r="23" customFormat="false" ht="31.5" hidden="false" customHeight="true" outlineLevel="0" collapsed="false">
      <c r="A23" s="11" t="s">
        <v>459</v>
      </c>
      <c r="B23" s="11"/>
      <c r="C23" s="11"/>
      <c r="D23" s="11"/>
      <c r="E23" s="11"/>
      <c r="F23" s="11"/>
      <c r="G23" s="11"/>
      <c r="H23" s="11"/>
    </row>
    <row r="24" customFormat="false" ht="31.5" hidden="false" customHeight="true" outlineLevel="0" collapsed="false">
      <c r="A24" s="13" t="s">
        <v>92</v>
      </c>
      <c r="B24" s="13" t="s">
        <v>460</v>
      </c>
      <c r="C24" s="13" t="s">
        <v>461</v>
      </c>
      <c r="D24" s="13" t="s">
        <v>462</v>
      </c>
      <c r="E24" s="13" t="s">
        <v>463</v>
      </c>
      <c r="F24" s="43" t="s">
        <v>434</v>
      </c>
      <c r="G24" s="13" t="s">
        <v>435</v>
      </c>
      <c r="H24" s="13" t="s">
        <v>464</v>
      </c>
    </row>
    <row r="25" customFormat="false" ht="103.5" hidden="false" customHeight="true" outlineLevel="0" collapsed="false">
      <c r="A25" s="16" t="s">
        <v>94</v>
      </c>
      <c r="B25" s="17" t="s">
        <v>465</v>
      </c>
      <c r="C25" s="19" t="s">
        <v>466</v>
      </c>
      <c r="D25" s="47" t="n">
        <v>0.240964</v>
      </c>
      <c r="E25" s="18" t="n">
        <v>163855.52</v>
      </c>
      <c r="F25" s="20" t="n">
        <f aca="false">'Build-Up'!$F$22</f>
        <v>6250</v>
      </c>
      <c r="G25" s="18" t="n">
        <f aca="false">E25-F25</f>
        <v>157605.52</v>
      </c>
      <c r="H25" s="19" t="s">
        <v>467</v>
      </c>
    </row>
    <row r="26" customFormat="false" ht="51.75" hidden="false" customHeight="true" outlineLevel="0" collapsed="false">
      <c r="A26" s="16" t="s">
        <v>98</v>
      </c>
      <c r="B26" s="17" t="s">
        <v>468</v>
      </c>
      <c r="C26" s="19" t="s">
        <v>469</v>
      </c>
      <c r="D26" s="47" t="n">
        <v>0.072289</v>
      </c>
      <c r="E26" s="18" t="n">
        <v>49156.52</v>
      </c>
      <c r="F26" s="20" t="n">
        <f aca="false">'Build-Up'!$F$14+'Build-Up'!$F$15+'Build-Up'!$F$16</f>
        <v>23370</v>
      </c>
      <c r="G26" s="18" t="n">
        <f aca="false">E26-F26</f>
        <v>25786.52</v>
      </c>
      <c r="H26" s="19" t="s">
        <v>470</v>
      </c>
    </row>
    <row r="27" customFormat="false" ht="51.75" hidden="false" customHeight="true" outlineLevel="0" collapsed="false">
      <c r="A27" s="16" t="s">
        <v>101</v>
      </c>
      <c r="B27" s="17" t="s">
        <v>471</v>
      </c>
      <c r="C27" s="19" t="s">
        <v>472</v>
      </c>
      <c r="D27" s="47" t="n">
        <v>0.096386</v>
      </c>
      <c r="E27" s="18" t="n">
        <v>65542.48</v>
      </c>
      <c r="F27" s="20" t="n">
        <f aca="false">'Build-Up'!$F$28+'Build-Up'!$F$29</f>
        <v>27755.56</v>
      </c>
      <c r="G27" s="18" t="n">
        <f aca="false">E27-F27</f>
        <v>37786.92</v>
      </c>
      <c r="H27" s="19" t="s">
        <v>473</v>
      </c>
    </row>
    <row r="28" customFormat="false" ht="64.5" hidden="false" customHeight="true" outlineLevel="0" collapsed="false">
      <c r="A28" s="16" t="s">
        <v>104</v>
      </c>
      <c r="B28" s="17" t="s">
        <v>474</v>
      </c>
      <c r="C28" s="19" t="s">
        <v>475</v>
      </c>
      <c r="D28" s="47" t="n">
        <v>0.144578</v>
      </c>
      <c r="E28" s="18" t="n">
        <v>98313.04</v>
      </c>
      <c r="F28" s="20" t="n">
        <f aca="false">'Build-Up'!$F$20</f>
        <v>16400</v>
      </c>
      <c r="G28" s="18" t="n">
        <f aca="false">E28-F28</f>
        <v>81913.04</v>
      </c>
      <c r="H28" s="19" t="s">
        <v>476</v>
      </c>
    </row>
    <row r="29" customFormat="false" ht="78" hidden="false" customHeight="true" outlineLevel="0" collapsed="false">
      <c r="A29" s="16" t="s">
        <v>106</v>
      </c>
      <c r="B29" s="17" t="s">
        <v>477</v>
      </c>
      <c r="C29" s="19" t="s">
        <v>478</v>
      </c>
      <c r="D29" s="47" t="n">
        <v>0.096386</v>
      </c>
      <c r="E29" s="18" t="n">
        <v>65542.48</v>
      </c>
      <c r="F29" s="20" t="n">
        <f aca="false">'Build-Up'!$F$17+'Build-Up'!$F$18</f>
        <v>14035</v>
      </c>
      <c r="G29" s="18" t="n">
        <f aca="false">E29-F29</f>
        <v>51507.48</v>
      </c>
      <c r="H29" s="19" t="s">
        <v>479</v>
      </c>
    </row>
    <row r="30" customFormat="false" ht="78" hidden="false" customHeight="true" outlineLevel="0" collapsed="false">
      <c r="A30" s="16" t="s">
        <v>109</v>
      </c>
      <c r="B30" s="17" t="s">
        <v>480</v>
      </c>
      <c r="C30" s="19" t="s">
        <v>481</v>
      </c>
      <c r="D30" s="47" t="n">
        <v>0.084337</v>
      </c>
      <c r="E30" s="18" t="n">
        <v>57349.16</v>
      </c>
      <c r="F30" s="20" t="n">
        <f aca="false">'Build-Up'!$F$10+'Build-Up'!$F$25+'Build-Up'!$F$26+'Build-Up'!$F$27</f>
        <v>61050</v>
      </c>
      <c r="G30" s="18" t="n">
        <f aca="false">E30-F30</f>
        <v>-3700.84</v>
      </c>
      <c r="H30" s="19" t="s">
        <v>482</v>
      </c>
    </row>
    <row r="31" customFormat="false" ht="90.75" hidden="false" customHeight="true" outlineLevel="0" collapsed="false">
      <c r="A31" s="16" t="s">
        <v>112</v>
      </c>
      <c r="B31" s="17" t="s">
        <v>483</v>
      </c>
      <c r="C31" s="19" t="s">
        <v>484</v>
      </c>
      <c r="D31" s="47" t="n">
        <v>0.120482</v>
      </c>
      <c r="E31" s="18" t="n">
        <v>81927.76</v>
      </c>
      <c r="F31" s="20" t="n">
        <f aca="false">'Build-Up'!$F$30+'Build-Up'!$F$31</f>
        <v>3650</v>
      </c>
      <c r="G31" s="18" t="n">
        <f aca="false">E31-F31</f>
        <v>78277.76</v>
      </c>
      <c r="H31" s="19" t="s">
        <v>485</v>
      </c>
    </row>
    <row r="32" customFormat="false" ht="42" hidden="false" customHeight="true" outlineLevel="0" collapsed="false">
      <c r="A32" s="16" t="s">
        <v>114</v>
      </c>
      <c r="B32" s="17" t="s">
        <v>486</v>
      </c>
      <c r="C32" s="19" t="s">
        <v>487</v>
      </c>
      <c r="D32" s="47" t="n">
        <v>0.144578</v>
      </c>
      <c r="E32" s="18" t="n">
        <v>98313.04</v>
      </c>
      <c r="F32" s="20" t="n">
        <f aca="false">'Build-Up'!$F$23+'Build-Up'!$F$24</f>
        <v>8050</v>
      </c>
      <c r="G32" s="18" t="n">
        <f aca="false">E32-F32</f>
        <v>90263.04</v>
      </c>
      <c r="H32" s="19" t="s">
        <v>488</v>
      </c>
    </row>
    <row r="33" customFormat="false" ht="78" hidden="false" customHeight="true" outlineLevel="0" collapsed="false">
      <c r="A33" s="16"/>
      <c r="B33" s="17" t="s">
        <v>489</v>
      </c>
      <c r="C33" s="19"/>
      <c r="D33" s="47"/>
      <c r="E33" s="18" t="n">
        <v>0</v>
      </c>
      <c r="F33" s="20" t="n">
        <f aca="false">'Build-Up'!$F$9+'Build-Up'!$F$11+'Build-Up'!$F$12+'Build-Up'!$F$13+'Build-Up'!$F$19+'Build-Up'!$F$21</f>
        <v>162650</v>
      </c>
      <c r="G33" s="18" t="n">
        <f aca="false">E33-F33</f>
        <v>-162650</v>
      </c>
      <c r="H33" s="19" t="s">
        <v>490</v>
      </c>
    </row>
    <row r="34" customFormat="false" ht="27" hidden="false" customHeight="true" outlineLevel="0" collapsed="false">
      <c r="A34" s="23"/>
      <c r="B34" s="23" t="s">
        <v>491</v>
      </c>
      <c r="C34" s="23"/>
      <c r="D34" s="23"/>
      <c r="E34" s="24" t="n">
        <f aca="false">SUM(E25:E33)</f>
        <v>680000</v>
      </c>
      <c r="F34" s="25" t="n">
        <f aca="false">SUM(F25:F33)</f>
        <v>323210.56</v>
      </c>
      <c r="G34" s="24" t="n">
        <f aca="false">E34-F34</f>
        <v>356789.44</v>
      </c>
      <c r="H34" s="48" t="s">
        <v>492</v>
      </c>
    </row>
    <row r="35" customFormat="false" ht="45" hidden="false" customHeight="true" outlineLevel="0" collapsed="false">
      <c r="A35" s="46" t="s">
        <v>493</v>
      </c>
      <c r="B35" s="46"/>
      <c r="C35" s="46"/>
      <c r="D35" s="46"/>
      <c r="E35" s="46"/>
      <c r="F35" s="46"/>
      <c r="G35" s="46"/>
      <c r="H35" s="46"/>
    </row>
    <row r="37" customFormat="false" ht="21" hidden="false" customHeight="true" outlineLevel="0" collapsed="false">
      <c r="A37" s="15" t="s">
        <v>494</v>
      </c>
      <c r="B37" s="15"/>
      <c r="C37" s="15"/>
      <c r="D37" s="15"/>
      <c r="E37" s="15"/>
      <c r="F37" s="15"/>
      <c r="G37" s="15"/>
      <c r="H37" s="15"/>
    </row>
    <row r="38" customFormat="false" ht="18.75" hidden="false" customHeight="true" outlineLevel="0" collapsed="false">
      <c r="A38" s="11" t="s">
        <v>495</v>
      </c>
      <c r="B38" s="11"/>
      <c r="C38" s="11"/>
      <c r="D38" s="11"/>
      <c r="E38" s="11"/>
      <c r="F38" s="11"/>
      <c r="G38" s="11"/>
      <c r="H38" s="11"/>
    </row>
    <row r="39" customFormat="false" ht="31.5" hidden="false" customHeight="true" outlineLevel="0" collapsed="false">
      <c r="A39" s="13" t="s">
        <v>92</v>
      </c>
      <c r="B39" s="13" t="s">
        <v>460</v>
      </c>
      <c r="C39" s="13" t="s">
        <v>461</v>
      </c>
      <c r="D39" s="13" t="s">
        <v>462</v>
      </c>
      <c r="E39" s="13" t="s">
        <v>463</v>
      </c>
      <c r="F39" s="43" t="s">
        <v>434</v>
      </c>
      <c r="G39" s="13" t="s">
        <v>435</v>
      </c>
      <c r="H39" s="13" t="s">
        <v>464</v>
      </c>
    </row>
    <row r="40" customFormat="false" ht="51.75" hidden="false" customHeight="true" outlineLevel="0" collapsed="false">
      <c r="A40" s="16" t="s">
        <v>230</v>
      </c>
      <c r="B40" s="17" t="s">
        <v>496</v>
      </c>
      <c r="C40" s="19" t="s">
        <v>497</v>
      </c>
      <c r="D40" s="47" t="n">
        <v>0.15</v>
      </c>
      <c r="E40" s="18" t="n">
        <v>75628.803</v>
      </c>
      <c r="F40" s="20" t="n">
        <f aca="false">'Build-Up'!$F$76+'Build-Up'!$F$77+'Build-Up'!$F$78+'Build-Up'!$F$79</f>
        <v>66520</v>
      </c>
      <c r="G40" s="18" t="n">
        <f aca="false">E40-F40</f>
        <v>9108.803</v>
      </c>
      <c r="H40" s="19" t="s">
        <v>498</v>
      </c>
    </row>
    <row r="41" customFormat="false" ht="78" hidden="false" customHeight="true" outlineLevel="0" collapsed="false">
      <c r="A41" s="16" t="s">
        <v>233</v>
      </c>
      <c r="B41" s="17" t="s">
        <v>499</v>
      </c>
      <c r="C41" s="19" t="s">
        <v>500</v>
      </c>
      <c r="D41" s="47" t="n">
        <v>0.25</v>
      </c>
      <c r="E41" s="18" t="n">
        <v>126048.005</v>
      </c>
      <c r="F41" s="20" t="n">
        <f aca="false">'Build-Up'!$F$75</f>
        <v>42300</v>
      </c>
      <c r="G41" s="18" t="n">
        <f aca="false">E41-F41</f>
        <v>83748.005</v>
      </c>
      <c r="H41" s="19" t="s">
        <v>501</v>
      </c>
    </row>
    <row r="42" customFormat="false" ht="39" hidden="false" customHeight="true" outlineLevel="0" collapsed="false">
      <c r="A42" s="16" t="s">
        <v>236</v>
      </c>
      <c r="B42" s="17" t="s">
        <v>502</v>
      </c>
      <c r="C42" s="19" t="s">
        <v>503</v>
      </c>
      <c r="D42" s="47" t="n">
        <v>0.12</v>
      </c>
      <c r="E42" s="18" t="n">
        <v>60503.0424</v>
      </c>
      <c r="F42" s="20" t="n">
        <f aca="false">'Build-Up'!$F$74</f>
        <v>56400</v>
      </c>
      <c r="G42" s="18" t="n">
        <f aca="false">E42-F42</f>
        <v>4103.0424</v>
      </c>
      <c r="H42" s="19" t="s">
        <v>504</v>
      </c>
    </row>
    <row r="43" customFormat="false" ht="129.75" hidden="false" customHeight="true" outlineLevel="0" collapsed="false">
      <c r="A43" s="16" t="s">
        <v>240</v>
      </c>
      <c r="B43" s="17" t="s">
        <v>505</v>
      </c>
      <c r="C43" s="19" t="s">
        <v>506</v>
      </c>
      <c r="D43" s="47" t="n">
        <v>0.1</v>
      </c>
      <c r="E43" s="18" t="n">
        <v>50419.202</v>
      </c>
      <c r="F43" s="20" t="n">
        <f aca="false">'Build-Up'!$F$80+'Build-Up'!$F$81+'Build-Up'!$F$88</f>
        <v>69200</v>
      </c>
      <c r="G43" s="18" t="n">
        <f aca="false">E43-F43</f>
        <v>-18780.798</v>
      </c>
      <c r="H43" s="19" t="s">
        <v>507</v>
      </c>
    </row>
    <row r="44" customFormat="false" ht="39" hidden="false" customHeight="true" outlineLevel="0" collapsed="false">
      <c r="A44" s="16" t="s">
        <v>244</v>
      </c>
      <c r="B44" s="17" t="s">
        <v>508</v>
      </c>
      <c r="C44" s="19" t="s">
        <v>509</v>
      </c>
      <c r="D44" s="47" t="n">
        <v>0.1</v>
      </c>
      <c r="E44" s="18" t="n">
        <v>50419.202</v>
      </c>
      <c r="F44" s="20" t="n">
        <f aca="false">'Build-Up'!$F$82</f>
        <v>12300</v>
      </c>
      <c r="G44" s="18" t="n">
        <f aca="false">E44-F44</f>
        <v>38119.202</v>
      </c>
      <c r="H44" s="19" t="s">
        <v>510</v>
      </c>
    </row>
    <row r="45" customFormat="false" ht="42" hidden="false" customHeight="true" outlineLevel="0" collapsed="false">
      <c r="A45" s="16" t="s">
        <v>246</v>
      </c>
      <c r="B45" s="17" t="s">
        <v>511</v>
      </c>
      <c r="C45" s="19" t="s">
        <v>512</v>
      </c>
      <c r="D45" s="47" t="n">
        <v>0.08</v>
      </c>
      <c r="E45" s="18" t="n">
        <v>40335.3616</v>
      </c>
      <c r="F45" s="20" t="n">
        <f aca="false">'Build-Up'!$F$84+'Build-Up'!$F$85+'Build-Up'!$F$86</f>
        <v>12750</v>
      </c>
      <c r="G45" s="18" t="n">
        <f aca="false">E45-F45</f>
        <v>27585.3616</v>
      </c>
      <c r="H45" s="19" t="s">
        <v>513</v>
      </c>
    </row>
    <row r="46" customFormat="false" ht="42" hidden="false" customHeight="true" outlineLevel="0" collapsed="false">
      <c r="A46" s="16" t="s">
        <v>250</v>
      </c>
      <c r="B46" s="17" t="s">
        <v>514</v>
      </c>
      <c r="C46" s="19" t="s">
        <v>515</v>
      </c>
      <c r="D46" s="47" t="n">
        <v>0.12</v>
      </c>
      <c r="E46" s="18" t="n">
        <v>60503.0424</v>
      </c>
      <c r="F46" s="20" t="n">
        <f aca="false">'Build-Up'!$F$87</f>
        <v>5040</v>
      </c>
      <c r="G46" s="18" t="n">
        <f aca="false">E46-F46</f>
        <v>55463.0424</v>
      </c>
      <c r="H46" s="19" t="s">
        <v>516</v>
      </c>
    </row>
    <row r="47" customFormat="false" ht="30" hidden="false" customHeight="true" outlineLevel="0" collapsed="false">
      <c r="A47" s="16" t="s">
        <v>253</v>
      </c>
      <c r="B47" s="17" t="s">
        <v>517</v>
      </c>
      <c r="C47" s="19" t="s">
        <v>518</v>
      </c>
      <c r="D47" s="47" t="n">
        <v>0.08</v>
      </c>
      <c r="E47" s="18" t="n">
        <v>40335.3616</v>
      </c>
      <c r="F47" s="20" t="n">
        <v>0</v>
      </c>
      <c r="G47" s="18" t="n">
        <f aca="false">E47-F47</f>
        <v>40335.3616</v>
      </c>
      <c r="H47" s="19" t="s">
        <v>519</v>
      </c>
    </row>
    <row r="48" customFormat="false" ht="42" hidden="false" customHeight="true" outlineLevel="0" collapsed="false">
      <c r="A48" s="16"/>
      <c r="B48" s="17" t="s">
        <v>520</v>
      </c>
      <c r="C48" s="19"/>
      <c r="D48" s="47"/>
      <c r="E48" s="18" t="n">
        <v>0</v>
      </c>
      <c r="F48" s="20" t="n">
        <f aca="false">'Build-Up'!$F$83</f>
        <v>31500</v>
      </c>
      <c r="G48" s="18" t="n">
        <f aca="false">E48-F48</f>
        <v>-31500</v>
      </c>
      <c r="H48" s="19" t="s">
        <v>521</v>
      </c>
    </row>
    <row r="49" customFormat="false" ht="27" hidden="false" customHeight="true" outlineLevel="0" collapsed="false">
      <c r="A49" s="23"/>
      <c r="B49" s="23" t="s">
        <v>491</v>
      </c>
      <c r="C49" s="23"/>
      <c r="D49" s="23"/>
      <c r="E49" s="24" t="n">
        <f aca="false">SUM(E40:E48)</f>
        <v>504192.02</v>
      </c>
      <c r="F49" s="25" t="n">
        <f aca="false">SUM(F40:F48)</f>
        <v>296010</v>
      </c>
      <c r="G49" s="24" t="n">
        <f aca="false">E49-F49</f>
        <v>208182.02</v>
      </c>
      <c r="H49" s="48" t="s">
        <v>522</v>
      </c>
    </row>
    <row r="51" customFormat="false" ht="21" hidden="false" customHeight="true" outlineLevel="0" collapsed="false">
      <c r="A51" s="15" t="s">
        <v>523</v>
      </c>
      <c r="B51" s="15"/>
      <c r="C51" s="15"/>
      <c r="D51" s="15"/>
      <c r="E51" s="15"/>
      <c r="F51" s="15"/>
      <c r="G51" s="15"/>
      <c r="H51" s="15"/>
    </row>
    <row r="52" customFormat="false" ht="31.5" hidden="false" customHeight="true" outlineLevel="0" collapsed="false">
      <c r="A52" s="11" t="s">
        <v>524</v>
      </c>
      <c r="B52" s="11"/>
      <c r="C52" s="11"/>
      <c r="D52" s="11"/>
      <c r="E52" s="11"/>
      <c r="F52" s="11"/>
      <c r="G52" s="11"/>
      <c r="H52" s="11"/>
    </row>
    <row r="53" customFormat="false" ht="31.5" hidden="false" customHeight="true" outlineLevel="0" collapsed="false">
      <c r="A53" s="13" t="s">
        <v>92</v>
      </c>
      <c r="B53" s="13" t="s">
        <v>460</v>
      </c>
      <c r="C53" s="13" t="s">
        <v>461</v>
      </c>
      <c r="D53" s="13" t="s">
        <v>462</v>
      </c>
      <c r="E53" s="13" t="s">
        <v>463</v>
      </c>
      <c r="F53" s="43" t="s">
        <v>434</v>
      </c>
      <c r="G53" s="13" t="s">
        <v>435</v>
      </c>
      <c r="H53" s="13" t="s">
        <v>464</v>
      </c>
    </row>
    <row r="54" customFormat="false" ht="78" hidden="false" customHeight="true" outlineLevel="0" collapsed="false">
      <c r="A54" s="16" t="s">
        <v>284</v>
      </c>
      <c r="B54" s="17" t="s">
        <v>525</v>
      </c>
      <c r="C54" s="19" t="s">
        <v>526</v>
      </c>
      <c r="D54" s="47" t="n">
        <v>0.3</v>
      </c>
      <c r="E54" s="18" t="n">
        <v>127920</v>
      </c>
      <c r="F54" s="20" t="n">
        <f aca="false">'Build-Up'!$F$100+'Build-Up'!$F$101+'Build-Up'!$F$102+'Build-Up'!$F$103+'Build-Up'!$F$104+'Build-Up'!$F$105+'Build-Up'!$F$106+'Build-Up'!$F$107+'Build-Up'!$F$108+'Build-Up'!$F$109+'Build-Up'!$F$110+'Build-Up'!$F$111+'Build-Up'!$F$121</f>
        <v>61306</v>
      </c>
      <c r="G54" s="18" t="n">
        <f aca="false">E54-F54</f>
        <v>66614</v>
      </c>
      <c r="H54" s="19" t="s">
        <v>527</v>
      </c>
    </row>
    <row r="55" customFormat="false" ht="54.75" hidden="false" customHeight="true" outlineLevel="0" collapsed="false">
      <c r="A55" s="16" t="s">
        <v>287</v>
      </c>
      <c r="B55" s="17" t="s">
        <v>528</v>
      </c>
      <c r="C55" s="19" t="s">
        <v>529</v>
      </c>
      <c r="D55" s="47" t="n">
        <v>0.2</v>
      </c>
      <c r="E55" s="18" t="n">
        <v>85280</v>
      </c>
      <c r="F55" s="20" t="n">
        <f aca="false">'Build-Up'!$F$114+'Build-Up'!$F$116+'Build-Up'!$F$117+'Build-Up'!$F$118</f>
        <v>12000</v>
      </c>
      <c r="G55" s="18" t="n">
        <f aca="false">E55-F55</f>
        <v>73280</v>
      </c>
      <c r="H55" s="19" t="s">
        <v>530</v>
      </c>
    </row>
    <row r="56" customFormat="false" ht="42" hidden="false" customHeight="true" outlineLevel="0" collapsed="false">
      <c r="A56" s="16" t="s">
        <v>290</v>
      </c>
      <c r="B56" s="17" t="s">
        <v>531</v>
      </c>
      <c r="C56" s="19" t="s">
        <v>532</v>
      </c>
      <c r="D56" s="47" t="n">
        <v>0.15</v>
      </c>
      <c r="E56" s="18" t="n">
        <v>63960</v>
      </c>
      <c r="F56" s="20" t="n">
        <f aca="false">'Build-Up'!$F$113+'Build-Up'!$F$115</f>
        <v>9800</v>
      </c>
      <c r="G56" s="18" t="n">
        <f aca="false">E56-F56</f>
        <v>54160</v>
      </c>
      <c r="H56" s="19" t="s">
        <v>533</v>
      </c>
    </row>
    <row r="57" customFormat="false" ht="64.5" hidden="false" customHeight="true" outlineLevel="0" collapsed="false">
      <c r="A57" s="16" t="s">
        <v>293</v>
      </c>
      <c r="B57" s="17" t="s">
        <v>534</v>
      </c>
      <c r="C57" s="19" t="s">
        <v>532</v>
      </c>
      <c r="D57" s="47" t="n">
        <v>0.2</v>
      </c>
      <c r="E57" s="18" t="n">
        <v>85280</v>
      </c>
      <c r="F57" s="20" t="n">
        <f aca="false">'Build-Up'!$F$112</f>
        <v>16000</v>
      </c>
      <c r="G57" s="18" t="n">
        <f aca="false">E57-F57</f>
        <v>69280</v>
      </c>
      <c r="H57" s="19" t="s">
        <v>535</v>
      </c>
    </row>
    <row r="58" customFormat="false" ht="50.25" hidden="false" customHeight="true" outlineLevel="0" collapsed="false">
      <c r="A58" s="16" t="s">
        <v>296</v>
      </c>
      <c r="B58" s="17" t="s">
        <v>536</v>
      </c>
      <c r="C58" s="19" t="s">
        <v>537</v>
      </c>
      <c r="D58" s="47" t="n">
        <v>0.15</v>
      </c>
      <c r="E58" s="18" t="n">
        <v>63960</v>
      </c>
      <c r="F58" s="20" t="n">
        <f aca="false">'Build-Up'!$F$119+'Build-Up'!$F$120</f>
        <v>10000</v>
      </c>
      <c r="G58" s="18" t="n">
        <f aca="false">E58-F58</f>
        <v>53960</v>
      </c>
      <c r="H58" s="19" t="s">
        <v>538</v>
      </c>
    </row>
    <row r="59" customFormat="false" ht="27" hidden="false" customHeight="true" outlineLevel="0" collapsed="false">
      <c r="A59" s="23"/>
      <c r="B59" s="23" t="s">
        <v>491</v>
      </c>
      <c r="C59" s="23"/>
      <c r="D59" s="23"/>
      <c r="E59" s="24" t="n">
        <f aca="false">SUM(E54:E58)</f>
        <v>426400</v>
      </c>
      <c r="F59" s="25" t="n">
        <f aca="false">SUM(F54:F58)</f>
        <v>109106</v>
      </c>
      <c r="G59" s="24" t="n">
        <f aca="false">E59-F59</f>
        <v>317294</v>
      </c>
      <c r="H59" s="48" t="s">
        <v>539</v>
      </c>
    </row>
    <row r="61" customFormat="false" ht="21" hidden="false" customHeight="true" outlineLevel="0" collapsed="false">
      <c r="A61" s="15" t="s">
        <v>540</v>
      </c>
      <c r="B61" s="15"/>
      <c r="C61" s="15"/>
      <c r="D61" s="15"/>
      <c r="E61" s="15"/>
      <c r="F61" s="15"/>
      <c r="G61" s="15"/>
      <c r="H61" s="15"/>
    </row>
    <row r="62" customFormat="false" ht="45" hidden="false" customHeight="true" outlineLevel="0" collapsed="false">
      <c r="A62" s="11" t="s">
        <v>541</v>
      </c>
      <c r="B62" s="11"/>
      <c r="C62" s="11"/>
      <c r="D62" s="11"/>
      <c r="E62" s="11"/>
      <c r="F62" s="11"/>
      <c r="G62" s="11"/>
      <c r="H62" s="11"/>
    </row>
    <row r="63" customFormat="false" ht="31.5" hidden="false" customHeight="true" outlineLevel="0" collapsed="false">
      <c r="A63" s="13" t="s">
        <v>92</v>
      </c>
      <c r="B63" s="13" t="s">
        <v>460</v>
      </c>
      <c r="C63" s="13" t="s">
        <v>461</v>
      </c>
      <c r="D63" s="13" t="s">
        <v>462</v>
      </c>
      <c r="E63" s="13" t="s">
        <v>463</v>
      </c>
      <c r="F63" s="43" t="s">
        <v>434</v>
      </c>
      <c r="G63" s="13" t="s">
        <v>435</v>
      </c>
      <c r="H63" s="13" t="s">
        <v>464</v>
      </c>
    </row>
    <row r="64" customFormat="false" ht="64.5" hidden="false" customHeight="true" outlineLevel="0" collapsed="false">
      <c r="A64" s="16" t="s">
        <v>349</v>
      </c>
      <c r="B64" s="17" t="s">
        <v>542</v>
      </c>
      <c r="C64" s="19" t="s">
        <v>543</v>
      </c>
      <c r="D64" s="47" t="n">
        <v>0.3</v>
      </c>
      <c r="E64" s="18" t="n">
        <v>126000</v>
      </c>
      <c r="F64" s="20" t="n">
        <f aca="false">'Build-Up'!$F$129+'Build-Up'!$F$130+'Build-Up'!$F$132+'Build-Up'!$F$133+'Build-Up'!$F$134</f>
        <v>107200</v>
      </c>
      <c r="G64" s="18" t="n">
        <f aca="false">E64-F64</f>
        <v>18800</v>
      </c>
      <c r="H64" s="19" t="s">
        <v>544</v>
      </c>
    </row>
    <row r="65" customFormat="false" ht="39" hidden="false" customHeight="true" outlineLevel="0" collapsed="false">
      <c r="A65" s="16" t="s">
        <v>353</v>
      </c>
      <c r="B65" s="17" t="s">
        <v>545</v>
      </c>
      <c r="C65" s="19" t="s">
        <v>546</v>
      </c>
      <c r="D65" s="47" t="n">
        <v>0.18</v>
      </c>
      <c r="E65" s="18" t="n">
        <v>75600</v>
      </c>
      <c r="F65" s="20" t="n">
        <f aca="false">'Build-Up'!$F$131</f>
        <v>55000</v>
      </c>
      <c r="G65" s="18" t="n">
        <f aca="false">E65-F65</f>
        <v>20600</v>
      </c>
      <c r="H65" s="19" t="s">
        <v>547</v>
      </c>
    </row>
    <row r="66" customFormat="false" ht="39" hidden="false" customHeight="true" outlineLevel="0" collapsed="false">
      <c r="A66" s="16" t="s">
        <v>356</v>
      </c>
      <c r="B66" s="17" t="s">
        <v>548</v>
      </c>
      <c r="C66" s="19" t="s">
        <v>546</v>
      </c>
      <c r="D66" s="47" t="n">
        <v>0.12</v>
      </c>
      <c r="E66" s="18" t="n">
        <v>50400</v>
      </c>
      <c r="F66" s="20" t="n">
        <f aca="false">'Build-Up'!$F$135+'Build-Up'!$F$136</f>
        <v>15000</v>
      </c>
      <c r="G66" s="18" t="n">
        <f aca="false">E66-F66</f>
        <v>35400</v>
      </c>
      <c r="H66" s="19" t="s">
        <v>549</v>
      </c>
    </row>
    <row r="67" customFormat="false" ht="64.5" hidden="false" customHeight="true" outlineLevel="0" collapsed="false">
      <c r="A67" s="16" t="s">
        <v>359</v>
      </c>
      <c r="B67" s="17" t="s">
        <v>550</v>
      </c>
      <c r="C67" s="19" t="s">
        <v>551</v>
      </c>
      <c r="D67" s="47" t="n">
        <v>0.2</v>
      </c>
      <c r="E67" s="18" t="n">
        <v>84000</v>
      </c>
      <c r="F67" s="20" t="n">
        <f aca="false">'Build-Up'!$F$142+'Build-Up'!$F$143</f>
        <v>20000</v>
      </c>
      <c r="G67" s="18" t="n">
        <f aca="false">E67-F67</f>
        <v>64000</v>
      </c>
      <c r="H67" s="19" t="s">
        <v>552</v>
      </c>
    </row>
    <row r="68" customFormat="false" ht="51.75" hidden="false" customHeight="true" outlineLevel="0" collapsed="false">
      <c r="A68" s="16" t="s">
        <v>361</v>
      </c>
      <c r="B68" s="17" t="s">
        <v>553</v>
      </c>
      <c r="C68" s="19" t="s">
        <v>554</v>
      </c>
      <c r="D68" s="47" t="n">
        <v>0.15</v>
      </c>
      <c r="E68" s="18" t="n">
        <v>63000</v>
      </c>
      <c r="F68" s="20" t="n">
        <f aca="false">'Build-Up'!$F$137+'Build-Up'!$F$138+'Build-Up'!$F$139+'Build-Up'!$F$140+'Build-Up'!$F$141+'Build-Up'!$F$144+'Build-Up'!$F$145+'Build-Up'!$F$146+'Build-Up'!$F$147</f>
        <v>40000</v>
      </c>
      <c r="G68" s="18" t="n">
        <f aca="false">E68-F68</f>
        <v>23000</v>
      </c>
      <c r="H68" s="19" t="s">
        <v>555</v>
      </c>
    </row>
    <row r="69" customFormat="false" ht="42" hidden="false" customHeight="true" outlineLevel="0" collapsed="false">
      <c r="A69" s="16" t="s">
        <v>363</v>
      </c>
      <c r="B69" s="17" t="s">
        <v>556</v>
      </c>
      <c r="C69" s="19" t="s">
        <v>546</v>
      </c>
      <c r="D69" s="47" t="n">
        <v>0.05</v>
      </c>
      <c r="E69" s="18" t="n">
        <v>21000</v>
      </c>
      <c r="F69" s="20" t="n">
        <f aca="false">'Build-Up'!$F$148+'Build-Up'!$F$149</f>
        <v>8000</v>
      </c>
      <c r="G69" s="18" t="n">
        <f aca="false">E69-F69</f>
        <v>13000</v>
      </c>
      <c r="H69" s="19" t="s">
        <v>557</v>
      </c>
    </row>
    <row r="70" customFormat="false" ht="27" hidden="false" customHeight="true" outlineLevel="0" collapsed="false">
      <c r="A70" s="23"/>
      <c r="B70" s="23" t="s">
        <v>491</v>
      </c>
      <c r="C70" s="23"/>
      <c r="D70" s="23"/>
      <c r="E70" s="24" t="n">
        <f aca="false">SUM(E64:E69)</f>
        <v>420000</v>
      </c>
      <c r="F70" s="25" t="n">
        <f aca="false">SUM(F64:F69)</f>
        <v>245200</v>
      </c>
      <c r="G70" s="24" t="n">
        <f aca="false">E70-F70</f>
        <v>174800</v>
      </c>
      <c r="H70" s="48" t="s">
        <v>558</v>
      </c>
    </row>
    <row r="72" customFormat="false" ht="21" hidden="false" customHeight="true" outlineLevel="0" collapsed="false">
      <c r="A72" s="15" t="s">
        <v>559</v>
      </c>
      <c r="B72" s="15"/>
      <c r="C72" s="15"/>
      <c r="D72" s="15"/>
      <c r="E72" s="15"/>
      <c r="F72" s="15"/>
      <c r="G72" s="15"/>
      <c r="H72" s="15"/>
    </row>
    <row r="73" customFormat="false" ht="45" hidden="false" customHeight="true" outlineLevel="0" collapsed="false">
      <c r="A73" s="11" t="s">
        <v>560</v>
      </c>
      <c r="B73" s="11"/>
      <c r="C73" s="11"/>
      <c r="D73" s="11"/>
      <c r="E73" s="11"/>
      <c r="F73" s="11"/>
      <c r="G73" s="11"/>
      <c r="H73" s="11"/>
    </row>
    <row r="74" customFormat="false" ht="31.5" hidden="false" customHeight="true" outlineLevel="0" collapsed="false">
      <c r="A74" s="13" t="s">
        <v>561</v>
      </c>
      <c r="B74" s="13" t="s">
        <v>562</v>
      </c>
      <c r="C74" s="13" t="s">
        <v>563</v>
      </c>
      <c r="D74" s="13"/>
      <c r="E74" s="13"/>
      <c r="F74" s="13"/>
      <c r="G74" s="13"/>
      <c r="H74" s="13" t="s">
        <v>564</v>
      </c>
    </row>
    <row r="75" customFormat="false" ht="30" hidden="false" customHeight="true" outlineLevel="0" collapsed="false">
      <c r="A75" s="16" t="s">
        <v>437</v>
      </c>
      <c r="B75" s="17" t="s">
        <v>565</v>
      </c>
      <c r="C75" s="49" t="s">
        <v>566</v>
      </c>
      <c r="D75" s="49"/>
      <c r="E75" s="49"/>
      <c r="F75" s="49"/>
      <c r="G75" s="49"/>
      <c r="H75" s="16" t="s">
        <v>567</v>
      </c>
    </row>
    <row r="76" customFormat="false" ht="30" hidden="false" customHeight="true" outlineLevel="0" collapsed="false">
      <c r="A76" s="16" t="s">
        <v>568</v>
      </c>
      <c r="B76" s="17" t="s">
        <v>569</v>
      </c>
      <c r="C76" s="49" t="s">
        <v>570</v>
      </c>
      <c r="D76" s="49"/>
      <c r="E76" s="49"/>
      <c r="F76" s="49"/>
      <c r="G76" s="49"/>
      <c r="H76" s="16" t="s">
        <v>571</v>
      </c>
    </row>
    <row r="77" customFormat="false" ht="30" hidden="false" customHeight="true" outlineLevel="0" collapsed="false">
      <c r="A77" s="16" t="s">
        <v>572</v>
      </c>
      <c r="B77" s="17" t="s">
        <v>573</v>
      </c>
      <c r="C77" s="49" t="s">
        <v>570</v>
      </c>
      <c r="D77" s="49"/>
      <c r="E77" s="49"/>
      <c r="F77" s="49"/>
      <c r="G77" s="49"/>
      <c r="H77" s="16" t="s">
        <v>571</v>
      </c>
    </row>
    <row r="78" customFormat="false" ht="39.75" hidden="false" customHeight="true" outlineLevel="0" collapsed="false">
      <c r="A78" s="16" t="s">
        <v>574</v>
      </c>
      <c r="B78" s="17" t="s">
        <v>575</v>
      </c>
      <c r="C78" s="49" t="s">
        <v>570</v>
      </c>
      <c r="D78" s="49"/>
      <c r="E78" s="49"/>
      <c r="F78" s="49"/>
      <c r="G78" s="49"/>
      <c r="H78" s="16" t="s">
        <v>576</v>
      </c>
    </row>
    <row r="79" customFormat="false" ht="30" hidden="false" customHeight="true" outlineLevel="0" collapsed="false">
      <c r="A79" s="16" t="s">
        <v>440</v>
      </c>
      <c r="B79" s="17" t="s">
        <v>577</v>
      </c>
      <c r="C79" s="50" t="s">
        <v>578</v>
      </c>
      <c r="D79" s="51"/>
      <c r="E79" s="51"/>
      <c r="F79" s="51"/>
      <c r="G79" s="52"/>
      <c r="H79" s="16" t="s">
        <v>567</v>
      </c>
    </row>
    <row r="80" customFormat="false" ht="30" hidden="false" customHeight="true" outlineLevel="0" collapsed="false">
      <c r="A80" s="16" t="s">
        <v>579</v>
      </c>
      <c r="B80" s="17" t="s">
        <v>580</v>
      </c>
      <c r="C80" s="50" t="s">
        <v>578</v>
      </c>
      <c r="D80" s="51"/>
      <c r="E80" s="51"/>
      <c r="F80" s="51"/>
      <c r="G80" s="52"/>
      <c r="H80" s="16" t="s">
        <v>581</v>
      </c>
    </row>
    <row r="81" customFormat="false" ht="30" hidden="false" customHeight="true" outlineLevel="0" collapsed="false">
      <c r="A81" s="16" t="s">
        <v>443</v>
      </c>
      <c r="B81" s="17" t="s">
        <v>582</v>
      </c>
      <c r="C81" s="50" t="s">
        <v>578</v>
      </c>
      <c r="D81" s="51"/>
      <c r="E81" s="51"/>
      <c r="F81" s="51"/>
      <c r="G81" s="52"/>
      <c r="H81" s="16" t="s">
        <v>581</v>
      </c>
    </row>
    <row r="82" customFormat="false" ht="30" hidden="false" customHeight="true" outlineLevel="0" collapsed="false">
      <c r="A82" s="16" t="s">
        <v>446</v>
      </c>
      <c r="B82" s="17" t="s">
        <v>583</v>
      </c>
      <c r="C82" s="50" t="s">
        <v>578</v>
      </c>
      <c r="D82" s="51"/>
      <c r="E82" s="51"/>
      <c r="F82" s="51"/>
      <c r="G82" s="52"/>
      <c r="H82" s="16" t="s">
        <v>567</v>
      </c>
    </row>
    <row r="83" customFormat="false" ht="30" hidden="false" customHeight="true" outlineLevel="0" collapsed="false">
      <c r="A83" s="16" t="s">
        <v>584</v>
      </c>
      <c r="B83" s="17" t="s">
        <v>585</v>
      </c>
      <c r="C83" s="50" t="s">
        <v>578</v>
      </c>
      <c r="D83" s="51"/>
      <c r="E83" s="51"/>
      <c r="F83" s="51"/>
      <c r="G83" s="52"/>
      <c r="H83" s="16" t="s">
        <v>586</v>
      </c>
    </row>
    <row r="84" customFormat="false" ht="54.75" hidden="false" customHeight="true" outlineLevel="0" collapsed="false">
      <c r="A84" s="16" t="n">
        <v>10</v>
      </c>
      <c r="B84" s="17" t="s">
        <v>587</v>
      </c>
      <c r="C84" s="49" t="s">
        <v>578</v>
      </c>
      <c r="D84" s="49"/>
      <c r="E84" s="49"/>
      <c r="F84" s="49"/>
      <c r="G84" s="49"/>
      <c r="H84" s="16" t="s">
        <v>588</v>
      </c>
    </row>
    <row r="85" customFormat="false" ht="54.75" hidden="false" customHeight="true" outlineLevel="0" collapsed="false">
      <c r="A85" s="16" t="n">
        <v>11</v>
      </c>
      <c r="B85" s="17" t="s">
        <v>589</v>
      </c>
      <c r="C85" s="49" t="s">
        <v>578</v>
      </c>
      <c r="D85" s="49"/>
      <c r="E85" s="49"/>
      <c r="F85" s="49"/>
      <c r="G85" s="49"/>
      <c r="H85" s="16" t="s">
        <v>588</v>
      </c>
    </row>
    <row r="86" customFormat="false" ht="67.5" hidden="false" customHeight="true" outlineLevel="0" collapsed="false">
      <c r="A86" s="16" t="n">
        <v>12</v>
      </c>
      <c r="B86" s="17" t="s">
        <v>590</v>
      </c>
      <c r="C86" s="49" t="s">
        <v>578</v>
      </c>
      <c r="D86" s="49"/>
      <c r="E86" s="49"/>
      <c r="F86" s="49"/>
      <c r="G86" s="49"/>
      <c r="H86" s="16" t="s">
        <v>588</v>
      </c>
    </row>
    <row r="87" customFormat="false" ht="67.5" hidden="false" customHeight="true" outlineLevel="0" collapsed="false">
      <c r="A87" s="16" t="n">
        <v>13</v>
      </c>
      <c r="B87" s="17" t="s">
        <v>591</v>
      </c>
      <c r="C87" s="49" t="s">
        <v>578</v>
      </c>
      <c r="D87" s="49"/>
      <c r="E87" s="49"/>
      <c r="F87" s="49"/>
      <c r="G87" s="49"/>
      <c r="H87" s="16" t="s">
        <v>588</v>
      </c>
    </row>
    <row r="89" customFormat="false" ht="30" hidden="false" customHeight="true" outlineLevel="0" collapsed="false">
      <c r="A89" s="53"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6,959,217.89 excluding VAT against the Contractor's proposal of SAR 8,110,296.62 excluding VAT.</v>
      </c>
      <c r="B89" s="53"/>
      <c r="C89" s="53"/>
      <c r="D89" s="53"/>
      <c r="E89" s="53"/>
      <c r="F89" s="53"/>
      <c r="G89" s="53"/>
      <c r="H89" s="53"/>
    </row>
    <row r="91" customFormat="false" ht="21" hidden="false" customHeight="true" outlineLevel="0" collapsed="false">
      <c r="A91" s="15" t="s">
        <v>592</v>
      </c>
      <c r="B91" s="15"/>
      <c r="C91" s="15"/>
      <c r="D91" s="15"/>
      <c r="E91" s="15"/>
      <c r="F91" s="15"/>
      <c r="G91" s="15"/>
      <c r="H91" s="15"/>
    </row>
    <row r="92" customFormat="false" ht="43.5" hidden="false" customHeight="true" outlineLevel="0" collapsed="false">
      <c r="A92" s="11" t="s">
        <v>593</v>
      </c>
      <c r="B92" s="11"/>
      <c r="C92" s="11"/>
      <c r="D92" s="11"/>
      <c r="E92" s="11"/>
      <c r="F92" s="11"/>
      <c r="G92" s="11"/>
      <c r="H92" s="11"/>
    </row>
    <row r="93" customFormat="false" ht="43.5" hidden="false" customHeight="true" outlineLevel="0" collapsed="false">
      <c r="A93" s="13" t="s">
        <v>35</v>
      </c>
      <c r="B93" s="13" t="s">
        <v>594</v>
      </c>
      <c r="C93" s="13" t="s">
        <v>595</v>
      </c>
      <c r="D93" s="13"/>
      <c r="E93" s="13" t="s">
        <v>433</v>
      </c>
      <c r="F93" s="43" t="s">
        <v>596</v>
      </c>
      <c r="G93" s="13" t="s">
        <v>597</v>
      </c>
      <c r="H93" s="13" t="s">
        <v>598</v>
      </c>
    </row>
    <row r="94" customFormat="false" ht="67.5" hidden="false" customHeight="true" outlineLevel="0" collapsed="false">
      <c r="A94" s="16" t="s">
        <v>437</v>
      </c>
      <c r="B94" s="17" t="s">
        <v>599</v>
      </c>
      <c r="C94" s="49" t="s">
        <v>600</v>
      </c>
      <c r="D94" s="49"/>
      <c r="E94" s="18" t="n">
        <f aca="false">Assessment!$F$8</f>
        <v>680000</v>
      </c>
      <c r="F94" s="20" t="n">
        <v>714000</v>
      </c>
      <c r="G94" s="18" t="n">
        <f aca="false">ROUND(F94/1.05,2)</f>
        <v>680000</v>
      </c>
      <c r="H94" s="19" t="s">
        <v>601</v>
      </c>
    </row>
    <row r="95" customFormat="false" ht="30" hidden="false" customHeight="true" outlineLevel="0" collapsed="false">
      <c r="A95" s="16" t="s">
        <v>568</v>
      </c>
      <c r="B95" s="17" t="s">
        <v>602</v>
      </c>
      <c r="C95" s="49" t="s">
        <v>603</v>
      </c>
      <c r="D95" s="49"/>
      <c r="E95" s="18" t="n">
        <f aca="false">Assessment!$F$10</f>
        <v>85000</v>
      </c>
      <c r="F95" s="20" t="n">
        <v>89250</v>
      </c>
      <c r="G95" s="18" t="n">
        <f aca="false">ROUND(F95/1.05,2)</f>
        <v>85000</v>
      </c>
      <c r="H95" s="19" t="s">
        <v>604</v>
      </c>
    </row>
    <row r="96" customFormat="false" ht="30" hidden="false" customHeight="true" outlineLevel="0" collapsed="false">
      <c r="A96" s="16" t="s">
        <v>605</v>
      </c>
      <c r="B96" s="17" t="s">
        <v>606</v>
      </c>
      <c r="C96" s="49" t="s">
        <v>607</v>
      </c>
      <c r="D96" s="49"/>
      <c r="E96" s="18" t="n">
        <f aca="false">Assessment!$F$12+Assessment!$F$13</f>
        <v>81500</v>
      </c>
      <c r="F96" s="20" t="n">
        <v>85575</v>
      </c>
      <c r="G96" s="18" t="n">
        <f aca="false">ROUND(F96/1.05,2)</f>
        <v>81500</v>
      </c>
      <c r="H96" s="19" t="s">
        <v>608</v>
      </c>
    </row>
    <row r="97" customFormat="false" ht="80.25" hidden="false" customHeight="true" outlineLevel="0" collapsed="false">
      <c r="A97" s="16" t="s">
        <v>609</v>
      </c>
      <c r="B97" s="17" t="s">
        <v>610</v>
      </c>
      <c r="C97" s="49" t="s">
        <v>611</v>
      </c>
      <c r="D97" s="49"/>
      <c r="E97" s="18" t="n">
        <f aca="false">Assessment!$F$14+Assessment!$F$16+Assessment!$F$17+Assessment!$F$18</f>
        <v>6877592.02</v>
      </c>
      <c r="F97" s="20" t="n">
        <v>7221471.62</v>
      </c>
      <c r="G97" s="18" t="n">
        <f aca="false">ROUND(F97/1.05,2)</f>
        <v>6877592.02</v>
      </c>
      <c r="H97" s="19" t="s">
        <v>612</v>
      </c>
    </row>
    <row r="98" customFormat="false" ht="80.25" hidden="false" customHeight="true" outlineLevel="0" collapsed="false">
      <c r="A98" s="16" t="s">
        <v>443</v>
      </c>
      <c r="B98" s="17" t="s">
        <v>613</v>
      </c>
      <c r="C98" s="49" t="s">
        <v>614</v>
      </c>
      <c r="D98" s="49"/>
      <c r="E98" s="18" t="n">
        <f aca="false">Assessment!$F$17</f>
        <v>426400</v>
      </c>
      <c r="F98" s="20" t="n">
        <v>200305.97</v>
      </c>
      <c r="G98" s="18" t="n">
        <f aca="false">ROUND(F98/1.05,2)</f>
        <v>190767.59</v>
      </c>
      <c r="H98" s="19" t="s">
        <v>615</v>
      </c>
    </row>
    <row r="99" customFormat="false" ht="27" hidden="false" customHeight="true" outlineLevel="0" collapsed="false">
      <c r="A99" s="23"/>
      <c r="B99" s="23" t="s">
        <v>616</v>
      </c>
      <c r="C99" s="23"/>
      <c r="D99" s="23"/>
      <c r="E99" s="24"/>
      <c r="F99" s="25" t="n">
        <f aca="false">SUM(F94:F97)</f>
        <v>8110296.62</v>
      </c>
      <c r="G99" s="24" t="n">
        <f aca="false">ROUND(F99/1.05,2)</f>
        <v>7724092.02</v>
      </c>
      <c r="H99" s="48" t="s">
        <v>617</v>
      </c>
    </row>
    <row r="101" customFormat="false" ht="57" hidden="false" customHeight="true" outlineLevel="0" collapsed="false">
      <c r="A101" s="11" t="s">
        <v>618</v>
      </c>
      <c r="B101" s="11"/>
      <c r="C101" s="11"/>
      <c r="D101" s="11"/>
      <c r="E101" s="11"/>
      <c r="F101" s="11"/>
      <c r="G101" s="11"/>
      <c r="H101" s="11"/>
    </row>
    <row r="102" customFormat="false" ht="21" hidden="false" customHeight="true" outlineLevel="0" collapsed="false">
      <c r="A102" s="13"/>
      <c r="B102" s="13" t="s">
        <v>619</v>
      </c>
      <c r="C102" s="13" t="s">
        <v>620</v>
      </c>
      <c r="D102" s="13"/>
      <c r="E102" s="13" t="s">
        <v>621</v>
      </c>
      <c r="F102" s="43"/>
      <c r="G102" s="13"/>
      <c r="H102" s="13" t="s">
        <v>598</v>
      </c>
    </row>
    <row r="103" customFormat="false" ht="18" hidden="false" customHeight="true" outlineLevel="0" collapsed="false">
      <c r="A103" s="16"/>
      <c r="B103" s="17" t="s">
        <v>622</v>
      </c>
      <c r="C103" s="18" t="n">
        <v>12035.96</v>
      </c>
      <c r="D103" s="18"/>
      <c r="E103" s="18" t="n">
        <f aca="false">SUM($C$103:C103)</f>
        <v>12035.96</v>
      </c>
      <c r="F103" s="20"/>
      <c r="G103" s="18"/>
      <c r="H103" s="19" t="s">
        <v>623</v>
      </c>
    </row>
    <row r="104" customFormat="false" ht="29.25" hidden="false" customHeight="true" outlineLevel="0" collapsed="false">
      <c r="A104" s="16"/>
      <c r="B104" s="17" t="s">
        <v>624</v>
      </c>
      <c r="C104" s="18" t="n">
        <v>1470052.21</v>
      </c>
      <c r="D104" s="18"/>
      <c r="E104" s="18" t="n">
        <f aca="false">SUM($C$103:C104)</f>
        <v>1482088.17</v>
      </c>
      <c r="F104" s="20"/>
      <c r="G104" s="18"/>
      <c r="H104" s="19" t="s">
        <v>625</v>
      </c>
    </row>
    <row r="105" customFormat="false" ht="18" hidden="false" customHeight="true" outlineLevel="0" collapsed="false">
      <c r="A105" s="16"/>
      <c r="B105" s="17" t="s">
        <v>626</v>
      </c>
      <c r="C105" s="18" t="n">
        <v>1005870.64</v>
      </c>
      <c r="D105" s="18"/>
      <c r="E105" s="18" t="n">
        <f aca="false">SUM($C$103:C105)</f>
        <v>2487958.81</v>
      </c>
      <c r="F105" s="20"/>
      <c r="G105" s="18"/>
      <c r="H105" s="19" t="s">
        <v>627</v>
      </c>
    </row>
    <row r="106" customFormat="false" ht="18" hidden="false" customHeight="true" outlineLevel="0" collapsed="false">
      <c r="A106" s="16"/>
      <c r="B106" s="17" t="s">
        <v>628</v>
      </c>
      <c r="C106" s="18" t="n">
        <v>2701160.67</v>
      </c>
      <c r="D106" s="18"/>
      <c r="E106" s="18" t="n">
        <f aca="false">SUM($C$103:C106)</f>
        <v>5189119.48</v>
      </c>
      <c r="F106" s="20"/>
      <c r="G106" s="18"/>
      <c r="H106" s="19" t="s">
        <v>629</v>
      </c>
    </row>
    <row r="107" customFormat="false" ht="18" hidden="false" customHeight="true" outlineLevel="0" collapsed="false">
      <c r="A107" s="16"/>
      <c r="B107" s="17" t="s">
        <v>630</v>
      </c>
      <c r="C107" s="18" t="n">
        <v>2417025.29</v>
      </c>
      <c r="D107" s="18"/>
      <c r="E107" s="18" t="n">
        <f aca="false">SUM($C$103:C107)</f>
        <v>7606144.77</v>
      </c>
      <c r="F107" s="20"/>
      <c r="G107" s="18"/>
      <c r="H107" s="19" t="s">
        <v>631</v>
      </c>
    </row>
    <row r="108" customFormat="false" ht="18" hidden="false" customHeight="true" outlineLevel="0" collapsed="false">
      <c r="A108" s="16"/>
      <c r="B108" s="17" t="s">
        <v>632</v>
      </c>
      <c r="C108" s="18" t="n">
        <v>504151.86</v>
      </c>
      <c r="D108" s="18"/>
      <c r="E108" s="18" t="n">
        <f aca="false">SUM($C$103:C108)</f>
        <v>8110296.63</v>
      </c>
      <c r="F108" s="20"/>
      <c r="G108" s="18"/>
      <c r="H108" s="19" t="s">
        <v>633</v>
      </c>
    </row>
    <row r="109" customFormat="false" ht="21.75" hidden="false" customHeight="true" outlineLevel="0" collapsed="false">
      <c r="A109" s="23"/>
      <c r="B109" s="23" t="s">
        <v>634</v>
      </c>
      <c r="C109" s="24" t="n">
        <f aca="false">SUM(C103:C108)</f>
        <v>8110296.63</v>
      </c>
      <c r="D109" s="24"/>
      <c r="E109" s="24"/>
      <c r="F109" s="25"/>
      <c r="G109" s="24"/>
      <c r="H109" s="48" t="s">
        <v>635</v>
      </c>
    </row>
    <row r="111" customFormat="false" ht="69.75" hidden="false" customHeight="true" outlineLevel="0" collapsed="false">
      <c r="A111" s="11" t="s">
        <v>636</v>
      </c>
      <c r="B111" s="11"/>
      <c r="C111" s="11"/>
      <c r="D111" s="11"/>
      <c r="E111" s="11"/>
      <c r="F111" s="11"/>
      <c r="G111" s="11"/>
      <c r="H111" s="11"/>
    </row>
    <row r="112" customFormat="false" ht="21" hidden="false" customHeight="true" outlineLevel="0" collapsed="false">
      <c r="A112" s="13"/>
      <c r="B112" s="13" t="s">
        <v>637</v>
      </c>
      <c r="C112" s="13" t="s">
        <v>634</v>
      </c>
      <c r="D112" s="13" t="s">
        <v>638</v>
      </c>
      <c r="E112" s="13" t="s">
        <v>639</v>
      </c>
      <c r="F112" s="43"/>
      <c r="G112" s="13"/>
      <c r="H112" s="13" t="s">
        <v>598</v>
      </c>
    </row>
    <row r="113" customFormat="false" ht="16.5" hidden="false" customHeight="true" outlineLevel="0" collapsed="false">
      <c r="A113" s="16"/>
      <c r="B113" s="17" t="s">
        <v>640</v>
      </c>
      <c r="C113" s="54" t="n">
        <v>8</v>
      </c>
      <c r="D113" s="54" t="n">
        <v>5</v>
      </c>
      <c r="E113" s="54" t="n">
        <v>3</v>
      </c>
      <c r="F113" s="20"/>
      <c r="G113" s="18"/>
      <c r="H113" s="19" t="s">
        <v>641</v>
      </c>
    </row>
    <row r="114" customFormat="false" ht="16.5" hidden="false" customHeight="true" outlineLevel="0" collapsed="false">
      <c r="A114" s="16"/>
      <c r="B114" s="17" t="s">
        <v>642</v>
      </c>
      <c r="C114" s="54" t="n">
        <v>14</v>
      </c>
      <c r="D114" s="54" t="n">
        <v>9</v>
      </c>
      <c r="E114" s="54" t="n">
        <v>5</v>
      </c>
      <c r="F114" s="20"/>
      <c r="G114" s="18"/>
      <c r="H114" s="19"/>
    </row>
    <row r="115" customFormat="false" ht="16.5" hidden="false" customHeight="true" outlineLevel="0" collapsed="false">
      <c r="A115" s="16"/>
      <c r="B115" s="17" t="s">
        <v>643</v>
      </c>
      <c r="C115" s="54" t="n">
        <v>13</v>
      </c>
      <c r="D115" s="54" t="n">
        <v>8</v>
      </c>
      <c r="E115" s="54" t="n">
        <v>5</v>
      </c>
      <c r="F115" s="20"/>
      <c r="G115" s="18"/>
      <c r="H115" s="19"/>
    </row>
    <row r="116" customFormat="false" ht="16.5" hidden="false" customHeight="true" outlineLevel="0" collapsed="false">
      <c r="A116" s="16"/>
      <c r="B116" s="17" t="s">
        <v>644</v>
      </c>
      <c r="C116" s="54" t="n">
        <v>12</v>
      </c>
      <c r="D116" s="54" t="n">
        <v>8</v>
      </c>
      <c r="E116" s="54" t="n">
        <v>4</v>
      </c>
      <c r="F116" s="20"/>
      <c r="G116" s="18"/>
      <c r="H116" s="19"/>
    </row>
    <row r="117" customFormat="false" ht="16.5" hidden="false" customHeight="true" outlineLevel="0" collapsed="false">
      <c r="A117" s="16"/>
      <c r="B117" s="17" t="s">
        <v>645</v>
      </c>
      <c r="C117" s="54" t="n">
        <v>11</v>
      </c>
      <c r="D117" s="54" t="n">
        <v>7</v>
      </c>
      <c r="E117" s="54" t="n">
        <v>4</v>
      </c>
      <c r="F117" s="20"/>
      <c r="G117" s="18"/>
      <c r="H117" s="19"/>
    </row>
    <row r="118" customFormat="false" ht="16.5" hidden="false" customHeight="true" outlineLevel="0" collapsed="false">
      <c r="A118" s="16"/>
      <c r="B118" s="17" t="s">
        <v>646</v>
      </c>
      <c r="C118" s="54" t="n">
        <v>10</v>
      </c>
      <c r="D118" s="54" t="n">
        <v>6</v>
      </c>
      <c r="E118" s="54" t="n">
        <v>4</v>
      </c>
      <c r="F118" s="20"/>
      <c r="G118" s="18"/>
      <c r="H118" s="19" t="s">
        <v>647</v>
      </c>
    </row>
    <row r="119" customFormat="false" ht="16.5" hidden="false" customHeight="true" outlineLevel="0" collapsed="false">
      <c r="A119" s="16"/>
      <c r="B119" s="17" t="s">
        <v>648</v>
      </c>
      <c r="C119" s="54" t="n">
        <v>10</v>
      </c>
      <c r="D119" s="54" t="n">
        <v>6</v>
      </c>
      <c r="E119" s="54" t="n">
        <v>4</v>
      </c>
      <c r="F119" s="20"/>
      <c r="G119" s="18"/>
      <c r="H119" s="19"/>
    </row>
    <row r="120" customFormat="false" ht="16.5" hidden="false" customHeight="true" outlineLevel="0" collapsed="false">
      <c r="A120" s="16"/>
      <c r="B120" s="17" t="s">
        <v>649</v>
      </c>
      <c r="C120" s="54" t="n">
        <v>8</v>
      </c>
      <c r="D120" s="54" t="n">
        <v>4</v>
      </c>
      <c r="E120" s="54" t="n">
        <v>4</v>
      </c>
      <c r="F120" s="20"/>
      <c r="G120" s="18"/>
      <c r="H120" s="19"/>
    </row>
    <row r="121" customFormat="false" ht="16.5" hidden="false" customHeight="true" outlineLevel="0" collapsed="false">
      <c r="A121" s="16"/>
      <c r="B121" s="17" t="s">
        <v>650</v>
      </c>
      <c r="C121" s="54" t="n">
        <v>14</v>
      </c>
      <c r="D121" s="54" t="n">
        <v>8</v>
      </c>
      <c r="E121" s="54" t="n">
        <v>6</v>
      </c>
      <c r="F121" s="20"/>
      <c r="G121" s="18"/>
      <c r="H121" s="19"/>
    </row>
    <row r="122" customFormat="false" ht="16.5" hidden="false" customHeight="true" outlineLevel="0" collapsed="false">
      <c r="A122" s="16"/>
      <c r="B122" s="17" t="s">
        <v>651</v>
      </c>
      <c r="C122" s="54" t="n">
        <v>35</v>
      </c>
      <c r="D122" s="54" t="n">
        <v>23</v>
      </c>
      <c r="E122" s="54" t="n">
        <v>12</v>
      </c>
      <c r="F122" s="20"/>
      <c r="G122" s="18"/>
      <c r="H122" s="19" t="s">
        <v>652</v>
      </c>
    </row>
    <row r="123" customFormat="false" ht="16.5" hidden="false" customHeight="true" outlineLevel="0" collapsed="false">
      <c r="A123" s="16"/>
      <c r="B123" s="17" t="s">
        <v>653</v>
      </c>
      <c r="C123" s="54" t="n">
        <v>26</v>
      </c>
      <c r="D123" s="54" t="n">
        <v>16</v>
      </c>
      <c r="E123" s="54" t="n">
        <v>10</v>
      </c>
      <c r="F123" s="20"/>
      <c r="G123" s="18"/>
      <c r="H123" s="19"/>
    </row>
    <row r="124" customFormat="false" ht="16.5" hidden="false" customHeight="true" outlineLevel="0" collapsed="false">
      <c r="A124" s="16"/>
      <c r="B124" s="17" t="s">
        <v>654</v>
      </c>
      <c r="C124" s="54" t="n">
        <v>19</v>
      </c>
      <c r="D124" s="54" t="n">
        <v>11</v>
      </c>
      <c r="E124" s="54" t="n">
        <v>8</v>
      </c>
      <c r="F124" s="20"/>
      <c r="G124" s="18"/>
      <c r="H124" s="19"/>
    </row>
    <row r="125" customFormat="false" ht="16.5" hidden="false" customHeight="true" outlineLevel="0" collapsed="false">
      <c r="A125" s="16"/>
      <c r="B125" s="17" t="s">
        <v>655</v>
      </c>
      <c r="C125" s="54" t="n">
        <v>16</v>
      </c>
      <c r="D125" s="54" t="n">
        <v>10</v>
      </c>
      <c r="E125" s="54" t="n">
        <v>6</v>
      </c>
      <c r="F125" s="20"/>
      <c r="G125" s="18"/>
      <c r="H125" s="19"/>
    </row>
    <row r="126" customFormat="false" ht="16.5" hidden="false" customHeight="true" outlineLevel="0" collapsed="false">
      <c r="A126" s="16"/>
      <c r="B126" s="17" t="s">
        <v>656</v>
      </c>
      <c r="C126" s="54" t="n">
        <v>13</v>
      </c>
      <c r="D126" s="54" t="n">
        <v>8</v>
      </c>
      <c r="E126" s="54" t="n">
        <v>5</v>
      </c>
      <c r="F126" s="20"/>
      <c r="G126" s="18"/>
      <c r="H126" s="19"/>
    </row>
    <row r="127" customFormat="false" ht="16.5" hidden="false" customHeight="true" outlineLevel="0" collapsed="false">
      <c r="A127" s="16"/>
      <c r="B127" s="17" t="s">
        <v>657</v>
      </c>
      <c r="C127" s="54" t="n">
        <v>7</v>
      </c>
      <c r="D127" s="54" t="n">
        <v>4</v>
      </c>
      <c r="E127" s="54" t="n">
        <v>3</v>
      </c>
      <c r="F127" s="20"/>
      <c r="G127" s="18"/>
      <c r="H127" s="19" t="s">
        <v>658</v>
      </c>
    </row>
    <row r="128" customFormat="false" ht="16.5" hidden="false" customHeight="true" outlineLevel="0" collapsed="false">
      <c r="A128" s="16"/>
      <c r="B128" s="17" t="s">
        <v>659</v>
      </c>
      <c r="C128" s="54" t="n">
        <v>5</v>
      </c>
      <c r="D128" s="54" t="n">
        <v>3</v>
      </c>
      <c r="E128" s="54" t="n">
        <v>2</v>
      </c>
      <c r="F128" s="20"/>
      <c r="G128" s="18"/>
      <c r="H128" s="19" t="s">
        <v>660</v>
      </c>
    </row>
    <row r="129" customFormat="false" ht="21.75" hidden="false" customHeight="true" outlineLevel="0" collapsed="false">
      <c r="A129" s="23"/>
      <c r="B129" s="23" t="s">
        <v>661</v>
      </c>
      <c r="C129" s="55" t="n">
        <f aca="false">SUM(C113:C128)</f>
        <v>221</v>
      </c>
      <c r="D129" s="55" t="n">
        <f aca="false">SUM(D113:D128)</f>
        <v>136</v>
      </c>
      <c r="E129" s="55" t="n">
        <f aca="false">SUM(E113:E128)</f>
        <v>85</v>
      </c>
      <c r="F129" s="25"/>
      <c r="G129" s="24"/>
      <c r="H129" s="48" t="s">
        <v>662</v>
      </c>
    </row>
  </sheetData>
  <mergeCells count="53">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A89:H89"/>
    <mergeCell ref="A91:H91"/>
    <mergeCell ref="A92:H92"/>
    <mergeCell ref="C93:D93"/>
    <mergeCell ref="C94:D94"/>
    <mergeCell ref="C95:D95"/>
    <mergeCell ref="C96:D96"/>
    <mergeCell ref="C97:D97"/>
    <mergeCell ref="C98:D98"/>
    <mergeCell ref="A101:H101"/>
    <mergeCell ref="C102:D102"/>
    <mergeCell ref="C103:D103"/>
    <mergeCell ref="C104:D104"/>
    <mergeCell ref="C105:D105"/>
    <mergeCell ref="C106:D106"/>
    <mergeCell ref="C107:D107"/>
    <mergeCell ref="C108:D108"/>
    <mergeCell ref="C109:D109"/>
    <mergeCell ref="A111:H111"/>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2"/>
    <col collapsed="false" customWidth="true" hidden="false" outlineLevel="0" max="5" min="5" style="0" width="9"/>
    <col collapsed="false" customWidth="true" hidden="false" outlineLevel="0" max="6" min="6" style="0" width="14"/>
    <col collapsed="false" customWidth="true" hidden="false" outlineLevel="0" max="7" min="7" style="0" width="20"/>
    <col collapsed="false" customWidth="true" hidden="false" outlineLevel="0" max="9" min="8" style="0" width="14"/>
    <col collapsed="false" customWidth="true" hidden="false" outlineLevel="0" max="10" min="10" style="0" width="52"/>
  </cols>
  <sheetData>
    <row r="1" customFormat="false" ht="25.5" hidden="false" customHeight="true" outlineLevel="0" collapsed="false">
      <c r="A1" s="8" t="s">
        <v>663</v>
      </c>
    </row>
    <row r="2" customFormat="false" ht="17.25" hidden="false" customHeight="true" outlineLevel="0" collapsed="false">
      <c r="A2" s="9" t="s">
        <v>30</v>
      </c>
    </row>
    <row r="3" customFormat="false" ht="15" hidden="false" customHeight="false" outlineLevel="0" collapsed="false">
      <c r="A3" s="10" t="s">
        <v>31</v>
      </c>
    </row>
    <row r="4" customFormat="false" ht="57" hidden="false" customHeight="true" outlineLevel="0" collapsed="false">
      <c r="A4" s="11" t="s">
        <v>664</v>
      </c>
      <c r="B4" s="11"/>
      <c r="C4" s="11"/>
      <c r="D4" s="11"/>
      <c r="E4" s="11"/>
      <c r="F4" s="11"/>
      <c r="G4" s="11"/>
      <c r="H4" s="11"/>
      <c r="I4" s="11"/>
      <c r="J4" s="11"/>
    </row>
    <row r="6" customFormat="false" ht="21" hidden="false" customHeight="true" outlineLevel="0" collapsed="false">
      <c r="A6" s="15" t="s">
        <v>665</v>
      </c>
      <c r="B6" s="15"/>
      <c r="C6" s="15"/>
      <c r="D6" s="15"/>
      <c r="E6" s="15"/>
      <c r="F6" s="15"/>
      <c r="G6" s="15"/>
      <c r="H6" s="15"/>
      <c r="I6" s="15"/>
      <c r="J6" s="15"/>
    </row>
    <row r="7" customFormat="false" ht="69.75" hidden="false" customHeight="true" outlineLevel="0" collapsed="false">
      <c r="A7" s="11" t="s">
        <v>666</v>
      </c>
      <c r="B7" s="11"/>
      <c r="C7" s="11"/>
      <c r="D7" s="11"/>
      <c r="E7" s="11"/>
      <c r="F7" s="11"/>
      <c r="G7" s="11"/>
      <c r="H7" s="11"/>
      <c r="I7" s="11"/>
      <c r="J7" s="11"/>
    </row>
    <row r="8" customFormat="false" ht="43.5" hidden="false" customHeight="true" outlineLevel="0" collapsed="false">
      <c r="A8" s="11" t="s">
        <v>667</v>
      </c>
      <c r="B8" s="11"/>
      <c r="C8" s="11"/>
      <c r="D8" s="11"/>
      <c r="E8" s="11"/>
      <c r="F8" s="11"/>
      <c r="G8" s="11"/>
      <c r="H8" s="11"/>
      <c r="I8" s="11"/>
      <c r="J8" s="11"/>
    </row>
    <row r="9" customFormat="false" ht="82.5" hidden="false" customHeight="true" outlineLevel="0" collapsed="false">
      <c r="A9" s="11" t="s">
        <v>668</v>
      </c>
      <c r="B9" s="11"/>
      <c r="C9" s="11"/>
      <c r="D9" s="11"/>
      <c r="E9" s="11"/>
      <c r="F9" s="11"/>
      <c r="G9" s="11"/>
      <c r="H9" s="11"/>
      <c r="I9" s="11"/>
      <c r="J9" s="11"/>
    </row>
    <row r="11" customFormat="false" ht="21" hidden="false" customHeight="true" outlineLevel="0" collapsed="false">
      <c r="A11" s="15" t="s">
        <v>669</v>
      </c>
      <c r="B11" s="15"/>
      <c r="C11" s="15"/>
      <c r="D11" s="15"/>
      <c r="E11" s="15"/>
      <c r="F11" s="15"/>
      <c r="G11" s="15"/>
      <c r="H11" s="15"/>
      <c r="I11" s="15"/>
      <c r="J11" s="15"/>
    </row>
    <row r="12" customFormat="false" ht="31.5" hidden="false" customHeight="true" outlineLevel="0" collapsed="false">
      <c r="A12" s="13" t="s">
        <v>92</v>
      </c>
      <c r="B12" s="13" t="s">
        <v>670</v>
      </c>
      <c r="C12" s="13" t="s">
        <v>671</v>
      </c>
      <c r="D12" s="13"/>
      <c r="E12" s="13"/>
      <c r="F12" s="13"/>
      <c r="G12" s="13"/>
      <c r="H12" s="13"/>
      <c r="I12" s="13" t="s">
        <v>672</v>
      </c>
      <c r="J12" s="13"/>
    </row>
    <row r="13" customFormat="false" ht="42" hidden="false" customHeight="true" outlineLevel="0" collapsed="false">
      <c r="A13" s="16" t="s">
        <v>673</v>
      </c>
      <c r="B13" s="17" t="s">
        <v>674</v>
      </c>
      <c r="C13" s="49" t="s">
        <v>675</v>
      </c>
      <c r="D13" s="49"/>
      <c r="E13" s="49"/>
      <c r="F13" s="49"/>
      <c r="G13" s="49"/>
      <c r="H13" s="49"/>
      <c r="I13" s="19" t="s">
        <v>676</v>
      </c>
      <c r="J13" s="19"/>
    </row>
    <row r="14" customFormat="false" ht="30" hidden="false" customHeight="true" outlineLevel="0" collapsed="false">
      <c r="A14" s="16" t="s">
        <v>677</v>
      </c>
      <c r="B14" s="17" t="s">
        <v>678</v>
      </c>
      <c r="C14" s="56" t="n">
        <v>46288</v>
      </c>
      <c r="D14" s="56"/>
      <c r="E14" s="56"/>
      <c r="F14" s="56"/>
      <c r="G14" s="56"/>
      <c r="H14" s="56"/>
      <c r="I14" s="19" t="s">
        <v>679</v>
      </c>
      <c r="J14" s="19"/>
    </row>
    <row r="15" customFormat="false" ht="30" hidden="false" customHeight="true" outlineLevel="0" collapsed="false">
      <c r="A15" s="16" t="s">
        <v>680</v>
      </c>
      <c r="B15" s="17" t="s">
        <v>681</v>
      </c>
      <c r="C15" s="57" t="n">
        <v>30.4</v>
      </c>
      <c r="D15" s="57"/>
      <c r="E15" s="57"/>
      <c r="F15" s="57"/>
      <c r="G15" s="57"/>
      <c r="H15" s="57"/>
      <c r="I15" s="19" t="s">
        <v>682</v>
      </c>
      <c r="J15" s="19"/>
    </row>
    <row r="17" customFormat="false" ht="21" hidden="false" customHeight="true" outlineLevel="0" collapsed="false">
      <c r="A17" s="15" t="s">
        <v>683</v>
      </c>
      <c r="B17" s="15"/>
      <c r="C17" s="15"/>
      <c r="D17" s="15"/>
      <c r="E17" s="15"/>
      <c r="F17" s="15"/>
      <c r="G17" s="15"/>
      <c r="H17" s="15"/>
      <c r="I17" s="15"/>
      <c r="J17" s="15"/>
    </row>
    <row r="18" customFormat="false" ht="96" hidden="false" customHeight="true" outlineLevel="0" collapsed="false">
      <c r="A18" s="11" t="s">
        <v>684</v>
      </c>
      <c r="B18" s="11"/>
      <c r="C18" s="11"/>
      <c r="D18" s="11"/>
      <c r="E18" s="11"/>
      <c r="F18" s="11"/>
      <c r="G18" s="11"/>
      <c r="H18" s="11"/>
      <c r="I18" s="11"/>
      <c r="J18" s="11"/>
    </row>
    <row r="19" customFormat="false" ht="31.5" hidden="false" customHeight="true" outlineLevel="0" collapsed="false">
      <c r="A19" s="13" t="s">
        <v>92</v>
      </c>
      <c r="B19" s="13" t="s">
        <v>685</v>
      </c>
      <c r="C19" s="13" t="s">
        <v>686</v>
      </c>
      <c r="D19" s="13" t="s">
        <v>687</v>
      </c>
      <c r="E19" s="13" t="s">
        <v>688</v>
      </c>
      <c r="F19" s="13" t="s">
        <v>689</v>
      </c>
      <c r="G19" s="13" t="s">
        <v>690</v>
      </c>
      <c r="H19" s="13" t="s">
        <v>691</v>
      </c>
      <c r="I19" s="13" t="s">
        <v>692</v>
      </c>
      <c r="J19" s="13"/>
    </row>
    <row r="20" customFormat="false" ht="42" hidden="false" customHeight="true" outlineLevel="0" collapsed="false">
      <c r="A20" s="16" t="s">
        <v>693</v>
      </c>
      <c r="B20" s="17" t="s">
        <v>694</v>
      </c>
      <c r="C20" s="58" t="n">
        <f aca="false">$C$138</f>
        <v>46256</v>
      </c>
      <c r="D20" s="58" t="n">
        <f aca="false">$D$139</f>
        <v>46260</v>
      </c>
      <c r="E20" s="54" t="n">
        <f aca="false">D20-C20+1</f>
        <v>5</v>
      </c>
      <c r="F20" s="58" t="n">
        <f aca="false">C20</f>
        <v>46256</v>
      </c>
      <c r="G20" s="58" t="n">
        <f aca="false">D20</f>
        <v>46260</v>
      </c>
      <c r="H20" s="54" t="n">
        <f aca="false">G20-F20+1</f>
        <v>5</v>
      </c>
      <c r="I20" s="19" t="s">
        <v>695</v>
      </c>
      <c r="J20" s="19"/>
    </row>
    <row r="21" customFormat="false" ht="42" hidden="false" customHeight="true" outlineLevel="0" collapsed="false">
      <c r="A21" s="16" t="s">
        <v>696</v>
      </c>
      <c r="B21" s="17" t="s">
        <v>697</v>
      </c>
      <c r="C21" s="58" t="n">
        <f aca="false">$C$141</f>
        <v>46261</v>
      </c>
      <c r="D21" s="58" t="n">
        <f aca="false">$D$144</f>
        <v>46277</v>
      </c>
      <c r="E21" s="54" t="n">
        <f aca="false">D21-C21+1</f>
        <v>17</v>
      </c>
      <c r="F21" s="58" t="n">
        <f aca="false">C21</f>
        <v>46261</v>
      </c>
      <c r="G21" s="58" t="n">
        <f aca="false">D21</f>
        <v>46277</v>
      </c>
      <c r="H21" s="54" t="n">
        <f aca="false">G21-F21+1</f>
        <v>17</v>
      </c>
      <c r="I21" s="19" t="s">
        <v>698</v>
      </c>
      <c r="J21" s="19"/>
    </row>
    <row r="22" customFormat="false" ht="80.25" hidden="false" customHeight="true" outlineLevel="0" collapsed="false">
      <c r="A22" s="16" t="s">
        <v>699</v>
      </c>
      <c r="B22" s="17" t="s">
        <v>700</v>
      </c>
      <c r="C22" s="58" t="n">
        <f aca="false">$C$149</f>
        <v>46277</v>
      </c>
      <c r="D22" s="58" t="n">
        <f aca="false">$D$149</f>
        <v>46300</v>
      </c>
      <c r="E22" s="54" t="n">
        <f aca="false">NETWORKDAYS.INTL(C22,D22,"0000100",$C$14)</f>
        <v>20</v>
      </c>
      <c r="F22" s="58" t="n">
        <f aca="false">C22</f>
        <v>46277</v>
      </c>
      <c r="G22" s="58" t="n">
        <f aca="false">WORKDAY.INTL(F22,H22-1,"0000100",$C$14)</f>
        <v>46282</v>
      </c>
      <c r="H22" s="54" t="n">
        <f aca="false">$E$159</f>
        <v>6</v>
      </c>
      <c r="I22" s="19" t="s">
        <v>701</v>
      </c>
      <c r="J22" s="19"/>
    </row>
    <row r="23" customFormat="false" ht="54.75" hidden="false" customHeight="true" outlineLevel="0" collapsed="false">
      <c r="A23" s="16" t="s">
        <v>702</v>
      </c>
      <c r="B23" s="17" t="s">
        <v>703</v>
      </c>
      <c r="C23" s="58" t="n">
        <f aca="false">$C$155</f>
        <v>46301</v>
      </c>
      <c r="D23" s="58" t="n">
        <f aca="false">$D$155</f>
        <v>46319</v>
      </c>
      <c r="E23" s="54" t="n">
        <f aca="false">NETWORKDAYS.INTL(C23,D23,"0000100",$C$14)</f>
        <v>16</v>
      </c>
      <c r="F23" s="58" t="n">
        <f aca="false">WORKDAY.INTL(G22,1,"0000100",$C$14)</f>
        <v>46284</v>
      </c>
      <c r="G23" s="58" t="n">
        <f aca="false">WORKDAY.INTL(F23,H23-1,"0000100",$C$14)</f>
        <v>46298</v>
      </c>
      <c r="H23" s="54" t="n">
        <f aca="false">$E$161</f>
        <v>12</v>
      </c>
      <c r="I23" s="19" t="s">
        <v>704</v>
      </c>
      <c r="J23" s="19"/>
    </row>
    <row r="24" customFormat="false" ht="42" hidden="false" customHeight="true" outlineLevel="0" collapsed="false">
      <c r="A24" s="16" t="s">
        <v>705</v>
      </c>
      <c r="B24" s="17" t="s">
        <v>706</v>
      </c>
      <c r="C24" s="58" t="n">
        <f aca="false">$C$156</f>
        <v>46303</v>
      </c>
      <c r="D24" s="58" t="n">
        <f aca="false">$D$156</f>
        <v>46324</v>
      </c>
      <c r="E24" s="54" t="n">
        <f aca="false">NETWORKDAYS.INTL(C24,D24,"0000100",$C$14)</f>
        <v>19</v>
      </c>
      <c r="F24" s="58" t="n">
        <f aca="false">WORKDAY.INTL(F23,2,"0000100",$C$14)</f>
        <v>46286</v>
      </c>
      <c r="G24" s="58" t="n">
        <f aca="false">WORKDAY.INTL(G23,5,"0000100",$C$14)</f>
        <v>46303</v>
      </c>
      <c r="H24" s="54" t="n">
        <f aca="false">NETWORKDAYS.INTL(F24,G24,"0000100",$C$14)</f>
        <v>15</v>
      </c>
      <c r="I24" s="19" t="s">
        <v>707</v>
      </c>
      <c r="J24" s="19"/>
    </row>
    <row r="25" customFormat="false" ht="30" hidden="false" customHeight="true" outlineLevel="0" collapsed="false">
      <c r="A25" s="16" t="s">
        <v>708</v>
      </c>
      <c r="B25" s="17" t="s">
        <v>709</v>
      </c>
      <c r="C25" s="58" t="n">
        <f aca="false">$C$162</f>
        <v>46326</v>
      </c>
      <c r="D25" s="58" t="n">
        <f aca="false">$D$162</f>
        <v>46330</v>
      </c>
      <c r="E25" s="54" t="n">
        <f aca="false">NETWORKDAYS.INTL(C25,D25,"0000100",$C$14)</f>
        <v>5</v>
      </c>
      <c r="F25" s="58" t="n">
        <f aca="false">WORKDAY.INTL(G24,1,"0000100",$C$14)</f>
        <v>46305</v>
      </c>
      <c r="G25" s="58" t="n">
        <f aca="false">WORKDAY.INTL(F25,H25-1,"0000100",$C$14)</f>
        <v>46309</v>
      </c>
      <c r="H25" s="54" t="n">
        <f aca="false">$E$162</f>
        <v>5</v>
      </c>
      <c r="I25" s="19" t="s">
        <v>710</v>
      </c>
      <c r="J25" s="19"/>
    </row>
    <row r="26" customFormat="false" ht="30" hidden="false" customHeight="true" outlineLevel="0" collapsed="false">
      <c r="A26" s="16" t="s">
        <v>711</v>
      </c>
      <c r="B26" s="17" t="s">
        <v>712</v>
      </c>
      <c r="C26" s="58" t="n">
        <f aca="false">$C$166</f>
        <v>46331</v>
      </c>
      <c r="D26" s="58" t="n">
        <f aca="false">$D$166</f>
        <v>46337</v>
      </c>
      <c r="E26" s="54" t="n">
        <f aca="false">NETWORKDAYS.INTL(C26,D26,"0000100",$C$14)</f>
        <v>6</v>
      </c>
      <c r="F26" s="58" t="n">
        <f aca="false">WORKDAY.INTL(G25,1,"0000100",$C$14)</f>
        <v>46310</v>
      </c>
      <c r="G26" s="58" t="n">
        <f aca="false">WORKDAY.INTL(F26,H26-1,"0000100",$C$14)</f>
        <v>46316</v>
      </c>
      <c r="H26" s="54" t="n">
        <f aca="false">$E$166</f>
        <v>6</v>
      </c>
      <c r="I26" s="19" t="s">
        <v>713</v>
      </c>
      <c r="J26" s="19"/>
    </row>
    <row r="27" customFormat="false" ht="42" hidden="false" customHeight="true" outlineLevel="0" collapsed="false">
      <c r="A27" s="16" t="s">
        <v>714</v>
      </c>
      <c r="B27" s="17" t="s">
        <v>715</v>
      </c>
      <c r="C27" s="58" t="n">
        <f aca="false">$C$167</f>
        <v>46335</v>
      </c>
      <c r="D27" s="58" t="n">
        <f aca="false">$D$169</f>
        <v>46342</v>
      </c>
      <c r="E27" s="54" t="n">
        <f aca="false">NETWORKDAYS.INTL(C27,D27,"0000100",$C$14)</f>
        <v>7</v>
      </c>
      <c r="F27" s="58" t="n">
        <f aca="false">WORKDAY.INTL(G26,-2,"0000100",$C$14)</f>
        <v>46314</v>
      </c>
      <c r="G27" s="58" t="n">
        <f aca="false">WORKDAY.INTL(G26,3,"0000100",$C$14)</f>
        <v>46320</v>
      </c>
      <c r="H27" s="54" t="n">
        <f aca="false">NETWORKDAYS.INTL(F27,G27,"0000100",$C$14)</f>
        <v>6</v>
      </c>
      <c r="I27" s="19" t="s">
        <v>716</v>
      </c>
      <c r="J27" s="19"/>
    </row>
    <row r="28" customFormat="false" ht="93" hidden="false" customHeight="true" outlineLevel="0" collapsed="false">
      <c r="A28" s="16" t="s">
        <v>717</v>
      </c>
      <c r="B28" s="17" t="s">
        <v>718</v>
      </c>
      <c r="C28" s="58" t="n">
        <f aca="false">$C$159</f>
        <v>46317</v>
      </c>
      <c r="D28" s="58" t="n">
        <f aca="false">$D$159</f>
        <v>46323</v>
      </c>
      <c r="E28" s="54" t="n">
        <f aca="false">NETWORKDAYS.INTL(C28,D28,"0000100",$C$14)</f>
        <v>6</v>
      </c>
      <c r="F28" s="58" t="n">
        <f aca="false">WORKDAY.INTL(G23,1,"0000100",$C$14)</f>
        <v>46299</v>
      </c>
      <c r="G28" s="58" t="n">
        <f aca="false">WORKDAY.INTL(F28,H28-1,"0000100",$C$14)</f>
        <v>46305</v>
      </c>
      <c r="H28" s="54" t="n">
        <f aca="false">$E$159</f>
        <v>6</v>
      </c>
      <c r="I28" s="19" t="s">
        <v>719</v>
      </c>
      <c r="J28" s="19"/>
    </row>
    <row r="29" customFormat="false" ht="30" hidden="false" customHeight="true" outlineLevel="0" collapsed="false">
      <c r="A29" s="16" t="s">
        <v>720</v>
      </c>
      <c r="B29" s="17" t="s">
        <v>721</v>
      </c>
      <c r="C29" s="58" t="n">
        <f aca="false">$C$161</f>
        <v>46324</v>
      </c>
      <c r="D29" s="58" t="n">
        <f aca="false">$D$161</f>
        <v>46337</v>
      </c>
      <c r="E29" s="54" t="n">
        <f aca="false">NETWORKDAYS.INTL(C29,D29,"0000100",$C$14)</f>
        <v>12</v>
      </c>
      <c r="F29" s="58" t="n">
        <f aca="false">WORKDAY.INTL(G28,1,"0000100",$C$14)</f>
        <v>46306</v>
      </c>
      <c r="G29" s="58" t="n">
        <f aca="false">WORKDAY.INTL(F29,H29-1,"0000100",$C$14)</f>
        <v>46319</v>
      </c>
      <c r="H29" s="54" t="n">
        <f aca="false">$E$161</f>
        <v>12</v>
      </c>
      <c r="I29" s="19" t="s">
        <v>722</v>
      </c>
      <c r="J29" s="19"/>
    </row>
    <row r="30" customFormat="false" ht="30" hidden="false" customHeight="true" outlineLevel="0" collapsed="false">
      <c r="A30" s="16" t="s">
        <v>723</v>
      </c>
      <c r="B30" s="17" t="s">
        <v>724</v>
      </c>
      <c r="C30" s="58" t="n">
        <f aca="false">$C$163</f>
        <v>46327</v>
      </c>
      <c r="D30" s="58" t="n">
        <f aca="false">$D$163</f>
        <v>46343</v>
      </c>
      <c r="E30" s="54" t="n">
        <f aca="false">NETWORKDAYS.INTL(C30,D30,"0000100",$C$14)</f>
        <v>15</v>
      </c>
      <c r="F30" s="58" t="n">
        <f aca="false">WORKDAY.INTL(F29,2,"0000100",$C$14)</f>
        <v>46308</v>
      </c>
      <c r="G30" s="58" t="n">
        <f aca="false">WORKDAY.INTL(G29,5,"0000100",$C$14)</f>
        <v>46324</v>
      </c>
      <c r="H30" s="54" t="n">
        <f aca="false">NETWORKDAYS.INTL(F30,G30,"0000100",$C$14)</f>
        <v>15</v>
      </c>
      <c r="I30" s="19" t="s">
        <v>725</v>
      </c>
      <c r="J30" s="19"/>
    </row>
    <row r="31" customFormat="false" ht="30" hidden="false" customHeight="true" outlineLevel="0" collapsed="false">
      <c r="A31" s="16" t="s">
        <v>726</v>
      </c>
      <c r="B31" s="17" t="s">
        <v>727</v>
      </c>
      <c r="C31" s="58" t="n">
        <f aca="false">$C$170</f>
        <v>46344</v>
      </c>
      <c r="D31" s="58" t="n">
        <f aca="false">$D$170</f>
        <v>46349</v>
      </c>
      <c r="E31" s="54" t="n">
        <f aca="false">NETWORKDAYS.INTL(C31,D31,"0000100",$C$14)</f>
        <v>5</v>
      </c>
      <c r="F31" s="58" t="n">
        <f aca="false">WORKDAY.INTL(G30,1,"0000100",$C$14)</f>
        <v>46326</v>
      </c>
      <c r="G31" s="58" t="n">
        <f aca="false">WORKDAY.INTL(F31,H31-1,"0000100",$C$14)</f>
        <v>46330</v>
      </c>
      <c r="H31" s="54" t="n">
        <f aca="false">$E$170</f>
        <v>5</v>
      </c>
      <c r="I31" s="19" t="s">
        <v>728</v>
      </c>
      <c r="J31" s="19"/>
    </row>
    <row r="32" customFormat="false" ht="30" hidden="false" customHeight="true" outlineLevel="0" collapsed="false">
      <c r="A32" s="16" t="s">
        <v>729</v>
      </c>
      <c r="B32" s="17" t="s">
        <v>730</v>
      </c>
      <c r="C32" s="58" t="n">
        <f aca="false">$C$171</f>
        <v>46350</v>
      </c>
      <c r="D32" s="58" t="n">
        <f aca="false">$D$171</f>
        <v>46356</v>
      </c>
      <c r="E32" s="54" t="n">
        <f aca="false">NETWORKDAYS.INTL(C32,D32,"0000100",$C$14)</f>
        <v>6</v>
      </c>
      <c r="F32" s="58" t="n">
        <f aca="false">WORKDAY.INTL(G31,1,"0000100",$C$14)</f>
        <v>46331</v>
      </c>
      <c r="G32" s="58" t="n">
        <f aca="false">WORKDAY.INTL(F32,H32-1,"0000100",$C$14)</f>
        <v>46337</v>
      </c>
      <c r="H32" s="54" t="n">
        <f aca="false">$E$171</f>
        <v>6</v>
      </c>
      <c r="I32" s="19" t="s">
        <v>731</v>
      </c>
      <c r="J32" s="19"/>
    </row>
    <row r="33" customFormat="false" ht="30" hidden="false" customHeight="true" outlineLevel="0" collapsed="false">
      <c r="A33" s="16" t="s">
        <v>732</v>
      </c>
      <c r="B33" s="17" t="s">
        <v>733</v>
      </c>
      <c r="C33" s="58" t="n">
        <f aca="false">$C$172</f>
        <v>46354</v>
      </c>
      <c r="D33" s="58" t="n">
        <f aca="false">$D$174</f>
        <v>46359</v>
      </c>
      <c r="E33" s="54" t="n">
        <f aca="false">NETWORKDAYS.INTL(C33,D33,"0000100",$C$14)</f>
        <v>6</v>
      </c>
      <c r="F33" s="58" t="n">
        <f aca="false">WORKDAY.INTL(G32,-2,"0000100",$C$14)</f>
        <v>46335</v>
      </c>
      <c r="G33" s="58" t="n">
        <f aca="false">WORKDAY.INTL(G32,3,"0000100",$C$14)</f>
        <v>46341</v>
      </c>
      <c r="H33" s="54" t="n">
        <f aca="false">NETWORKDAYS.INTL(F33,G33,"0000100",$C$14)</f>
        <v>6</v>
      </c>
      <c r="I33" s="19" t="s">
        <v>734</v>
      </c>
      <c r="J33" s="19"/>
    </row>
    <row r="34" customFormat="false" ht="54.75" hidden="false" customHeight="true" outlineLevel="0" collapsed="false">
      <c r="A34" s="16" t="s">
        <v>735</v>
      </c>
      <c r="B34" s="17" t="s">
        <v>736</v>
      </c>
      <c r="C34" s="58" t="n">
        <f aca="false">$C$175</f>
        <v>46359</v>
      </c>
      <c r="D34" s="58" t="n">
        <f aca="false">$D$175</f>
        <v>46359</v>
      </c>
      <c r="E34" s="54" t="s">
        <v>737</v>
      </c>
      <c r="F34" s="58" t="n">
        <f aca="false">C34</f>
        <v>46359</v>
      </c>
      <c r="G34" s="58" t="n">
        <f aca="false">D34</f>
        <v>46359</v>
      </c>
      <c r="H34" s="54" t="s">
        <v>737</v>
      </c>
      <c r="I34" s="19" t="s">
        <v>738</v>
      </c>
      <c r="J34" s="19"/>
    </row>
    <row r="35" customFormat="false" ht="30" hidden="false" customHeight="true" outlineLevel="0" collapsed="false">
      <c r="A35" s="16" t="s">
        <v>739</v>
      </c>
      <c r="B35" s="17" t="s">
        <v>740</v>
      </c>
      <c r="C35" s="58" t="n">
        <f aca="false">$C$176</f>
        <v>46361</v>
      </c>
      <c r="D35" s="58" t="n">
        <f aca="false">$D$176</f>
        <v>46364</v>
      </c>
      <c r="E35" s="54" t="n">
        <f aca="false">NETWORKDAYS.INTL(C35,D35,"0000100",$C$14)</f>
        <v>4</v>
      </c>
      <c r="F35" s="58" t="n">
        <f aca="false">C35</f>
        <v>46361</v>
      </c>
      <c r="G35" s="58" t="n">
        <f aca="false">D35</f>
        <v>46364</v>
      </c>
      <c r="H35" s="54" t="n">
        <f aca="false">E35</f>
        <v>4</v>
      </c>
      <c r="I35" s="19" t="s">
        <v>741</v>
      </c>
      <c r="J35" s="19"/>
    </row>
    <row r="36" customFormat="false" ht="67.5" hidden="false" customHeight="true" outlineLevel="0" collapsed="false">
      <c r="A36" s="16" t="s">
        <v>742</v>
      </c>
      <c r="B36" s="17" t="s">
        <v>743</v>
      </c>
      <c r="C36" s="58" t="n">
        <f aca="false">$C$177</f>
        <v>46365</v>
      </c>
      <c r="D36" s="58" t="n">
        <f aca="false">$D$178</f>
        <v>46372</v>
      </c>
      <c r="E36" s="54" t="n">
        <f aca="false">NETWORKDAYS.INTL(C36,D36,"0000100",$C$14)</f>
        <v>7</v>
      </c>
      <c r="F36" s="58" t="s">
        <v>737</v>
      </c>
      <c r="G36" s="58" t="s">
        <v>737</v>
      </c>
      <c r="H36" s="54" t="s">
        <v>737</v>
      </c>
      <c r="I36" s="19" t="s">
        <v>744</v>
      </c>
      <c r="J36" s="19"/>
    </row>
    <row r="37" customFormat="false" ht="105.75" hidden="false" customHeight="true" outlineLevel="0" collapsed="false">
      <c r="A37" s="16" t="s">
        <v>745</v>
      </c>
      <c r="B37" s="17" t="s">
        <v>746</v>
      </c>
      <c r="C37" s="58" t="n">
        <f aca="false">WORKDAY.INTL(D27,1,"0000100",$C$14)</f>
        <v>46343</v>
      </c>
      <c r="D37" s="58" t="n">
        <f aca="false">WORKDAY.INTL(C37,E37-1,"0000100",$C$14)</f>
        <v>46350</v>
      </c>
      <c r="E37" s="54" t="n">
        <f aca="false">$E$177</f>
        <v>7</v>
      </c>
      <c r="F37" s="58" t="n">
        <f aca="false">WORKDAY.INTL(G27,1,"0000100",$C$14)</f>
        <v>46321</v>
      </c>
      <c r="G37" s="58" t="n">
        <f aca="false">WORKDAY.INTL(F37,H37-1,"0000100",$C$14)</f>
        <v>46328</v>
      </c>
      <c r="H37" s="54" t="n">
        <f aca="false">E37</f>
        <v>7</v>
      </c>
      <c r="I37" s="19" t="s">
        <v>747</v>
      </c>
      <c r="J37" s="19"/>
    </row>
    <row r="38" customFormat="false" ht="118.5" hidden="false" customHeight="true" outlineLevel="0" collapsed="false">
      <c r="A38" s="16" t="s">
        <v>748</v>
      </c>
      <c r="B38" s="17" t="s">
        <v>749</v>
      </c>
      <c r="C38" s="58" t="n">
        <f aca="false">WORKDAY.INTL(MAX(D37,D33),1,"0000100",$C$14)</f>
        <v>46361</v>
      </c>
      <c r="D38" s="58" t="n">
        <f aca="false">WORKDAY.INTL(C38,E38-1,"0000100",$C$14)</f>
        <v>46363</v>
      </c>
      <c r="E38" s="54" t="n">
        <v>3</v>
      </c>
      <c r="F38" s="58" t="n">
        <f aca="false">WORKDAY.INTL(MAX(G37,G33),1,"0000100",$C$14)</f>
        <v>46342</v>
      </c>
      <c r="G38" s="58" t="n">
        <f aca="false">WORKDAY.INTL(F38,H38-1,"0000100",$C$14)</f>
        <v>46344</v>
      </c>
      <c r="H38" s="54" t="n">
        <f aca="false">E38</f>
        <v>3</v>
      </c>
      <c r="I38" s="19" t="s">
        <v>750</v>
      </c>
      <c r="J38" s="19"/>
    </row>
    <row r="39" customFormat="false" ht="30" hidden="false" customHeight="true" outlineLevel="0" collapsed="false">
      <c r="A39" s="16" t="s">
        <v>751</v>
      </c>
      <c r="B39" s="17" t="s">
        <v>752</v>
      </c>
      <c r="C39" s="58" t="n">
        <f aca="false">WORKDAY.INTL(D38,1,"0000100",$C$14)</f>
        <v>46364</v>
      </c>
      <c r="D39" s="58" t="n">
        <f aca="false">WORKDAY.INTL(C39,E39-1,"0000100",$C$14)</f>
        <v>46371</v>
      </c>
      <c r="E39" s="54" t="n">
        <f aca="false">$E$178</f>
        <v>7</v>
      </c>
      <c r="F39" s="58" t="n">
        <f aca="false">WORKDAY.INTL(G38,1,"0000100",$C$14)</f>
        <v>46345</v>
      </c>
      <c r="G39" s="58" t="n">
        <f aca="false">WORKDAY.INTL(F39,H39-1,"0000100",$C$14)</f>
        <v>46352</v>
      </c>
      <c r="H39" s="54" t="n">
        <f aca="false">E39</f>
        <v>7</v>
      </c>
      <c r="I39" s="19" t="s">
        <v>753</v>
      </c>
      <c r="J39" s="19"/>
    </row>
    <row r="40" customFormat="false" ht="93" hidden="false" customHeight="true" outlineLevel="0" collapsed="false">
      <c r="A40" s="16" t="s">
        <v>754</v>
      </c>
      <c r="B40" s="17" t="s">
        <v>755</v>
      </c>
      <c r="C40" s="58" t="n">
        <f aca="false">WORKDAY.INTL(D35,1,"0000100",$C$14)</f>
        <v>46365</v>
      </c>
      <c r="D40" s="58" t="n">
        <f aca="false">WORKDAY.INTL(C40,E40-1,"0000100",$C$14)</f>
        <v>46368</v>
      </c>
      <c r="E40" s="54" t="n">
        <v>3</v>
      </c>
      <c r="F40" s="58" t="n">
        <f aca="false">WORKDAY.INTL(G35,1,"0000100",$C$14)</f>
        <v>46365</v>
      </c>
      <c r="G40" s="58" t="n">
        <f aca="false">WORKDAY.INTL(F40,H40-1,"0000100",$C$14)</f>
        <v>46368</v>
      </c>
      <c r="H40" s="54" t="n">
        <f aca="false">E40</f>
        <v>3</v>
      </c>
      <c r="I40" s="19" t="s">
        <v>756</v>
      </c>
      <c r="J40" s="19"/>
    </row>
    <row r="41" customFormat="false" ht="105.75" hidden="false" customHeight="true" outlineLevel="0" collapsed="false">
      <c r="A41" s="16" t="s">
        <v>757</v>
      </c>
      <c r="B41" s="17" t="s">
        <v>758</v>
      </c>
      <c r="C41" s="58" t="n">
        <f aca="false">WORKDAY.INTL(MAX(D35,D39,D40),1,"0000100",$C$14)</f>
        <v>46372</v>
      </c>
      <c r="D41" s="58" t="n">
        <f aca="false">WORKDAY.INTL(C41,E41-1,"0000100",$C$14)</f>
        <v>46375</v>
      </c>
      <c r="E41" s="54" t="n">
        <v>3</v>
      </c>
      <c r="F41" s="58" t="n">
        <f aca="false">WORKDAY.INTL(MAX(G35,G39,G40),1,"0000100",$C$14)</f>
        <v>46369</v>
      </c>
      <c r="G41" s="58" t="n">
        <f aca="false">WORKDAY.INTL(F41,H41-1,"0000100",$C$14)</f>
        <v>46371</v>
      </c>
      <c r="H41" s="54" t="n">
        <f aca="false">E41</f>
        <v>3</v>
      </c>
      <c r="I41" s="19" t="s">
        <v>759</v>
      </c>
      <c r="J41" s="19"/>
    </row>
    <row r="42" customFormat="false" ht="42" hidden="false" customHeight="true" outlineLevel="0" collapsed="false">
      <c r="A42" s="16" t="s">
        <v>760</v>
      </c>
      <c r="B42" s="17" t="s">
        <v>761</v>
      </c>
      <c r="C42" s="58" t="n">
        <f aca="false">D41</f>
        <v>46375</v>
      </c>
      <c r="D42" s="58" t="n">
        <f aca="false">C42</f>
        <v>46375</v>
      </c>
      <c r="E42" s="54" t="s">
        <v>737</v>
      </c>
      <c r="F42" s="58" t="n">
        <f aca="false">G41</f>
        <v>46371</v>
      </c>
      <c r="G42" s="58" t="n">
        <f aca="false">F42</f>
        <v>46371</v>
      </c>
      <c r="H42" s="54" t="s">
        <v>737</v>
      </c>
      <c r="I42" s="19" t="s">
        <v>762</v>
      </c>
      <c r="J42" s="19"/>
    </row>
    <row r="43" customFormat="false" ht="54.75" hidden="false" customHeight="true" outlineLevel="0" collapsed="false">
      <c r="A43" s="16" t="s">
        <v>763</v>
      </c>
      <c r="B43" s="17" t="s">
        <v>764</v>
      </c>
      <c r="C43" s="58" t="n">
        <f aca="false">WORKDAY.INTL(D42,1,"0000100",$C$14)</f>
        <v>46376</v>
      </c>
      <c r="D43" s="58" t="n">
        <f aca="false">WORKDAY.INTL(C43,E43-1,"0000100",$C$14)</f>
        <v>46383</v>
      </c>
      <c r="E43" s="54" t="n">
        <f aca="false">$E$181</f>
        <v>7</v>
      </c>
      <c r="F43" s="58" t="n">
        <f aca="false">WORKDAY.INTL(G42,1,"0000100",$C$14)</f>
        <v>46372</v>
      </c>
      <c r="G43" s="58" t="n">
        <f aca="false">WORKDAY.INTL(F43,H43-1,"0000100",$C$14)</f>
        <v>46379</v>
      </c>
      <c r="H43" s="54" t="n">
        <f aca="false">E43</f>
        <v>7</v>
      </c>
      <c r="I43" s="19" t="s">
        <v>765</v>
      </c>
      <c r="J43" s="19"/>
    </row>
    <row r="44" customFormat="false" ht="19.5" hidden="false" customHeight="true" outlineLevel="0" collapsed="false">
      <c r="A44" s="23"/>
      <c r="B44" s="23" t="s">
        <v>766</v>
      </c>
      <c r="C44" s="23"/>
      <c r="D44" s="23"/>
      <c r="E44" s="23"/>
      <c r="F44" s="23"/>
      <c r="G44" s="23"/>
      <c r="H44" s="23"/>
      <c r="I44" s="23"/>
      <c r="J44" s="23"/>
    </row>
    <row r="45" customFormat="false" ht="105.75" hidden="false" customHeight="true" outlineLevel="0" collapsed="false">
      <c r="A45" s="16" t="s">
        <v>767</v>
      </c>
      <c r="B45" s="17" t="s">
        <v>768</v>
      </c>
      <c r="C45" s="58" t="n">
        <f aca="false">C20</f>
        <v>46256</v>
      </c>
      <c r="D45" s="58" t="n">
        <f aca="false">D43</f>
        <v>46383</v>
      </c>
      <c r="E45" s="54" t="n">
        <f aca="false">D45-C45+1</f>
        <v>128</v>
      </c>
      <c r="F45" s="58" t="n">
        <f aca="false">F20</f>
        <v>46256</v>
      </c>
      <c r="G45" s="58" t="n">
        <f aca="false">G43</f>
        <v>46379</v>
      </c>
      <c r="H45" s="54" t="n">
        <f aca="false">G45-F45+1</f>
        <v>124</v>
      </c>
      <c r="I45" s="19" t="s">
        <v>769</v>
      </c>
      <c r="J45" s="19"/>
    </row>
    <row r="46" customFormat="false" ht="30" hidden="false" customHeight="true" outlineLevel="0" collapsed="false">
      <c r="A46" s="16" t="s">
        <v>770</v>
      </c>
      <c r="B46" s="17" t="s">
        <v>771</v>
      </c>
      <c r="C46" s="58" t="n">
        <f aca="false">C20</f>
        <v>46256</v>
      </c>
      <c r="D46" s="58" t="n">
        <f aca="false">D42</f>
        <v>46375</v>
      </c>
      <c r="E46" s="54" t="n">
        <f aca="false">D46-C46+1</f>
        <v>120</v>
      </c>
      <c r="F46" s="58" t="n">
        <f aca="false">F20</f>
        <v>46256</v>
      </c>
      <c r="G46" s="58" t="n">
        <f aca="false">G42</f>
        <v>46371</v>
      </c>
      <c r="H46" s="54" t="n">
        <f aca="false">G46-F46+1</f>
        <v>116</v>
      </c>
      <c r="I46" s="19" t="s">
        <v>772</v>
      </c>
      <c r="J46" s="19"/>
    </row>
    <row r="47" customFormat="false" ht="42" hidden="false" customHeight="true" outlineLevel="0" collapsed="false">
      <c r="A47" s="16" t="s">
        <v>773</v>
      </c>
      <c r="B47" s="17" t="s">
        <v>774</v>
      </c>
      <c r="C47" s="58" t="n">
        <f aca="false">C22</f>
        <v>46277</v>
      </c>
      <c r="D47" s="58" t="n">
        <f aca="false">D33</f>
        <v>46359</v>
      </c>
      <c r="E47" s="54" t="n">
        <f aca="false">D47-C47+1</f>
        <v>83</v>
      </c>
      <c r="F47" s="58" t="n">
        <f aca="false">F22</f>
        <v>46277</v>
      </c>
      <c r="G47" s="58" t="n">
        <f aca="false">G33</f>
        <v>46341</v>
      </c>
      <c r="H47" s="54" t="n">
        <f aca="false">G47-F47+1</f>
        <v>65</v>
      </c>
      <c r="I47" s="19" t="s">
        <v>775</v>
      </c>
      <c r="J47" s="19"/>
    </row>
    <row r="48" customFormat="false" ht="132" hidden="false" customHeight="true" outlineLevel="0" collapsed="false">
      <c r="A48" s="16" t="s">
        <v>776</v>
      </c>
      <c r="B48" s="17" t="s">
        <v>777</v>
      </c>
      <c r="C48" s="58" t="n">
        <f aca="false">$C$146</f>
        <v>46273</v>
      </c>
      <c r="D48" s="58" t="n">
        <f aca="false">MAX(D26,D29)</f>
        <v>46337</v>
      </c>
      <c r="E48" s="54" t="n">
        <f aca="false">NETWORKDAYS.INTL(C48,D48,"0000100",$C$14)</f>
        <v>55</v>
      </c>
      <c r="F48" s="58" t="n">
        <f aca="false">F22</f>
        <v>46277</v>
      </c>
      <c r="G48" s="58" t="n">
        <f aca="false">MAX(G26,G29)</f>
        <v>46319</v>
      </c>
      <c r="H48" s="54" t="n">
        <f aca="false">NETWORKDAYS.INTL(F48,G48,"0000100",$C$14)</f>
        <v>36</v>
      </c>
      <c r="I48" s="19" t="s">
        <v>778</v>
      </c>
      <c r="J48" s="19"/>
    </row>
    <row r="49" customFormat="false" ht="30" hidden="false" customHeight="true" outlineLevel="0" collapsed="false">
      <c r="A49" s="16" t="s">
        <v>779</v>
      </c>
      <c r="B49" s="17" t="s">
        <v>780</v>
      </c>
      <c r="C49" s="58" t="n">
        <f aca="false">C31</f>
        <v>46344</v>
      </c>
      <c r="D49" s="58" t="n">
        <f aca="false">D32</f>
        <v>46356</v>
      </c>
      <c r="E49" s="54" t="n">
        <f aca="false">NETWORKDAYS.INTL(C49,D49,"0000100",$C$14)</f>
        <v>11</v>
      </c>
      <c r="F49" s="58" t="n">
        <f aca="false">F31</f>
        <v>46326</v>
      </c>
      <c r="G49" s="58" t="n">
        <f aca="false">G32</f>
        <v>46337</v>
      </c>
      <c r="H49" s="54" t="n">
        <f aca="false">NETWORKDAYS.INTL(F49,G49,"0000100",$C$14)</f>
        <v>11</v>
      </c>
      <c r="I49" s="19" t="s">
        <v>781</v>
      </c>
      <c r="J49" s="19"/>
    </row>
    <row r="50" customFormat="false" ht="42" hidden="false" customHeight="true" outlineLevel="0" collapsed="false">
      <c r="A50" s="16" t="s">
        <v>782</v>
      </c>
      <c r="B50" s="17" t="s">
        <v>783</v>
      </c>
      <c r="C50" s="58" t="n">
        <f aca="false">C23</f>
        <v>46301</v>
      </c>
      <c r="D50" s="58" t="n">
        <f aca="false">D32</f>
        <v>46356</v>
      </c>
      <c r="E50" s="54" t="n">
        <f aca="false">D50-C50+1</f>
        <v>56</v>
      </c>
      <c r="F50" s="58" t="n">
        <f aca="false">F23</f>
        <v>46284</v>
      </c>
      <c r="G50" s="58" t="n">
        <f aca="false">G32</f>
        <v>46337</v>
      </c>
      <c r="H50" s="54" t="n">
        <f aca="false">G50-F50+1</f>
        <v>54</v>
      </c>
      <c r="I50" s="19" t="s">
        <v>784</v>
      </c>
      <c r="J50" s="19"/>
    </row>
    <row r="51" customFormat="false" ht="30" hidden="false" customHeight="true" outlineLevel="0" collapsed="false">
      <c r="A51" s="16" t="s">
        <v>785</v>
      </c>
      <c r="B51" s="17" t="s">
        <v>786</v>
      </c>
      <c r="C51" s="58" t="n">
        <f aca="false">C48</f>
        <v>46273</v>
      </c>
      <c r="D51" s="58" t="n">
        <f aca="false">D32</f>
        <v>46356</v>
      </c>
      <c r="E51" s="54" t="n">
        <f aca="false">D51-C51+1</f>
        <v>84</v>
      </c>
      <c r="F51" s="58" t="n">
        <f aca="false">F22</f>
        <v>46277</v>
      </c>
      <c r="G51" s="58" t="n">
        <f aca="false">G32</f>
        <v>46337</v>
      </c>
      <c r="H51" s="54" t="n">
        <f aca="false">G51-F51+1</f>
        <v>61</v>
      </c>
      <c r="I51" s="19" t="s">
        <v>787</v>
      </c>
      <c r="J51" s="19"/>
    </row>
    <row r="53" customFormat="false" ht="21" hidden="false" customHeight="true" outlineLevel="0" collapsed="false">
      <c r="A53" s="15" t="s">
        <v>788</v>
      </c>
      <c r="B53" s="15"/>
      <c r="C53" s="15"/>
      <c r="D53" s="15"/>
      <c r="E53" s="15"/>
      <c r="F53" s="15"/>
      <c r="G53" s="15"/>
      <c r="H53" s="15"/>
      <c r="I53" s="15"/>
      <c r="J53" s="15"/>
    </row>
    <row r="54" customFormat="false" ht="43.5" hidden="false" customHeight="true" outlineLevel="0" collapsed="false">
      <c r="A54" s="11" t="s">
        <v>789</v>
      </c>
      <c r="B54" s="11"/>
      <c r="C54" s="11"/>
      <c r="D54" s="11"/>
      <c r="E54" s="11"/>
      <c r="F54" s="11"/>
      <c r="G54" s="11"/>
      <c r="H54" s="11"/>
      <c r="I54" s="11"/>
      <c r="J54" s="11"/>
    </row>
    <row r="55" customFormat="false" ht="42" hidden="false" customHeight="true" outlineLevel="0" collapsed="false">
      <c r="A55" s="13" t="s">
        <v>92</v>
      </c>
      <c r="B55" s="13" t="s">
        <v>790</v>
      </c>
      <c r="C55" s="13" t="s">
        <v>37</v>
      </c>
      <c r="D55" s="13" t="s">
        <v>39</v>
      </c>
      <c r="E55" s="13" t="s">
        <v>791</v>
      </c>
      <c r="F55" s="13" t="s">
        <v>792</v>
      </c>
      <c r="G55" s="13" t="s">
        <v>793</v>
      </c>
      <c r="H55" s="13" t="s">
        <v>794</v>
      </c>
      <c r="I55" s="13" t="s">
        <v>795</v>
      </c>
      <c r="J55" s="13" t="s">
        <v>796</v>
      </c>
    </row>
    <row r="56" customFormat="false" ht="30" hidden="false" customHeight="true" outlineLevel="0" collapsed="false">
      <c r="A56" s="16" t="s">
        <v>94</v>
      </c>
      <c r="B56" s="17" t="str">
        <f aca="false">'Build-Up'!B9</f>
        <v>Site engineer - dedicated to the tank site</v>
      </c>
      <c r="C56" s="16" t="str">
        <f aca="false">'Build-Up'!C9</f>
        <v>month</v>
      </c>
      <c r="D56" s="18" t="n">
        <f aca="false">'Build-Up'!E9</f>
        <v>12000</v>
      </c>
      <c r="E56" s="18" t="n">
        <v>3</v>
      </c>
      <c r="F56" s="18" t="n">
        <f aca="false">ROUND(E45/$C$15,1)</f>
        <v>4.2</v>
      </c>
      <c r="G56" s="20" t="n">
        <f aca="false">ROUND(H45/$C$15,1)</f>
        <v>4.1</v>
      </c>
      <c r="H56" s="18" t="n">
        <f aca="false">ROUND(F56*D56,2)</f>
        <v>50400</v>
      </c>
      <c r="I56" s="18" t="n">
        <f aca="false">ROUND(G56*D56,2)</f>
        <v>49200</v>
      </c>
      <c r="J56" s="19" t="s">
        <v>797</v>
      </c>
    </row>
    <row r="57" customFormat="false" ht="30" hidden="false" customHeight="true" outlineLevel="0" collapsed="false">
      <c r="A57" s="16" t="s">
        <v>98</v>
      </c>
      <c r="B57" s="17" t="str">
        <f aca="false">'Build-Up'!B10</f>
        <v>HSE officer - dedicated</v>
      </c>
      <c r="C57" s="16" t="str">
        <f aca="false">'Build-Up'!C10</f>
        <v>month</v>
      </c>
      <c r="D57" s="18" t="n">
        <f aca="false">'Build-Up'!E10</f>
        <v>10000</v>
      </c>
      <c r="E57" s="18" t="n">
        <v>3</v>
      </c>
      <c r="F57" s="18" t="n">
        <f aca="false">ROUND(E45/$C$15,1)</f>
        <v>4.2</v>
      </c>
      <c r="G57" s="20" t="n">
        <f aca="false">ROUND(H45/$C$15,1)</f>
        <v>4.1</v>
      </c>
      <c r="H57" s="18" t="n">
        <f aca="false">ROUND(F57*D57,2)</f>
        <v>42000</v>
      </c>
      <c r="I57" s="18" t="n">
        <f aca="false">ROUND(G57*D57,2)</f>
        <v>41000</v>
      </c>
      <c r="J57" s="19" t="s">
        <v>797</v>
      </c>
    </row>
    <row r="58" customFormat="false" ht="30" hidden="false" customHeight="true" outlineLevel="0" collapsed="false">
      <c r="A58" s="16" t="s">
        <v>101</v>
      </c>
      <c r="B58" s="17" t="str">
        <f aca="false">'Build-Up'!B11</f>
        <v>QA/QC inspector - dedicated (daily inspections, ITPs and WIRs during erection)</v>
      </c>
      <c r="C58" s="16" t="str">
        <f aca="false">'Build-Up'!C11</f>
        <v>month</v>
      </c>
      <c r="D58" s="18" t="n">
        <f aca="false">'Build-Up'!E11</f>
        <v>10000</v>
      </c>
      <c r="E58" s="18" t="n">
        <v>3</v>
      </c>
      <c r="F58" s="18" t="n">
        <f aca="false">ROUND(E45/$C$15,1)</f>
        <v>4.2</v>
      </c>
      <c r="G58" s="20" t="n">
        <f aca="false">ROUND(H45/$C$15,1)</f>
        <v>4.1</v>
      </c>
      <c r="H58" s="18" t="n">
        <f aca="false">ROUND(F58*D58,2)</f>
        <v>42000</v>
      </c>
      <c r="I58" s="18" t="n">
        <f aca="false">ROUND(G58*D58,2)</f>
        <v>41000</v>
      </c>
      <c r="J58" s="19" t="s">
        <v>797</v>
      </c>
    </row>
    <row r="59" customFormat="false" ht="30" hidden="false" customHeight="true" outlineLevel="0" collapsed="false">
      <c r="A59" s="16" t="s">
        <v>104</v>
      </c>
      <c r="B59" s="17" t="str">
        <f aca="false">'Build-Up'!B12</f>
        <v>Works foreman - dedicated</v>
      </c>
      <c r="C59" s="16" t="str">
        <f aca="false">'Build-Up'!C12</f>
        <v>month</v>
      </c>
      <c r="D59" s="18" t="n">
        <f aca="false">'Build-Up'!E12</f>
        <v>8000</v>
      </c>
      <c r="E59" s="18" t="n">
        <v>3</v>
      </c>
      <c r="F59" s="18" t="n">
        <f aca="false">ROUND(E45/$C$15,1)</f>
        <v>4.2</v>
      </c>
      <c r="G59" s="20" t="n">
        <f aca="false">ROUND(H45/$C$15,1)</f>
        <v>4.1</v>
      </c>
      <c r="H59" s="18" t="n">
        <f aca="false">ROUND(F59*D59,2)</f>
        <v>33600</v>
      </c>
      <c r="I59" s="18" t="n">
        <f aca="false">ROUND(G59*D59,2)</f>
        <v>32800</v>
      </c>
      <c r="J59" s="19" t="s">
        <v>797</v>
      </c>
    </row>
    <row r="60" customFormat="false" ht="30" hidden="false" customHeight="true" outlineLevel="0" collapsed="false">
      <c r="A60" s="16" t="s">
        <v>106</v>
      </c>
      <c r="B60" s="17" t="str">
        <f aca="false">'Build-Up'!B13</f>
        <v>Storekeeper / timekeeper</v>
      </c>
      <c r="C60" s="16" t="str">
        <f aca="false">'Build-Up'!C13</f>
        <v>month</v>
      </c>
      <c r="D60" s="18" t="n">
        <f aca="false">'Build-Up'!E13</f>
        <v>4000</v>
      </c>
      <c r="E60" s="18" t="n">
        <v>3</v>
      </c>
      <c r="F60" s="18" t="n">
        <f aca="false">ROUND(E45/$C$15,1)</f>
        <v>4.2</v>
      </c>
      <c r="G60" s="20" t="n">
        <f aca="false">ROUND(H45/$C$15,1)</f>
        <v>4.1</v>
      </c>
      <c r="H60" s="18" t="n">
        <f aca="false">ROUND(F60*D60,2)</f>
        <v>16800</v>
      </c>
      <c r="I60" s="18" t="n">
        <f aca="false">ROUND(G60*D60,2)</f>
        <v>16400</v>
      </c>
      <c r="J60" s="19" t="s">
        <v>797</v>
      </c>
    </row>
    <row r="61" customFormat="false" ht="30" hidden="false" customHeight="true" outlineLevel="0" collapsed="false">
      <c r="A61" s="16" t="s">
        <v>109</v>
      </c>
      <c r="B61" s="17" t="str">
        <f aca="false">'Build-Up'!B14</f>
        <v>Site office porta cabin, air-conditioned, rental with electricity connection and maintenance</v>
      </c>
      <c r="C61" s="16" t="str">
        <f aca="false">'Build-Up'!C14</f>
        <v>month</v>
      </c>
      <c r="D61" s="18" t="n">
        <f aca="false">'Build-Up'!E14</f>
        <v>2200</v>
      </c>
      <c r="E61" s="18" t="n">
        <v>3</v>
      </c>
      <c r="F61" s="18" t="n">
        <f aca="false">ROUND(E45/$C$15,1)</f>
        <v>4.2</v>
      </c>
      <c r="G61" s="20" t="n">
        <f aca="false">ROUND(H45/$C$15,1)</f>
        <v>4.1</v>
      </c>
      <c r="H61" s="18" t="n">
        <f aca="false">ROUND(F61*D61,2)</f>
        <v>9240</v>
      </c>
      <c r="I61" s="18" t="n">
        <f aca="false">ROUND(G61*D61,2)</f>
        <v>9020</v>
      </c>
      <c r="J61" s="19" t="s">
        <v>798</v>
      </c>
    </row>
    <row r="62" customFormat="false" ht="30" hidden="false" customHeight="true" outlineLevel="0" collapsed="false">
      <c r="A62" s="16" t="s">
        <v>112</v>
      </c>
      <c r="B62" s="17" t="str">
        <f aca="false">'Build-Up'!B15</f>
        <v>Rest and welfare porta cabin, air-conditioned, rental with electricity connection and maintenance</v>
      </c>
      <c r="C62" s="16" t="str">
        <f aca="false">'Build-Up'!C15</f>
        <v>month</v>
      </c>
      <c r="D62" s="18" t="n">
        <f aca="false">'Build-Up'!E15</f>
        <v>2200</v>
      </c>
      <c r="E62" s="18" t="n">
        <v>3</v>
      </c>
      <c r="F62" s="18" t="n">
        <f aca="false">ROUND(E45/$C$15,1)</f>
        <v>4.2</v>
      </c>
      <c r="G62" s="20" t="n">
        <f aca="false">ROUND(H45/$C$15,1)</f>
        <v>4.1</v>
      </c>
      <c r="H62" s="18" t="n">
        <f aca="false">ROUND(F62*D62,2)</f>
        <v>9240</v>
      </c>
      <c r="I62" s="18" t="n">
        <f aca="false">ROUND(G62*D62,2)</f>
        <v>9020</v>
      </c>
      <c r="J62" s="19" t="s">
        <v>798</v>
      </c>
    </row>
    <row r="63" customFormat="false" ht="30" hidden="false" customHeight="true" outlineLevel="0" collapsed="false">
      <c r="A63" s="16" t="s">
        <v>114</v>
      </c>
      <c r="B63" s="17" t="str">
        <f aca="false">'Build-Up'!B16</f>
        <v>WC unit, rental with servicing</v>
      </c>
      <c r="C63" s="16" t="str">
        <f aca="false">'Build-Up'!C16</f>
        <v>month</v>
      </c>
      <c r="D63" s="18" t="n">
        <f aca="false">'Build-Up'!E16</f>
        <v>1300</v>
      </c>
      <c r="E63" s="18" t="n">
        <v>3</v>
      </c>
      <c r="F63" s="18" t="n">
        <f aca="false">ROUND(E45/$C$15,1)</f>
        <v>4.2</v>
      </c>
      <c r="G63" s="20" t="n">
        <f aca="false">ROUND(H45/$C$15,1)</f>
        <v>4.1</v>
      </c>
      <c r="H63" s="18" t="n">
        <f aca="false">ROUND(F63*D63,2)</f>
        <v>5460</v>
      </c>
      <c r="I63" s="18" t="n">
        <f aca="false">ROUND(G63*D63,2)</f>
        <v>5330</v>
      </c>
      <c r="J63" s="19" t="s">
        <v>798</v>
      </c>
    </row>
    <row r="64" customFormat="false" ht="30" hidden="false" customHeight="true" outlineLevel="0" collapsed="false">
      <c r="A64" s="16" t="s">
        <v>116</v>
      </c>
      <c r="B64" s="17" t="str">
        <f aca="false">'Build-Up'!B17</f>
        <v>Site water supply - tankered deliveries for welfare and general site use, whole period</v>
      </c>
      <c r="C64" s="16" t="str">
        <f aca="false">'Build-Up'!C17</f>
        <v>delivery</v>
      </c>
      <c r="D64" s="18" t="n">
        <f aca="false">'Build-Up'!E17</f>
        <v>350</v>
      </c>
      <c r="E64" s="18" t="n">
        <v>26</v>
      </c>
      <c r="F64" s="18" t="n">
        <f aca="false">2*ROUNDUP(E45/7,0)</f>
        <v>38</v>
      </c>
      <c r="G64" s="20" t="n">
        <f aca="false">2*ROUNDUP(H45/7,0)</f>
        <v>36</v>
      </c>
      <c r="H64" s="18" t="n">
        <f aca="false">ROUND(F64*D64,2)</f>
        <v>13300</v>
      </c>
      <c r="I64" s="18" t="n">
        <f aca="false">ROUND(G64*D64,2)</f>
        <v>12600</v>
      </c>
      <c r="J64" s="19" t="s">
        <v>799</v>
      </c>
    </row>
    <row r="65" customFormat="false" ht="30" hidden="false" customHeight="true" outlineLevel="0" collapsed="false">
      <c r="A65" s="16" t="s">
        <v>120</v>
      </c>
      <c r="B65" s="17" t="str">
        <f aca="false">'Build-Up'!B18</f>
        <v>Site water storage tank, hire</v>
      </c>
      <c r="C65" s="16" t="str">
        <f aca="false">'Build-Up'!C18</f>
        <v>month</v>
      </c>
      <c r="D65" s="18" t="n">
        <f aca="false">'Build-Up'!E18</f>
        <v>350</v>
      </c>
      <c r="E65" s="18" t="n">
        <v>3</v>
      </c>
      <c r="F65" s="18" t="n">
        <f aca="false">ROUND(E45/$C$15,1)</f>
        <v>4.2</v>
      </c>
      <c r="G65" s="20" t="n">
        <f aca="false">ROUND(H45/$C$15,1)</f>
        <v>4.1</v>
      </c>
      <c r="H65" s="18" t="n">
        <f aca="false">ROUND(F65*D65,2)</f>
        <v>1470</v>
      </c>
      <c r="I65" s="18" t="n">
        <f aca="false">ROUND(G65*D65,2)</f>
        <v>1435</v>
      </c>
      <c r="J65" s="19" t="s">
        <v>798</v>
      </c>
    </row>
    <row r="66" customFormat="false" ht="30" hidden="false" customHeight="true" outlineLevel="0" collapsed="false">
      <c r="A66" s="16" t="s">
        <v>122</v>
      </c>
      <c r="B66" s="17" t="str">
        <f aca="false">'Build-Up'!B19</f>
        <v>Storage containers, 2 No. for the panel storage window (RFP Scope of Works, work package 1 - pre-construction and setup: safe storage of panels)</v>
      </c>
      <c r="C66" s="16" t="str">
        <f aca="false">'Build-Up'!C19</f>
        <v>container-month</v>
      </c>
      <c r="D66" s="18" t="n">
        <f aca="false">'Build-Up'!E19</f>
        <v>1200</v>
      </c>
      <c r="E66" s="18" t="n">
        <v>6</v>
      </c>
      <c r="F66" s="18" t="n">
        <f aca="false">2*ROUND(E51/$C$15,1)</f>
        <v>5.6</v>
      </c>
      <c r="G66" s="20" t="n">
        <f aca="false">2*ROUND(H51/$C$15,1)</f>
        <v>4</v>
      </c>
      <c r="H66" s="18" t="n">
        <f aca="false">ROUND(F66*D66,2)</f>
        <v>6720</v>
      </c>
      <c r="I66" s="18" t="n">
        <f aca="false">ROUND(G66*D66,2)</f>
        <v>4800</v>
      </c>
      <c r="J66" s="19" t="s">
        <v>800</v>
      </c>
    </row>
    <row r="67" customFormat="false" ht="54.75" hidden="false" customHeight="true" outlineLevel="0" collapsed="false">
      <c r="A67" s="16" t="s">
        <v>126</v>
      </c>
      <c r="B67" s="17" t="str">
        <f aca="false">'Build-Up'!B20</f>
        <v>Workforce transport to the tank site, daily bus</v>
      </c>
      <c r="C67" s="16" t="str">
        <f aca="false">'Build-Up'!C20</f>
        <v>month</v>
      </c>
      <c r="D67" s="18" t="n">
        <f aca="false">'Build-Up'!E20</f>
        <v>4000</v>
      </c>
      <c r="E67" s="18" t="n">
        <v>3</v>
      </c>
      <c r="F67" s="18" t="n">
        <f aca="false">ROUND(E45/$C$15,1)</f>
        <v>4.2</v>
      </c>
      <c r="G67" s="20" t="n">
        <f aca="false">ROUND(H45/$C$15,1)</f>
        <v>4.1</v>
      </c>
      <c r="H67" s="18" t="n">
        <f aca="false">ROUND(F67*D67,2)</f>
        <v>16800</v>
      </c>
      <c r="I67" s="18" t="n">
        <f aca="false">ROUND(G67*D67,2)</f>
        <v>16400</v>
      </c>
      <c r="J67" s="19" t="s">
        <v>801</v>
      </c>
    </row>
    <row r="68" customFormat="false" ht="30" hidden="false" customHeight="true" outlineLevel="0" collapsed="false">
      <c r="A68" s="16" t="s">
        <v>129</v>
      </c>
      <c r="B68" s="17" t="str">
        <f aca="false">'Build-Up'!B21</f>
        <v>Watchman for the tank site</v>
      </c>
      <c r="C68" s="16" t="str">
        <f aca="false">'Build-Up'!C21</f>
        <v>month</v>
      </c>
      <c r="D68" s="18" t="n">
        <f aca="false">'Build-Up'!E21</f>
        <v>4500</v>
      </c>
      <c r="E68" s="18" t="n">
        <v>3</v>
      </c>
      <c r="F68" s="18" t="n">
        <f aca="false">ROUND(E45/$C$15,1)</f>
        <v>4.2</v>
      </c>
      <c r="G68" s="20" t="n">
        <f aca="false">ROUND(H45/$C$15,1)</f>
        <v>4.1</v>
      </c>
      <c r="H68" s="18" t="n">
        <f aca="false">ROUND(F68*D68,2)</f>
        <v>18900</v>
      </c>
      <c r="I68" s="18" t="n">
        <f aca="false">ROUND(G68*D68,2)</f>
        <v>18450</v>
      </c>
      <c r="J68" s="19" t="s">
        <v>802</v>
      </c>
    </row>
    <row r="69" customFormat="false" ht="30" hidden="false" customHeight="true" outlineLevel="0" collapsed="false">
      <c r="A69" s="16" t="s">
        <v>230</v>
      </c>
      <c r="B69" s="17" t="str">
        <f aca="false">'Build-Up'!B74</f>
        <v>Boom truck (hiab) - offloading and erection support</v>
      </c>
      <c r="C69" s="16" t="str">
        <f aca="false">'Build-Up'!C74</f>
        <v>day</v>
      </c>
      <c r="D69" s="18" t="n">
        <f aca="false">'Build-Up'!E74</f>
        <v>1200</v>
      </c>
      <c r="E69" s="18" t="n">
        <v>50</v>
      </c>
      <c r="F69" s="18" t="n">
        <f aca="false">(E48+E49)</f>
        <v>66</v>
      </c>
      <c r="G69" s="20" t="n">
        <f aca="false">(H48+H49)</f>
        <v>47</v>
      </c>
      <c r="H69" s="18" t="n">
        <f aca="false">ROUND(F69*D69,2)</f>
        <v>79200</v>
      </c>
      <c r="I69" s="18" t="n">
        <f aca="false">ROUND(G69*D69,2)</f>
        <v>56400</v>
      </c>
      <c r="J69" s="19" t="s">
        <v>803</v>
      </c>
    </row>
    <row r="70" customFormat="false" ht="30" hidden="false" customHeight="true" outlineLevel="0" collapsed="false">
      <c r="A70" s="16" t="s">
        <v>233</v>
      </c>
      <c r="B70" s="17" t="str">
        <f aca="false">'Build-Up'!B75</f>
        <v>Telehandler / forklift</v>
      </c>
      <c r="C70" s="16" t="str">
        <f aca="false">'Build-Up'!C75</f>
        <v>day</v>
      </c>
      <c r="D70" s="18" t="n">
        <f aca="false">'Build-Up'!E75</f>
        <v>900</v>
      </c>
      <c r="E70" s="18" t="n">
        <v>50</v>
      </c>
      <c r="F70" s="18" t="n">
        <f aca="false">(E48+E49)</f>
        <v>66</v>
      </c>
      <c r="G70" s="20" t="n">
        <f aca="false">(H48+H49)</f>
        <v>47</v>
      </c>
      <c r="H70" s="18" t="n">
        <f aca="false">ROUND(F70*D70,2)</f>
        <v>59400</v>
      </c>
      <c r="I70" s="18" t="n">
        <f aca="false">ROUND(G70*D70,2)</f>
        <v>42300</v>
      </c>
      <c r="J70" s="19" t="s">
        <v>804</v>
      </c>
    </row>
    <row r="71" customFormat="false" ht="30" hidden="false" customHeight="true" outlineLevel="0" collapsed="false">
      <c r="A71" s="16" t="s">
        <v>240</v>
      </c>
      <c r="B71" s="17" t="str">
        <f aca="false">'Build-Up'!B77</f>
        <v>Mobile aluminium access towers, 2 No. for the access window, whole hire months</v>
      </c>
      <c r="C71" s="16" t="str">
        <f aca="false">'Build-Up'!C77</f>
        <v>tower-month</v>
      </c>
      <c r="D71" s="18" t="n">
        <f aca="false">'Build-Up'!E77</f>
        <v>1800</v>
      </c>
      <c r="E71" s="18" t="n">
        <v>6</v>
      </c>
      <c r="F71" s="18" t="n">
        <f aca="false">2*ROUNDUP(E50/$C$15,0)</f>
        <v>4</v>
      </c>
      <c r="G71" s="20" t="n">
        <f aca="false">2*ROUNDUP(H50/$C$15,0)</f>
        <v>4</v>
      </c>
      <c r="H71" s="18" t="n">
        <f aca="false">ROUND(F71*D71,2)</f>
        <v>7200</v>
      </c>
      <c r="I71" s="18" t="n">
        <f aca="false">ROUND(G71*D71,2)</f>
        <v>7200</v>
      </c>
      <c r="J71" s="19" t="s">
        <v>805</v>
      </c>
    </row>
    <row r="72" customFormat="false" ht="30" hidden="false" customHeight="true" outlineLevel="0" collapsed="false">
      <c r="A72" s="16" t="s">
        <v>246</v>
      </c>
      <c r="B72" s="17" t="str">
        <f aca="false">'Build-Up'!B79</f>
        <v>Podium steps, 2 No. for the access window, whole hire months</v>
      </c>
      <c r="C72" s="16" t="str">
        <f aca="false">'Build-Up'!C79</f>
        <v>unit-month</v>
      </c>
      <c r="D72" s="18" t="n">
        <f aca="false">'Build-Up'!E79</f>
        <v>350</v>
      </c>
      <c r="E72" s="18" t="n">
        <v>6</v>
      </c>
      <c r="F72" s="18" t="n">
        <f aca="false">2*ROUNDUP(E50/$C$15,0)</f>
        <v>4</v>
      </c>
      <c r="G72" s="20" t="n">
        <f aca="false">2*ROUNDUP(H50/$C$15,0)</f>
        <v>4</v>
      </c>
      <c r="H72" s="18" t="n">
        <f aca="false">ROUND(F72*D72,2)</f>
        <v>1400</v>
      </c>
      <c r="I72" s="18" t="n">
        <f aca="false">ROUND(G72*D72,2)</f>
        <v>1400</v>
      </c>
      <c r="J72" s="19" t="s">
        <v>806</v>
      </c>
    </row>
    <row r="73" customFormat="false" ht="30" hidden="false" customHeight="true" outlineLevel="0" collapsed="false">
      <c r="A73" s="16" t="s">
        <v>250</v>
      </c>
      <c r="B73" s="17" t="str">
        <f aca="false">'Build-Up'!B80</f>
        <v>Generator 100 kVA for the works, daytime running with fuel</v>
      </c>
      <c r="C73" s="16" t="str">
        <f aca="false">'Build-Up'!C80</f>
        <v>month</v>
      </c>
      <c r="D73" s="18" t="n">
        <f aca="false">'Build-Up'!E80</f>
        <v>11000</v>
      </c>
      <c r="E73" s="18" t="n">
        <v>3</v>
      </c>
      <c r="F73" s="18" t="n">
        <f aca="false">ROUND(E46/$C$15,1)</f>
        <v>3.9</v>
      </c>
      <c r="G73" s="20" t="n">
        <f aca="false">ROUND(H46/$C$15,1)</f>
        <v>3.8</v>
      </c>
      <c r="H73" s="18" t="n">
        <f aca="false">ROUND(F73*D73,2)</f>
        <v>42900</v>
      </c>
      <c r="I73" s="18" t="n">
        <f aca="false">ROUND(G73*D73,2)</f>
        <v>41800</v>
      </c>
      <c r="J73" s="19" t="s">
        <v>807</v>
      </c>
    </row>
    <row r="74" customFormat="false" ht="30" hidden="false" customHeight="true" outlineLevel="0" collapsed="false">
      <c r="A74" s="16" t="s">
        <v>253</v>
      </c>
      <c r="B74" s="17" t="str">
        <f aca="false">'Build-Up'!B81</f>
        <v>Generator 30 kVA for the site office and welfare cabins, continuous running with fuel, whole period</v>
      </c>
      <c r="C74" s="16" t="str">
        <f aca="false">'Build-Up'!C81</f>
        <v>month</v>
      </c>
      <c r="D74" s="18" t="n">
        <f aca="false">'Build-Up'!E81</f>
        <v>6000</v>
      </c>
      <c r="E74" s="18" t="n">
        <v>3</v>
      </c>
      <c r="F74" s="18" t="n">
        <f aca="false">ROUND(E45/$C$15,1)</f>
        <v>4.2</v>
      </c>
      <c r="G74" s="20" t="n">
        <f aca="false">ROUND(H45/$C$15,1)</f>
        <v>4.1</v>
      </c>
      <c r="H74" s="18" t="n">
        <f aca="false">ROUND(F74*D74,2)</f>
        <v>25200</v>
      </c>
      <c r="I74" s="18" t="n">
        <f aca="false">ROUND(G74*D74,2)</f>
        <v>24600</v>
      </c>
      <c r="J74" s="19" t="s">
        <v>808</v>
      </c>
    </row>
    <row r="75" customFormat="false" ht="30" hidden="false" customHeight="true" outlineLevel="0" collapsed="false">
      <c r="A75" s="16" t="s">
        <v>256</v>
      </c>
      <c r="B75" s="17" t="str">
        <f aca="false">'Build-Up'!B82</f>
        <v>Site transport, pick-up / flatbed</v>
      </c>
      <c r="C75" s="16" t="str">
        <f aca="false">'Build-Up'!C82</f>
        <v>month</v>
      </c>
      <c r="D75" s="18" t="n">
        <f aca="false">'Build-Up'!E82</f>
        <v>3000</v>
      </c>
      <c r="E75" s="18" t="n">
        <v>3</v>
      </c>
      <c r="F75" s="18" t="n">
        <f aca="false">ROUND(E45/$C$15,1)</f>
        <v>4.2</v>
      </c>
      <c r="G75" s="20" t="n">
        <f aca="false">ROUND(H45/$C$15,1)</f>
        <v>4.1</v>
      </c>
      <c r="H75" s="18" t="n">
        <f aca="false">ROUND(F75*D75,2)</f>
        <v>12600</v>
      </c>
      <c r="I75" s="18" t="n">
        <f aca="false">ROUND(G75*D75,2)</f>
        <v>12300</v>
      </c>
      <c r="J75" s="19" t="s">
        <v>809</v>
      </c>
    </row>
    <row r="76" customFormat="false" ht="54.75" hidden="false" customHeight="true" outlineLevel="0" collapsed="false">
      <c r="A76" s="16" t="s">
        <v>259</v>
      </c>
      <c r="B76" s="17" t="str">
        <f aca="false">'Build-Up'!B83</f>
        <v>Attendance labour for the tank supplier - 5 No. helpers for the erection window</v>
      </c>
      <c r="C76" s="16" t="str">
        <f aca="false">'Build-Up'!C83</f>
        <v>man-month</v>
      </c>
      <c r="D76" s="18" t="n">
        <f aca="false">'Build-Up'!E83</f>
        <v>3000</v>
      </c>
      <c r="E76" s="18" t="n">
        <v>15</v>
      </c>
      <c r="F76" s="18" t="n">
        <f aca="false">5*ROUND(E47/$C$15,1)</f>
        <v>13.5</v>
      </c>
      <c r="G76" s="20" t="n">
        <f aca="false">5*ROUND(H47/$C$15,1)</f>
        <v>10.5</v>
      </c>
      <c r="H76" s="18" t="n">
        <f aca="false">ROUND(F76*D76,2)</f>
        <v>40500</v>
      </c>
      <c r="I76" s="18" t="n">
        <f aca="false">ROUND(G76*D76,2)</f>
        <v>31500</v>
      </c>
      <c r="J76" s="19" t="s">
        <v>810</v>
      </c>
    </row>
    <row r="77" customFormat="false" ht="30" hidden="false" customHeight="true" outlineLevel="0" collapsed="false">
      <c r="A77" s="16" t="s">
        <v>263</v>
      </c>
      <c r="B77" s="17" t="str">
        <f aca="false">'Build-Up'!B84</f>
        <v>Power-tool hire</v>
      </c>
      <c r="C77" s="16" t="str">
        <f aca="false">'Build-Up'!C84</f>
        <v>month</v>
      </c>
      <c r="D77" s="18" t="n">
        <f aca="false">'Build-Up'!E84</f>
        <v>2500</v>
      </c>
      <c r="E77" s="18" t="n">
        <v>3</v>
      </c>
      <c r="F77" s="18" t="n">
        <f aca="false">ROUND(E47/$C$15,1)</f>
        <v>2.7</v>
      </c>
      <c r="G77" s="20" t="n">
        <f aca="false">ROUND(H47/$C$15,1)</f>
        <v>2.1</v>
      </c>
      <c r="H77" s="18" t="n">
        <f aca="false">ROUND(F77*D77,2)</f>
        <v>6750</v>
      </c>
      <c r="I77" s="18" t="n">
        <f aca="false">ROUND(G77*D77,2)</f>
        <v>5250</v>
      </c>
      <c r="J77" s="19" t="s">
        <v>811</v>
      </c>
    </row>
    <row r="78" customFormat="false" ht="30" hidden="false" customHeight="true" outlineLevel="0" collapsed="false">
      <c r="A78" s="16" t="s">
        <v>270</v>
      </c>
      <c r="B78" s="17" t="str">
        <f aca="false">'Build-Up'!B87</f>
        <v>Mobile lighting towers, 2 No. for the erection window</v>
      </c>
      <c r="C78" s="16" t="str">
        <f aca="false">'Build-Up'!C87</f>
        <v>unit-month</v>
      </c>
      <c r="D78" s="18" t="n">
        <f aca="false">'Build-Up'!E87</f>
        <v>1200</v>
      </c>
      <c r="E78" s="18" t="n">
        <v>6</v>
      </c>
      <c r="F78" s="18" t="n">
        <f aca="false">2*ROUND(E47/$C$15,1)</f>
        <v>5.4</v>
      </c>
      <c r="G78" s="20" t="n">
        <f aca="false">2*ROUND(H47/$C$15,1)</f>
        <v>4.2</v>
      </c>
      <c r="H78" s="18" t="n">
        <f aca="false">ROUND(F78*D78,2)</f>
        <v>6480</v>
      </c>
      <c r="I78" s="18" t="n">
        <f aca="false">ROUND(G78*D78,2)</f>
        <v>5040</v>
      </c>
      <c r="J78" s="19" t="s">
        <v>812</v>
      </c>
    </row>
    <row r="79" customFormat="false" ht="54.75" hidden="false" customHeight="true" outlineLevel="0" collapsed="false">
      <c r="A79" s="16" t="s">
        <v>284</v>
      </c>
      <c r="B79" s="17" t="str">
        <f aca="false">'Build-Up'!B100</f>
        <v>Test water - first tank fill to test level</v>
      </c>
      <c r="C79" s="16" t="str">
        <f aca="false">'Build-Up'!C100</f>
        <v>m3</v>
      </c>
      <c r="D79" s="18" t="n">
        <f aca="false">'Build-Up'!E100</f>
        <v>6</v>
      </c>
      <c r="E79" s="18" t="n">
        <v>3774</v>
      </c>
      <c r="F79" s="18" t="n">
        <f aca="false">2*3774</f>
        <v>7548</v>
      </c>
      <c r="G79" s="20" t="n">
        <f aca="false">3774</f>
        <v>3774</v>
      </c>
      <c r="H79" s="18" t="n">
        <f aca="false">ROUND(F79*D79,2)</f>
        <v>45288</v>
      </c>
      <c r="I79" s="18" t="n">
        <f aca="false">ROUND(G79*D79,2)</f>
        <v>22644</v>
      </c>
      <c r="J79" s="19" t="s">
        <v>813</v>
      </c>
    </row>
    <row r="80" customFormat="false" ht="30" hidden="false" customHeight="true" outlineLevel="0" collapsed="false">
      <c r="A80" s="16" t="s">
        <v>287</v>
      </c>
      <c r="B80" s="17" t="str">
        <f aca="false">'Build-Up'!B101</f>
        <v>Transfer pump hire - Tank 1 to Tank 2</v>
      </c>
      <c r="C80" s="16" t="str">
        <f aca="false">'Build-Up'!C101</f>
        <v>day</v>
      </c>
      <c r="D80" s="18" t="n">
        <f aca="false">'Build-Up'!E101</f>
        <v>500</v>
      </c>
      <c r="E80" s="18" t="n">
        <v>7</v>
      </c>
      <c r="F80" s="18" t="n">
        <f aca="false">0</f>
        <v>0</v>
      </c>
      <c r="G80" s="20" t="n">
        <f aca="false">7</f>
        <v>7</v>
      </c>
      <c r="H80" s="18" t="n">
        <f aca="false">ROUND(F80*D80,2)</f>
        <v>0</v>
      </c>
      <c r="I80" s="18" t="n">
        <f aca="false">ROUND(G80*D80,2)</f>
        <v>3500</v>
      </c>
      <c r="J80" s="19" t="s">
        <v>814</v>
      </c>
    </row>
    <row r="81" customFormat="false" ht="30" hidden="false" customHeight="true" outlineLevel="0" collapsed="false">
      <c r="A81" s="16" t="s">
        <v>290</v>
      </c>
      <c r="B81" s="17" t="str">
        <f aca="false">'Build-Up'!B102</f>
        <v>Transfer hoses and fittings hire</v>
      </c>
      <c r="C81" s="16" t="str">
        <f aca="false">'Build-Up'!C102</f>
        <v>week</v>
      </c>
      <c r="D81" s="18" t="n">
        <f aca="false">'Build-Up'!E102</f>
        <v>1000</v>
      </c>
      <c r="E81" s="18" t="n">
        <v>1</v>
      </c>
      <c r="F81" s="18" t="n">
        <f aca="false">0</f>
        <v>0</v>
      </c>
      <c r="G81" s="20" t="n">
        <f aca="false">1</f>
        <v>1</v>
      </c>
      <c r="H81" s="18" t="n">
        <f aca="false">ROUND(F81*D81,2)</f>
        <v>0</v>
      </c>
      <c r="I81" s="18" t="n">
        <f aca="false">ROUND(G81*D81,2)</f>
        <v>1000</v>
      </c>
      <c r="J81" s="19" t="s">
        <v>815</v>
      </c>
    </row>
    <row r="82" customFormat="false" ht="30" hidden="false" customHeight="true" outlineLevel="0" collapsed="false">
      <c r="A82" s="16" t="s">
        <v>293</v>
      </c>
      <c r="B82" s="17" t="str">
        <f aca="false">'Build-Up'!B103</f>
        <v>Transfer labour, 2 No. x 3 days</v>
      </c>
      <c r="C82" s="16" t="str">
        <f aca="false">'Build-Up'!C103</f>
        <v>man-day</v>
      </c>
      <c r="D82" s="18" t="n">
        <f aca="false">'Build-Up'!E103</f>
        <v>150</v>
      </c>
      <c r="E82" s="18" t="n">
        <v>6</v>
      </c>
      <c r="F82" s="18" t="n">
        <f aca="false">0</f>
        <v>0</v>
      </c>
      <c r="G82" s="20" t="n">
        <f aca="false">6</f>
        <v>6</v>
      </c>
      <c r="H82" s="18" t="n">
        <f aca="false">ROUND(F82*D82,2)</f>
        <v>0</v>
      </c>
      <c r="I82" s="18" t="n">
        <f aca="false">ROUND(G82*D82,2)</f>
        <v>900</v>
      </c>
      <c r="J82" s="19" t="s">
        <v>816</v>
      </c>
    </row>
    <row r="83" customFormat="false" ht="42" hidden="false" customHeight="true" outlineLevel="0" collapsed="false">
      <c r="A83" s="16" t="s">
        <v>296</v>
      </c>
      <c r="B83" s="17" t="str">
        <f aca="false">'Build-Up'!B104</f>
        <v>Top-up water for losses and test level</v>
      </c>
      <c r="C83" s="16" t="str">
        <f aca="false">'Build-Up'!C104</f>
        <v>m3</v>
      </c>
      <c r="D83" s="18" t="n">
        <f aca="false">'Build-Up'!E104</f>
        <v>6</v>
      </c>
      <c r="E83" s="18" t="n">
        <v>377</v>
      </c>
      <c r="F83" s="18" t="n">
        <f aca="false">ROUND(2*3774*0.1,0)</f>
        <v>755</v>
      </c>
      <c r="G83" s="20" t="n">
        <f aca="false">ROUND(3774*0.1,0)</f>
        <v>377</v>
      </c>
      <c r="H83" s="18" t="n">
        <f aca="false">ROUND(F83*D83,2)</f>
        <v>4530</v>
      </c>
      <c r="I83" s="18" t="n">
        <f aca="false">ROUND(G83*D83,2)</f>
        <v>2262</v>
      </c>
      <c r="J83" s="19" t="s">
        <v>817</v>
      </c>
    </row>
    <row r="84" customFormat="false" ht="54.75" hidden="false" customHeight="true" outlineLevel="0" collapsed="false">
      <c r="A84" s="16" t="s">
        <v>317</v>
      </c>
      <c r="B84" s="17" t="str">
        <f aca="false">'Build-Up'!B112</f>
        <v>Commissioning engineer</v>
      </c>
      <c r="C84" s="16" t="str">
        <f aca="false">'Build-Up'!C112</f>
        <v>day</v>
      </c>
      <c r="D84" s="18" t="n">
        <f aca="false">'Build-Up'!E112</f>
        <v>2000</v>
      </c>
      <c r="E84" s="18" t="n">
        <v>15</v>
      </c>
      <c r="F84" s="18" t="n">
        <f aca="false">E40+E41+2</f>
        <v>8</v>
      </c>
      <c r="G84" s="20" t="n">
        <f aca="false">H40+H41+2</f>
        <v>8</v>
      </c>
      <c r="H84" s="18" t="n">
        <f aca="false">ROUND(F84*D84,2)</f>
        <v>16000</v>
      </c>
      <c r="I84" s="18" t="n">
        <f aca="false">ROUND(G84*D84,2)</f>
        <v>16000</v>
      </c>
      <c r="J84" s="19" t="s">
        <v>818</v>
      </c>
    </row>
    <row r="85" customFormat="false" ht="30" hidden="false" customHeight="true" outlineLevel="0" collapsed="false">
      <c r="A85" s="16" t="s">
        <v>320</v>
      </c>
      <c r="B85" s="17" t="str">
        <f aca="false">'Build-Up'!B113</f>
        <v>MEP technicians - pump and network interfaces, 2 No. x 10 days (RFP Scope of Works, work package 9 - system integration)</v>
      </c>
      <c r="C85" s="16" t="str">
        <f aca="false">'Build-Up'!C113</f>
        <v>man-day</v>
      </c>
      <c r="D85" s="18" t="n">
        <f aca="false">'Build-Up'!E113</f>
        <v>400</v>
      </c>
      <c r="E85" s="18" t="n">
        <v>20</v>
      </c>
      <c r="F85" s="18" t="n">
        <f aca="false">2*(E40+E41)</f>
        <v>12</v>
      </c>
      <c r="G85" s="20" t="n">
        <f aca="false">2*(H40+H41)</f>
        <v>12</v>
      </c>
      <c r="H85" s="18" t="n">
        <f aca="false">ROUND(F85*D85,2)</f>
        <v>4800</v>
      </c>
      <c r="I85" s="18" t="n">
        <f aca="false">ROUND(G85*D85,2)</f>
        <v>4800</v>
      </c>
      <c r="J85" s="19" t="s">
        <v>819</v>
      </c>
    </row>
    <row r="86" customFormat="false" ht="30" hidden="false" customHeight="true" outlineLevel="0" collapsed="false">
      <c r="A86" s="16" t="s">
        <v>325</v>
      </c>
      <c r="B86" s="17" t="str">
        <f aca="false">'Build-Up'!B115</f>
        <v>Integration coordination engineer - tie-ins with the Employer and Engineer</v>
      </c>
      <c r="C86" s="16" t="str">
        <f aca="false">'Build-Up'!C115</f>
        <v>day</v>
      </c>
      <c r="D86" s="18" t="n">
        <f aca="false">'Build-Up'!E115</f>
        <v>1000</v>
      </c>
      <c r="E86" s="18" t="n">
        <v>5</v>
      </c>
      <c r="F86" s="18" t="n">
        <f aca="false">E35+1</f>
        <v>5</v>
      </c>
      <c r="G86" s="20" t="n">
        <f aca="false">H35+1</f>
        <v>5</v>
      </c>
      <c r="H86" s="18" t="n">
        <f aca="false">ROUND(F86*D86,2)</f>
        <v>5000</v>
      </c>
      <c r="I86" s="18" t="n">
        <f aca="false">ROUND(G86*D86,2)</f>
        <v>5000</v>
      </c>
      <c r="J86" s="19" t="s">
        <v>820</v>
      </c>
    </row>
    <row r="87" customFormat="false" ht="54.75" hidden="false" customHeight="true" outlineLevel="0" collapsed="false">
      <c r="A87" s="16" t="s">
        <v>339</v>
      </c>
      <c r="B87" s="17" t="str">
        <f aca="false">'Build-Up'!B121</f>
        <v>Tanker and pump standby during filling and test holds</v>
      </c>
      <c r="C87" s="16" t="str">
        <f aca="false">'Build-Up'!C121</f>
        <v>day</v>
      </c>
      <c r="D87" s="18" t="n">
        <f aca="false">'Build-Up'!E121</f>
        <v>500</v>
      </c>
      <c r="E87" s="18" t="n">
        <v>8</v>
      </c>
      <c r="F87" s="18" t="n">
        <f aca="false">8</f>
        <v>8</v>
      </c>
      <c r="G87" s="20" t="n">
        <f aca="false">8</f>
        <v>8</v>
      </c>
      <c r="H87" s="18" t="n">
        <f aca="false">ROUND(F87*D87,2)</f>
        <v>4000</v>
      </c>
      <c r="I87" s="18" t="n">
        <f aca="false">ROUND(G87*D87,2)</f>
        <v>4000</v>
      </c>
      <c r="J87" s="19" t="s">
        <v>821</v>
      </c>
    </row>
    <row r="88" customFormat="false" ht="29.25" hidden="false" customHeight="true" outlineLevel="0" collapsed="false">
      <c r="A88" s="23"/>
      <c r="B88" s="23" t="s">
        <v>822</v>
      </c>
      <c r="C88" s="23"/>
      <c r="D88" s="23"/>
      <c r="E88" s="23"/>
      <c r="F88" s="23"/>
      <c r="G88" s="23"/>
      <c r="H88" s="35" t="n">
        <f aca="false">H56+H57+H58+H59+H60+H61+H62+H63+H64+H65+H66+H67+H68</f>
        <v>265930</v>
      </c>
      <c r="I88" s="35" t="n">
        <f aca="false">I56+I57+I58+I59+I60+I61+I62+I63+I64+I65+I66+I67+I68</f>
        <v>257455</v>
      </c>
      <c r="J88" s="19" t="s">
        <v>823</v>
      </c>
    </row>
    <row r="89" customFormat="false" ht="29.25" hidden="false" customHeight="true" outlineLevel="0" collapsed="false">
      <c r="A89" s="23"/>
      <c r="B89" s="23" t="s">
        <v>824</v>
      </c>
      <c r="C89" s="23"/>
      <c r="D89" s="23"/>
      <c r="E89" s="23"/>
      <c r="F89" s="23"/>
      <c r="G89" s="23"/>
      <c r="H89" s="35" t="n">
        <f aca="false">H69+H70+H71+H72+H73+H74+H75+H76+H77+H78</f>
        <v>281630</v>
      </c>
      <c r="I89" s="35" t="n">
        <f aca="false">I69+I70+I71+I72+I73+I74+I75+I76+I77+I78</f>
        <v>227790</v>
      </c>
      <c r="J89" s="19" t="s">
        <v>825</v>
      </c>
    </row>
    <row r="90" customFormat="false" ht="29.25" hidden="false" customHeight="true" outlineLevel="0" collapsed="false">
      <c r="A90" s="23"/>
      <c r="B90" s="23" t="s">
        <v>826</v>
      </c>
      <c r="C90" s="23"/>
      <c r="D90" s="23"/>
      <c r="E90" s="23"/>
      <c r="F90" s="23"/>
      <c r="G90" s="23"/>
      <c r="H90" s="35" t="n">
        <f aca="false">H79+H80+H81+H82+H83+H84+H85+H86+H87</f>
        <v>79618</v>
      </c>
      <c r="I90" s="35" t="n">
        <f aca="false">I79+I80+I81+I82+I83+I84+I85+I86+I87</f>
        <v>60106</v>
      </c>
      <c r="J90" s="19" t="s">
        <v>827</v>
      </c>
    </row>
    <row r="91" customFormat="false" ht="19.5" hidden="false" customHeight="true" outlineLevel="0" collapsed="false">
      <c r="A91" s="23"/>
      <c r="B91" s="23" t="s">
        <v>828</v>
      </c>
      <c r="C91" s="23"/>
      <c r="D91" s="23"/>
      <c r="E91" s="23"/>
      <c r="F91" s="23"/>
      <c r="G91" s="23"/>
      <c r="H91" s="35" t="n">
        <f aca="false">SUM(H56:H87)</f>
        <v>627178</v>
      </c>
      <c r="I91" s="35" t="n">
        <f aca="false">SUM(I56:I87)</f>
        <v>545351</v>
      </c>
      <c r="J91" s="19" t="s">
        <v>829</v>
      </c>
    </row>
    <row r="92" customFormat="false" ht="42" hidden="false" customHeight="true" outlineLevel="0" collapsed="false">
      <c r="A92" s="23"/>
      <c r="B92" s="23" t="s">
        <v>830</v>
      </c>
      <c r="C92" s="23"/>
      <c r="D92" s="23"/>
      <c r="E92" s="23"/>
      <c r="F92" s="23"/>
      <c r="G92" s="23"/>
      <c r="H92" s="35" t="n">
        <f aca="false">ROUND((Assessment!$K$19-I91+H91)*1.05,2)</f>
        <v>7045136.24</v>
      </c>
      <c r="I92" s="35" t="n">
        <f aca="false">Assessment!$K$21</f>
        <v>6959217.89</v>
      </c>
      <c r="J92" s="19" t="s">
        <v>831</v>
      </c>
    </row>
    <row r="100" customFormat="false" ht="21" hidden="false" customHeight="true" outlineLevel="0" collapsed="false">
      <c r="A100" s="15" t="s">
        <v>832</v>
      </c>
      <c r="B100" s="15"/>
      <c r="C100" s="15"/>
      <c r="D100" s="15"/>
      <c r="E100" s="15"/>
      <c r="F100" s="15"/>
      <c r="G100" s="15"/>
      <c r="H100" s="15"/>
      <c r="I100" s="15"/>
      <c r="J100" s="15"/>
    </row>
    <row r="101" customFormat="false" ht="43.5" hidden="false" customHeight="true" outlineLevel="0" collapsed="false">
      <c r="A101" s="11" t="s">
        <v>833</v>
      </c>
      <c r="B101" s="11"/>
      <c r="C101" s="11"/>
      <c r="D101" s="11"/>
      <c r="E101" s="11"/>
      <c r="F101" s="11"/>
      <c r="G101" s="11"/>
      <c r="H101" s="11"/>
      <c r="I101" s="11"/>
      <c r="J101" s="11"/>
    </row>
    <row r="102" customFormat="false" ht="31.5" hidden="false" customHeight="true" outlineLevel="0" collapsed="false">
      <c r="A102" s="13" t="s">
        <v>561</v>
      </c>
      <c r="B102" s="13" t="s">
        <v>834</v>
      </c>
      <c r="C102" s="13" t="s">
        <v>835</v>
      </c>
      <c r="D102" s="13" t="s">
        <v>836</v>
      </c>
      <c r="E102" s="13" t="s">
        <v>837</v>
      </c>
      <c r="F102" s="13" t="s">
        <v>838</v>
      </c>
      <c r="G102" s="13" t="s">
        <v>839</v>
      </c>
      <c r="H102" s="13" t="s">
        <v>840</v>
      </c>
      <c r="I102" s="13" t="s">
        <v>841</v>
      </c>
      <c r="J102" s="13" t="s">
        <v>594</v>
      </c>
    </row>
    <row r="103" customFormat="false" ht="18" hidden="false" customHeight="true" outlineLevel="0" collapsed="false">
      <c r="A103" s="16" t="n">
        <v>1</v>
      </c>
      <c r="B103" s="17" t="s">
        <v>842</v>
      </c>
      <c r="C103" s="58" t="n">
        <v>46204</v>
      </c>
      <c r="D103" s="58" t="n">
        <v>46223</v>
      </c>
      <c r="E103" s="54" t="n">
        <v>17</v>
      </c>
      <c r="F103" s="18" t="n">
        <v>0</v>
      </c>
      <c r="G103" s="59" t="s">
        <v>843</v>
      </c>
      <c r="H103" s="16" t="s">
        <v>844</v>
      </c>
      <c r="I103" s="54" t="n">
        <v>0</v>
      </c>
      <c r="J103" s="19" t="s">
        <v>845</v>
      </c>
    </row>
    <row r="104" customFormat="false" ht="18" hidden="false" customHeight="true" outlineLevel="0" collapsed="false">
      <c r="A104" s="16" t="n">
        <v>2</v>
      </c>
      <c r="B104" s="17" t="s">
        <v>846</v>
      </c>
      <c r="C104" s="58" t="n">
        <v>46204</v>
      </c>
      <c r="D104" s="58" t="n">
        <v>46204</v>
      </c>
      <c r="E104" s="54" t="n">
        <v>0</v>
      </c>
      <c r="F104" s="18" t="n">
        <v>0</v>
      </c>
      <c r="G104" s="59" t="s">
        <v>847</v>
      </c>
      <c r="H104" s="16" t="s">
        <v>848</v>
      </c>
      <c r="I104" s="54" t="n">
        <v>0</v>
      </c>
      <c r="J104" s="19" t="s">
        <v>849</v>
      </c>
    </row>
    <row r="105" customFormat="false" ht="18" hidden="false" customHeight="true" outlineLevel="0" collapsed="false">
      <c r="A105" s="16" t="n">
        <v>3</v>
      </c>
      <c r="B105" s="17" t="s">
        <v>850</v>
      </c>
      <c r="C105" s="58" t="n">
        <v>46204</v>
      </c>
      <c r="D105" s="58" t="n">
        <v>46204</v>
      </c>
      <c r="E105" s="54" t="n">
        <v>0</v>
      </c>
      <c r="F105" s="18" t="n">
        <v>0</v>
      </c>
      <c r="G105" s="59" t="s">
        <v>851</v>
      </c>
      <c r="H105" s="16" t="s">
        <v>844</v>
      </c>
      <c r="I105" s="54" t="n">
        <v>0</v>
      </c>
      <c r="J105" s="19" t="s">
        <v>852</v>
      </c>
    </row>
    <row r="106" customFormat="false" ht="18" hidden="false" customHeight="true" outlineLevel="0" collapsed="false">
      <c r="A106" s="16" t="n">
        <v>4</v>
      </c>
      <c r="B106" s="17" t="s">
        <v>853</v>
      </c>
      <c r="C106" s="58" t="n">
        <v>46224</v>
      </c>
      <c r="D106" s="58" t="n">
        <v>46233</v>
      </c>
      <c r="E106" s="54" t="n">
        <v>9</v>
      </c>
      <c r="F106" s="18" t="n">
        <v>0</v>
      </c>
      <c r="G106" s="59" t="s">
        <v>854</v>
      </c>
      <c r="H106" s="16" t="s">
        <v>844</v>
      </c>
      <c r="I106" s="54" t="n">
        <v>0</v>
      </c>
      <c r="J106" s="19" t="s">
        <v>845</v>
      </c>
    </row>
    <row r="107" customFormat="false" ht="29.25" hidden="false" customHeight="true" outlineLevel="0" collapsed="false">
      <c r="A107" s="16" t="n">
        <v>5</v>
      </c>
      <c r="B107" s="17" t="s">
        <v>855</v>
      </c>
      <c r="C107" s="58" t="n">
        <v>46224</v>
      </c>
      <c r="D107" s="58" t="n">
        <v>46232</v>
      </c>
      <c r="E107" s="54" t="n">
        <v>8</v>
      </c>
      <c r="F107" s="18" t="n">
        <v>4694.84</v>
      </c>
      <c r="G107" s="59" t="s">
        <v>856</v>
      </c>
      <c r="H107" s="16" t="s">
        <v>844</v>
      </c>
      <c r="I107" s="54" t="n">
        <v>24</v>
      </c>
      <c r="J107" s="19" t="s">
        <v>857</v>
      </c>
    </row>
    <row r="108" customFormat="false" ht="29.25" hidden="false" customHeight="true" outlineLevel="0" collapsed="false">
      <c r="A108" s="16" t="n">
        <v>6</v>
      </c>
      <c r="B108" s="17" t="s">
        <v>858</v>
      </c>
      <c r="C108" s="58" t="n">
        <v>46224</v>
      </c>
      <c r="D108" s="58" t="n">
        <v>46232</v>
      </c>
      <c r="E108" s="54" t="n">
        <v>8</v>
      </c>
      <c r="F108" s="18" t="n">
        <v>6572.78</v>
      </c>
      <c r="G108" s="59" t="s">
        <v>859</v>
      </c>
      <c r="H108" s="16" t="s">
        <v>844</v>
      </c>
      <c r="I108" s="54" t="n">
        <v>24</v>
      </c>
      <c r="J108" s="19" t="s">
        <v>857</v>
      </c>
    </row>
    <row r="109" customFormat="false" ht="29.25" hidden="false" customHeight="true" outlineLevel="0" collapsed="false">
      <c r="A109" s="16" t="n">
        <v>7</v>
      </c>
      <c r="B109" s="17" t="s">
        <v>860</v>
      </c>
      <c r="C109" s="58" t="n">
        <v>46233</v>
      </c>
      <c r="D109" s="58" t="n">
        <v>46247</v>
      </c>
      <c r="E109" s="54" t="n">
        <v>11</v>
      </c>
      <c r="F109" s="18" t="n">
        <v>3756.88</v>
      </c>
      <c r="G109" s="59" t="s">
        <v>861</v>
      </c>
      <c r="H109" s="16" t="s">
        <v>862</v>
      </c>
      <c r="I109" s="54" t="n">
        <v>20</v>
      </c>
      <c r="J109" s="19" t="s">
        <v>863</v>
      </c>
    </row>
    <row r="110" customFormat="false" ht="29.25" hidden="false" customHeight="true" outlineLevel="0" collapsed="false">
      <c r="A110" s="16" t="n">
        <v>8</v>
      </c>
      <c r="B110" s="17" t="s">
        <v>864</v>
      </c>
      <c r="C110" s="58" t="n">
        <v>46233</v>
      </c>
      <c r="D110" s="58" t="n">
        <v>46247</v>
      </c>
      <c r="E110" s="54" t="n">
        <v>11</v>
      </c>
      <c r="F110" s="18" t="n">
        <v>4694.84</v>
      </c>
      <c r="G110" s="59" t="s">
        <v>865</v>
      </c>
      <c r="H110" s="16" t="s">
        <v>862</v>
      </c>
      <c r="I110" s="54" t="n">
        <v>20</v>
      </c>
      <c r="J110" s="19" t="s">
        <v>863</v>
      </c>
    </row>
    <row r="111" customFormat="false" ht="29.25" hidden="false" customHeight="true" outlineLevel="0" collapsed="false">
      <c r="A111" s="16" t="n">
        <v>9</v>
      </c>
      <c r="B111" s="17" t="s">
        <v>866</v>
      </c>
      <c r="C111" s="58" t="n">
        <v>46235</v>
      </c>
      <c r="D111" s="58" t="n">
        <v>46246</v>
      </c>
      <c r="E111" s="54" t="n">
        <v>11</v>
      </c>
      <c r="F111" s="18" t="n">
        <v>4694.84</v>
      </c>
      <c r="G111" s="59" t="s">
        <v>867</v>
      </c>
      <c r="H111" s="16" t="s">
        <v>844</v>
      </c>
      <c r="I111" s="54" t="n">
        <v>18</v>
      </c>
      <c r="J111" s="19" t="s">
        <v>868</v>
      </c>
    </row>
    <row r="112" customFormat="false" ht="29.25" hidden="false" customHeight="true" outlineLevel="0" collapsed="false">
      <c r="A112" s="16" t="n">
        <v>10</v>
      </c>
      <c r="B112" s="17" t="s">
        <v>869</v>
      </c>
      <c r="C112" s="58" t="n">
        <v>46235</v>
      </c>
      <c r="D112" s="58" t="n">
        <v>46247</v>
      </c>
      <c r="E112" s="54" t="n">
        <v>12</v>
      </c>
      <c r="F112" s="18" t="n">
        <v>4694.84</v>
      </c>
      <c r="G112" s="59" t="s">
        <v>870</v>
      </c>
      <c r="H112" s="16" t="s">
        <v>844</v>
      </c>
      <c r="I112" s="54" t="n">
        <v>32</v>
      </c>
      <c r="J112" s="19" t="s">
        <v>868</v>
      </c>
    </row>
    <row r="113" customFormat="false" ht="29.25" hidden="false" customHeight="true" outlineLevel="0" collapsed="false">
      <c r="A113" s="16" t="n">
        <v>11</v>
      </c>
      <c r="B113" s="17" t="s">
        <v>871</v>
      </c>
      <c r="C113" s="58" t="n">
        <v>46235</v>
      </c>
      <c r="D113" s="58" t="n">
        <v>46246</v>
      </c>
      <c r="E113" s="54" t="n">
        <v>11</v>
      </c>
      <c r="F113" s="18" t="n">
        <v>7512.76</v>
      </c>
      <c r="G113" s="59" t="s">
        <v>872</v>
      </c>
      <c r="H113" s="16" t="s">
        <v>844</v>
      </c>
      <c r="I113" s="54" t="n">
        <v>18</v>
      </c>
      <c r="J113" s="19" t="s">
        <v>868</v>
      </c>
    </row>
    <row r="114" customFormat="false" ht="29.25" hidden="false" customHeight="true" outlineLevel="0" collapsed="false">
      <c r="A114" s="16" t="n">
        <v>12</v>
      </c>
      <c r="B114" s="17" t="s">
        <v>873</v>
      </c>
      <c r="C114" s="58" t="n">
        <v>46235</v>
      </c>
      <c r="D114" s="58" t="n">
        <v>46246</v>
      </c>
      <c r="E114" s="54" t="n">
        <v>11</v>
      </c>
      <c r="F114" s="18" t="n">
        <v>3755.87</v>
      </c>
      <c r="G114" s="59" t="s">
        <v>874</v>
      </c>
      <c r="H114" s="16" t="s">
        <v>844</v>
      </c>
      <c r="I114" s="54" t="n">
        <v>18</v>
      </c>
      <c r="J114" s="19" t="s">
        <v>868</v>
      </c>
    </row>
    <row r="115" customFormat="false" ht="29.25" hidden="false" customHeight="true" outlineLevel="0" collapsed="false">
      <c r="A115" s="16" t="n">
        <v>13</v>
      </c>
      <c r="B115" s="17" t="s">
        <v>875</v>
      </c>
      <c r="C115" s="58" t="n">
        <v>46235</v>
      </c>
      <c r="D115" s="58" t="n">
        <v>46243</v>
      </c>
      <c r="E115" s="54" t="n">
        <v>8</v>
      </c>
      <c r="F115" s="18" t="n">
        <v>7512.76</v>
      </c>
      <c r="G115" s="59" t="s">
        <v>876</v>
      </c>
      <c r="H115" s="16" t="s">
        <v>844</v>
      </c>
      <c r="I115" s="54" t="n">
        <v>21</v>
      </c>
      <c r="J115" s="19" t="s">
        <v>868</v>
      </c>
    </row>
    <row r="116" customFormat="false" ht="29.25" hidden="false" customHeight="true" outlineLevel="0" collapsed="false">
      <c r="A116" s="16" t="n">
        <v>14</v>
      </c>
      <c r="B116" s="17" t="s">
        <v>877</v>
      </c>
      <c r="C116" s="58" t="n">
        <v>46235</v>
      </c>
      <c r="D116" s="58" t="n">
        <v>46246</v>
      </c>
      <c r="E116" s="54" t="n">
        <v>11</v>
      </c>
      <c r="F116" s="18" t="n">
        <v>4694.84</v>
      </c>
      <c r="G116" s="59" t="s">
        <v>878</v>
      </c>
      <c r="H116" s="16" t="s">
        <v>844</v>
      </c>
      <c r="I116" s="54" t="n">
        <v>25</v>
      </c>
      <c r="J116" s="19" t="s">
        <v>857</v>
      </c>
    </row>
    <row r="117" customFormat="false" ht="29.25" hidden="false" customHeight="true" outlineLevel="0" collapsed="false">
      <c r="A117" s="16" t="n">
        <v>15</v>
      </c>
      <c r="B117" s="17" t="s">
        <v>879</v>
      </c>
      <c r="C117" s="58" t="n">
        <v>46235</v>
      </c>
      <c r="D117" s="58" t="n">
        <v>46246</v>
      </c>
      <c r="E117" s="54" t="n">
        <v>11</v>
      </c>
      <c r="F117" s="18" t="n">
        <v>4694.84</v>
      </c>
      <c r="G117" s="59" t="s">
        <v>880</v>
      </c>
      <c r="H117" s="16" t="s">
        <v>844</v>
      </c>
      <c r="I117" s="54" t="n">
        <v>25</v>
      </c>
      <c r="J117" s="19" t="s">
        <v>857</v>
      </c>
    </row>
    <row r="118" customFormat="false" ht="29.25" hidden="false" customHeight="true" outlineLevel="0" collapsed="false">
      <c r="A118" s="16" t="n">
        <v>16</v>
      </c>
      <c r="B118" s="17" t="s">
        <v>881</v>
      </c>
      <c r="C118" s="58" t="n">
        <v>46235</v>
      </c>
      <c r="D118" s="58" t="n">
        <v>46249</v>
      </c>
      <c r="E118" s="54" t="n">
        <v>13</v>
      </c>
      <c r="F118" s="18" t="n">
        <v>4694.84</v>
      </c>
      <c r="G118" s="59" t="s">
        <v>882</v>
      </c>
      <c r="H118" s="16" t="s">
        <v>844</v>
      </c>
      <c r="I118" s="54" t="n">
        <v>27</v>
      </c>
      <c r="J118" s="19" t="s">
        <v>857</v>
      </c>
    </row>
    <row r="119" customFormat="false" ht="29.25" hidden="false" customHeight="true" outlineLevel="0" collapsed="false">
      <c r="A119" s="16" t="n">
        <v>17</v>
      </c>
      <c r="B119" s="17" t="s">
        <v>883</v>
      </c>
      <c r="C119" s="58" t="n">
        <v>46235</v>
      </c>
      <c r="D119" s="58" t="n">
        <v>46235</v>
      </c>
      <c r="E119" s="54" t="n">
        <v>1</v>
      </c>
      <c r="F119" s="18" t="n">
        <v>0</v>
      </c>
      <c r="G119" s="59" t="s">
        <v>884</v>
      </c>
      <c r="H119" s="16" t="s">
        <v>844</v>
      </c>
      <c r="I119" s="54" t="n">
        <v>0</v>
      </c>
      <c r="J119" s="19" t="s">
        <v>885</v>
      </c>
    </row>
    <row r="120" customFormat="false" ht="29.25" hidden="false" customHeight="true" outlineLevel="0" collapsed="false">
      <c r="A120" s="16" t="n">
        <v>18</v>
      </c>
      <c r="B120" s="17" t="s">
        <v>886</v>
      </c>
      <c r="C120" s="58" t="n">
        <v>46235</v>
      </c>
      <c r="D120" s="58" t="n">
        <v>46235</v>
      </c>
      <c r="E120" s="54" t="n">
        <v>1</v>
      </c>
      <c r="F120" s="18" t="n">
        <v>0</v>
      </c>
      <c r="G120" s="59" t="s">
        <v>887</v>
      </c>
      <c r="H120" s="16" t="s">
        <v>844</v>
      </c>
      <c r="I120" s="54" t="n">
        <v>0</v>
      </c>
      <c r="J120" s="19" t="s">
        <v>888</v>
      </c>
    </row>
    <row r="121" customFormat="false" ht="29.25" hidden="false" customHeight="true" outlineLevel="0" collapsed="false">
      <c r="A121" s="16" t="n">
        <v>19</v>
      </c>
      <c r="B121" s="17" t="s">
        <v>889</v>
      </c>
      <c r="C121" s="58" t="n">
        <v>46235</v>
      </c>
      <c r="D121" s="58" t="n">
        <v>46239</v>
      </c>
      <c r="E121" s="54" t="n">
        <v>5</v>
      </c>
      <c r="F121" s="18" t="n">
        <v>0</v>
      </c>
      <c r="G121" s="59" t="s">
        <v>890</v>
      </c>
      <c r="H121" s="16" t="s">
        <v>844</v>
      </c>
      <c r="I121" s="54" t="n">
        <v>23</v>
      </c>
      <c r="J121" s="19" t="s">
        <v>891</v>
      </c>
    </row>
    <row r="122" customFormat="false" ht="29.25" hidden="false" customHeight="true" outlineLevel="0" collapsed="false">
      <c r="A122" s="16" t="n">
        <v>20</v>
      </c>
      <c r="B122" s="17" t="s">
        <v>892</v>
      </c>
      <c r="C122" s="58" t="n">
        <v>46236</v>
      </c>
      <c r="D122" s="58" t="n">
        <v>46237</v>
      </c>
      <c r="E122" s="54" t="n">
        <v>2</v>
      </c>
      <c r="F122" s="18" t="n">
        <v>0</v>
      </c>
      <c r="G122" s="59" t="s">
        <v>893</v>
      </c>
      <c r="H122" s="16" t="s">
        <v>844</v>
      </c>
      <c r="I122" s="54" t="n">
        <v>0</v>
      </c>
      <c r="J122" s="19" t="s">
        <v>885</v>
      </c>
    </row>
    <row r="123" customFormat="false" ht="29.25" hidden="false" customHeight="true" outlineLevel="0" collapsed="false">
      <c r="A123" s="16" t="n">
        <v>21</v>
      </c>
      <c r="B123" s="17" t="s">
        <v>894</v>
      </c>
      <c r="C123" s="58" t="n">
        <v>46236</v>
      </c>
      <c r="D123" s="58" t="n">
        <v>46237</v>
      </c>
      <c r="E123" s="54" t="n">
        <v>2</v>
      </c>
      <c r="F123" s="18" t="n">
        <v>0</v>
      </c>
      <c r="G123" s="59" t="s">
        <v>895</v>
      </c>
      <c r="H123" s="16" t="s">
        <v>862</v>
      </c>
      <c r="I123" s="54" t="n">
        <v>0</v>
      </c>
      <c r="J123" s="19" t="s">
        <v>888</v>
      </c>
    </row>
    <row r="124" customFormat="false" ht="18" hidden="false" customHeight="true" outlineLevel="0" collapsed="false">
      <c r="A124" s="16" t="n">
        <v>22</v>
      </c>
      <c r="B124" s="17" t="s">
        <v>896</v>
      </c>
      <c r="C124" s="58" t="n">
        <v>46238</v>
      </c>
      <c r="D124" s="58" t="n">
        <v>46240</v>
      </c>
      <c r="E124" s="54" t="n">
        <v>3</v>
      </c>
      <c r="F124" s="18" t="n">
        <v>348110.34</v>
      </c>
      <c r="G124" s="59" t="s">
        <v>897</v>
      </c>
      <c r="H124" s="16" t="s">
        <v>844</v>
      </c>
      <c r="I124" s="54" t="n">
        <v>0</v>
      </c>
      <c r="J124" s="19" t="s">
        <v>898</v>
      </c>
    </row>
    <row r="125" customFormat="false" ht="29.25" hidden="false" customHeight="true" outlineLevel="0" collapsed="false">
      <c r="A125" s="16" t="n">
        <v>23</v>
      </c>
      <c r="B125" s="17" t="s">
        <v>899</v>
      </c>
      <c r="C125" s="58" t="n">
        <v>46240</v>
      </c>
      <c r="D125" s="58" t="n">
        <v>46257</v>
      </c>
      <c r="E125" s="54" t="n">
        <v>12</v>
      </c>
      <c r="F125" s="18" t="n">
        <v>0</v>
      </c>
      <c r="G125" s="59" t="s">
        <v>900</v>
      </c>
      <c r="H125" s="16" t="s">
        <v>862</v>
      </c>
      <c r="I125" s="54" t="n">
        <v>19</v>
      </c>
      <c r="J125" s="19" t="s">
        <v>891</v>
      </c>
    </row>
    <row r="126" customFormat="false" ht="18" hidden="false" customHeight="true" outlineLevel="0" collapsed="false">
      <c r="A126" s="16" t="n">
        <v>24</v>
      </c>
      <c r="B126" s="17" t="s">
        <v>901</v>
      </c>
      <c r="C126" s="58" t="n">
        <v>46241</v>
      </c>
      <c r="D126" s="58" t="n">
        <v>46245</v>
      </c>
      <c r="E126" s="54" t="n">
        <v>5</v>
      </c>
      <c r="F126" s="18" t="n">
        <v>62475</v>
      </c>
      <c r="G126" s="59" t="s">
        <v>902</v>
      </c>
      <c r="H126" s="16" t="s">
        <v>848</v>
      </c>
      <c r="I126" s="54" t="n">
        <v>35</v>
      </c>
      <c r="J126" s="19" t="s">
        <v>903</v>
      </c>
    </row>
    <row r="127" customFormat="false" ht="29.25" hidden="false" customHeight="true" outlineLevel="0" collapsed="false">
      <c r="A127" s="16" t="n">
        <v>25</v>
      </c>
      <c r="B127" s="17" t="s">
        <v>904</v>
      </c>
      <c r="C127" s="58" t="n">
        <v>46242</v>
      </c>
      <c r="D127" s="58" t="n">
        <v>46322</v>
      </c>
      <c r="E127" s="54" t="n">
        <v>69</v>
      </c>
      <c r="F127" s="18" t="n">
        <v>542616.31</v>
      </c>
      <c r="G127" s="59" t="s">
        <v>905</v>
      </c>
      <c r="H127" s="16" t="s">
        <v>844</v>
      </c>
      <c r="I127" s="54" t="n">
        <v>0</v>
      </c>
      <c r="J127" s="19" t="s">
        <v>906</v>
      </c>
    </row>
    <row r="128" customFormat="false" ht="29.25" hidden="false" customHeight="true" outlineLevel="0" collapsed="false">
      <c r="A128" s="16" t="n">
        <v>26</v>
      </c>
      <c r="B128" s="17" t="s">
        <v>904</v>
      </c>
      <c r="C128" s="58" t="n">
        <v>46242</v>
      </c>
      <c r="D128" s="58" t="n">
        <v>46307</v>
      </c>
      <c r="E128" s="54" t="n">
        <v>56</v>
      </c>
      <c r="F128" s="18" t="n">
        <v>542659.99</v>
      </c>
      <c r="G128" s="59" t="s">
        <v>907</v>
      </c>
      <c r="H128" s="16" t="s">
        <v>844</v>
      </c>
      <c r="I128" s="54" t="n">
        <v>14</v>
      </c>
      <c r="J128" s="19" t="s">
        <v>908</v>
      </c>
    </row>
    <row r="129" customFormat="false" ht="29.25" hidden="false" customHeight="true" outlineLevel="0" collapsed="false">
      <c r="A129" s="16" t="n">
        <v>27</v>
      </c>
      <c r="B129" s="17" t="s">
        <v>909</v>
      </c>
      <c r="C129" s="58" t="n">
        <v>46244</v>
      </c>
      <c r="D129" s="58" t="n">
        <v>46251</v>
      </c>
      <c r="E129" s="54" t="n">
        <v>6</v>
      </c>
      <c r="F129" s="18" t="n">
        <v>2816.9</v>
      </c>
      <c r="G129" s="59" t="s">
        <v>910</v>
      </c>
      <c r="H129" s="16" t="s">
        <v>862</v>
      </c>
      <c r="I129" s="54" t="n">
        <v>18</v>
      </c>
      <c r="J129" s="19" t="s">
        <v>911</v>
      </c>
    </row>
    <row r="130" customFormat="false" ht="18" hidden="false" customHeight="true" outlineLevel="0" collapsed="false">
      <c r="A130" s="16" t="n">
        <v>28</v>
      </c>
      <c r="B130" s="17" t="s">
        <v>912</v>
      </c>
      <c r="C130" s="58" t="n">
        <v>46246</v>
      </c>
      <c r="D130" s="58" t="n">
        <v>46259</v>
      </c>
      <c r="E130" s="54" t="n">
        <v>14</v>
      </c>
      <c r="F130" s="18" t="n">
        <v>26775</v>
      </c>
      <c r="G130" s="59" t="s">
        <v>913</v>
      </c>
      <c r="H130" s="16" t="s">
        <v>848</v>
      </c>
      <c r="I130" s="54" t="n">
        <v>35</v>
      </c>
      <c r="J130" s="19" t="s">
        <v>903</v>
      </c>
    </row>
    <row r="131" customFormat="false" ht="29.25" hidden="false" customHeight="true" outlineLevel="0" collapsed="false">
      <c r="A131" s="16" t="n">
        <v>29</v>
      </c>
      <c r="B131" s="17" t="s">
        <v>914</v>
      </c>
      <c r="C131" s="58" t="n">
        <v>46247</v>
      </c>
      <c r="D131" s="58" t="n">
        <v>46254</v>
      </c>
      <c r="E131" s="54" t="n">
        <v>6</v>
      </c>
      <c r="F131" s="18" t="n">
        <v>2816.9</v>
      </c>
      <c r="G131" s="59" t="s">
        <v>915</v>
      </c>
      <c r="H131" s="16" t="s">
        <v>862</v>
      </c>
      <c r="I131" s="54" t="n">
        <v>15</v>
      </c>
      <c r="J131" s="19" t="s">
        <v>911</v>
      </c>
    </row>
    <row r="132" customFormat="false" ht="29.25" hidden="false" customHeight="true" outlineLevel="0" collapsed="false">
      <c r="A132" s="16" t="n">
        <v>30</v>
      </c>
      <c r="B132" s="17" t="s">
        <v>916</v>
      </c>
      <c r="C132" s="58" t="n">
        <v>46247</v>
      </c>
      <c r="D132" s="58" t="n">
        <v>46254</v>
      </c>
      <c r="E132" s="54" t="n">
        <v>6</v>
      </c>
      <c r="F132" s="18" t="n">
        <v>2816.9</v>
      </c>
      <c r="G132" s="59" t="s">
        <v>917</v>
      </c>
      <c r="H132" s="16" t="s">
        <v>862</v>
      </c>
      <c r="I132" s="54" t="n">
        <v>15</v>
      </c>
      <c r="J132" s="19" t="s">
        <v>911</v>
      </c>
    </row>
    <row r="133" customFormat="false" ht="29.25" hidden="false" customHeight="true" outlineLevel="0" collapsed="false">
      <c r="A133" s="16" t="n">
        <v>31</v>
      </c>
      <c r="B133" s="17" t="s">
        <v>918</v>
      </c>
      <c r="C133" s="58" t="n">
        <v>46247</v>
      </c>
      <c r="D133" s="58" t="n">
        <v>46254</v>
      </c>
      <c r="E133" s="54" t="n">
        <v>6</v>
      </c>
      <c r="F133" s="18" t="n">
        <v>1877.94</v>
      </c>
      <c r="G133" s="59" t="s">
        <v>919</v>
      </c>
      <c r="H133" s="16" t="s">
        <v>862</v>
      </c>
      <c r="I133" s="54" t="n">
        <v>15</v>
      </c>
      <c r="J133" s="19" t="s">
        <v>911</v>
      </c>
    </row>
    <row r="134" customFormat="false" ht="29.25" hidden="false" customHeight="true" outlineLevel="0" collapsed="false">
      <c r="A134" s="16" t="n">
        <v>32</v>
      </c>
      <c r="B134" s="17" t="s">
        <v>920</v>
      </c>
      <c r="C134" s="58" t="n">
        <v>46247</v>
      </c>
      <c r="D134" s="58" t="n">
        <v>46259</v>
      </c>
      <c r="E134" s="54" t="n">
        <v>9</v>
      </c>
      <c r="F134" s="18" t="n">
        <v>3756.88</v>
      </c>
      <c r="G134" s="59" t="s">
        <v>921</v>
      </c>
      <c r="H134" s="16" t="s">
        <v>862</v>
      </c>
      <c r="I134" s="54" t="n">
        <v>24</v>
      </c>
      <c r="J134" s="19" t="s">
        <v>863</v>
      </c>
    </row>
    <row r="135" customFormat="false" ht="29.25" hidden="false" customHeight="true" outlineLevel="0" collapsed="false">
      <c r="A135" s="16" t="n">
        <v>33</v>
      </c>
      <c r="B135" s="17" t="s">
        <v>922</v>
      </c>
      <c r="C135" s="58" t="n">
        <v>46247</v>
      </c>
      <c r="D135" s="58" t="n">
        <v>46259</v>
      </c>
      <c r="E135" s="54" t="n">
        <v>9</v>
      </c>
      <c r="F135" s="18" t="n">
        <v>3756.88</v>
      </c>
      <c r="G135" s="59" t="s">
        <v>923</v>
      </c>
      <c r="H135" s="16" t="s">
        <v>862</v>
      </c>
      <c r="I135" s="54" t="n">
        <v>24</v>
      </c>
      <c r="J135" s="19" t="s">
        <v>863</v>
      </c>
    </row>
    <row r="136" customFormat="false" ht="29.25" hidden="false" customHeight="true" outlineLevel="0" collapsed="false">
      <c r="A136" s="16" t="n">
        <v>34</v>
      </c>
      <c r="B136" s="17" t="s">
        <v>924</v>
      </c>
      <c r="C136" s="58" t="n">
        <v>46250</v>
      </c>
      <c r="D136" s="58" t="n">
        <v>46257</v>
      </c>
      <c r="E136" s="54" t="n">
        <v>6</v>
      </c>
      <c r="F136" s="18" t="n">
        <v>1877.94</v>
      </c>
      <c r="G136" s="59" t="s">
        <v>925</v>
      </c>
      <c r="H136" s="16" t="s">
        <v>862</v>
      </c>
      <c r="I136" s="54" t="n">
        <v>26</v>
      </c>
      <c r="J136" s="19" t="s">
        <v>911</v>
      </c>
    </row>
    <row r="137" customFormat="false" ht="29.25" hidden="false" customHeight="true" outlineLevel="0" collapsed="false">
      <c r="A137" s="16" t="n">
        <v>35</v>
      </c>
      <c r="B137" s="17" t="s">
        <v>926</v>
      </c>
      <c r="C137" s="58" t="n">
        <v>46250</v>
      </c>
      <c r="D137" s="58" t="n">
        <v>46260</v>
      </c>
      <c r="E137" s="54" t="n">
        <v>9</v>
      </c>
      <c r="F137" s="18" t="n">
        <v>3756.88</v>
      </c>
      <c r="G137" s="59" t="s">
        <v>927</v>
      </c>
      <c r="H137" s="16" t="s">
        <v>862</v>
      </c>
      <c r="I137" s="54" t="n">
        <v>23</v>
      </c>
      <c r="J137" s="19" t="s">
        <v>863</v>
      </c>
    </row>
    <row r="138" customFormat="false" ht="18" hidden="false" customHeight="true" outlineLevel="0" collapsed="false">
      <c r="A138" s="16" t="n">
        <v>36</v>
      </c>
      <c r="B138" s="17" t="s">
        <v>928</v>
      </c>
      <c r="C138" s="58" t="n">
        <v>46256</v>
      </c>
      <c r="D138" s="58" t="n">
        <v>46260</v>
      </c>
      <c r="E138" s="54" t="n">
        <v>5</v>
      </c>
      <c r="F138" s="18" t="n">
        <v>260346.53</v>
      </c>
      <c r="G138" s="59" t="s">
        <v>929</v>
      </c>
      <c r="H138" s="16" t="s">
        <v>844</v>
      </c>
      <c r="I138" s="54" t="n">
        <v>18</v>
      </c>
      <c r="J138" s="19" t="s">
        <v>930</v>
      </c>
    </row>
    <row r="139" customFormat="false" ht="18" hidden="false" customHeight="true" outlineLevel="0" collapsed="false">
      <c r="A139" s="16" t="n">
        <v>37</v>
      </c>
      <c r="B139" s="17" t="s">
        <v>931</v>
      </c>
      <c r="C139" s="58" t="n">
        <v>46256</v>
      </c>
      <c r="D139" s="58" t="n">
        <v>46260</v>
      </c>
      <c r="E139" s="54" t="n">
        <v>5</v>
      </c>
      <c r="F139" s="18" t="n">
        <v>318201.32</v>
      </c>
      <c r="G139" s="59" t="s">
        <v>932</v>
      </c>
      <c r="H139" s="16" t="s">
        <v>844</v>
      </c>
      <c r="I139" s="54" t="n">
        <v>18</v>
      </c>
      <c r="J139" s="19" t="s">
        <v>933</v>
      </c>
    </row>
    <row r="140" customFormat="false" ht="29.25" hidden="false" customHeight="true" outlineLevel="0" collapsed="false">
      <c r="A140" s="16" t="n">
        <v>38</v>
      </c>
      <c r="B140" s="17" t="s">
        <v>886</v>
      </c>
      <c r="C140" s="58" t="n">
        <v>46258</v>
      </c>
      <c r="D140" s="58" t="n">
        <v>46265</v>
      </c>
      <c r="E140" s="54" t="n">
        <v>7</v>
      </c>
      <c r="F140" s="18" t="n">
        <v>0</v>
      </c>
      <c r="G140" s="59" t="s">
        <v>934</v>
      </c>
      <c r="H140" s="16" t="s">
        <v>844</v>
      </c>
      <c r="I140" s="54" t="n">
        <v>23</v>
      </c>
      <c r="J140" s="19" t="s">
        <v>935</v>
      </c>
    </row>
    <row r="141" customFormat="false" ht="18" hidden="false" customHeight="true" outlineLevel="0" collapsed="false">
      <c r="A141" s="16" t="n">
        <v>39</v>
      </c>
      <c r="B141" s="17" t="s">
        <v>936</v>
      </c>
      <c r="C141" s="58" t="n">
        <v>46261</v>
      </c>
      <c r="D141" s="58" t="n">
        <v>46265</v>
      </c>
      <c r="E141" s="54" t="n">
        <v>4</v>
      </c>
      <c r="F141" s="18" t="n">
        <v>12086.23</v>
      </c>
      <c r="G141" s="59" t="s">
        <v>937</v>
      </c>
      <c r="H141" s="16" t="s">
        <v>844</v>
      </c>
      <c r="I141" s="54" t="n">
        <v>18</v>
      </c>
      <c r="J141" s="19" t="s">
        <v>938</v>
      </c>
    </row>
    <row r="142" customFormat="false" ht="18" hidden="false" customHeight="true" outlineLevel="0" collapsed="false">
      <c r="A142" s="16" t="n">
        <v>40</v>
      </c>
      <c r="B142" s="17" t="s">
        <v>939</v>
      </c>
      <c r="C142" s="58" t="n">
        <v>46266</v>
      </c>
      <c r="D142" s="58" t="n">
        <v>46273</v>
      </c>
      <c r="E142" s="54" t="n">
        <v>7</v>
      </c>
      <c r="F142" s="18" t="n">
        <v>12086.23</v>
      </c>
      <c r="G142" s="59" t="s">
        <v>940</v>
      </c>
      <c r="H142" s="16" t="s">
        <v>844</v>
      </c>
      <c r="I142" s="54" t="n">
        <v>18</v>
      </c>
      <c r="J142" s="19" t="s">
        <v>938</v>
      </c>
    </row>
    <row r="143" customFormat="false" ht="29.25" hidden="false" customHeight="true" outlineLevel="0" collapsed="false">
      <c r="A143" s="16" t="n">
        <v>41</v>
      </c>
      <c r="B143" s="17" t="s">
        <v>894</v>
      </c>
      <c r="C143" s="58" t="n">
        <v>46266</v>
      </c>
      <c r="D143" s="58" t="n">
        <v>46285</v>
      </c>
      <c r="E143" s="54" t="n">
        <v>14</v>
      </c>
      <c r="F143" s="18" t="n">
        <v>0</v>
      </c>
      <c r="G143" s="59" t="s">
        <v>941</v>
      </c>
      <c r="H143" s="16" t="s">
        <v>862</v>
      </c>
      <c r="I143" s="54" t="n">
        <v>19</v>
      </c>
      <c r="J143" s="19" t="s">
        <v>935</v>
      </c>
    </row>
    <row r="144" customFormat="false" ht="18" hidden="false" customHeight="true" outlineLevel="0" collapsed="false">
      <c r="A144" s="16" t="n">
        <v>42</v>
      </c>
      <c r="B144" s="17" t="s">
        <v>942</v>
      </c>
      <c r="C144" s="58" t="n">
        <v>46270</v>
      </c>
      <c r="D144" s="58" t="n">
        <v>46277</v>
      </c>
      <c r="E144" s="54" t="n">
        <v>7</v>
      </c>
      <c r="F144" s="18" t="n">
        <v>56402.53</v>
      </c>
      <c r="G144" s="59" t="s">
        <v>943</v>
      </c>
      <c r="H144" s="16" t="s">
        <v>844</v>
      </c>
      <c r="I144" s="54" t="n">
        <v>18</v>
      </c>
      <c r="J144" s="19" t="s">
        <v>938</v>
      </c>
    </row>
    <row r="145" customFormat="false" ht="29.25" hidden="false" customHeight="true" outlineLevel="0" collapsed="false">
      <c r="A145" s="16" t="n">
        <v>43</v>
      </c>
      <c r="B145" s="17" t="s">
        <v>944</v>
      </c>
      <c r="C145" s="58" t="n">
        <v>46272</v>
      </c>
      <c r="D145" s="58" t="n">
        <v>46278</v>
      </c>
      <c r="E145" s="54" t="n">
        <v>6</v>
      </c>
      <c r="F145" s="18" t="n">
        <v>5000</v>
      </c>
      <c r="G145" s="59" t="s">
        <v>945</v>
      </c>
      <c r="H145" s="16" t="s">
        <v>844</v>
      </c>
      <c r="I145" s="54" t="n">
        <v>18</v>
      </c>
      <c r="J145" s="19" t="s">
        <v>946</v>
      </c>
    </row>
    <row r="146" customFormat="false" ht="29.25" hidden="false" customHeight="true" outlineLevel="0" collapsed="false">
      <c r="A146" s="16" t="n">
        <v>44</v>
      </c>
      <c r="B146" s="17" t="s">
        <v>947</v>
      </c>
      <c r="C146" s="58" t="n">
        <v>46273</v>
      </c>
      <c r="D146" s="58" t="n">
        <v>46298</v>
      </c>
      <c r="E146" s="54" t="n">
        <v>21</v>
      </c>
      <c r="F146" s="18" t="n">
        <v>147998.19</v>
      </c>
      <c r="G146" s="59" t="s">
        <v>948</v>
      </c>
      <c r="H146" s="16" t="s">
        <v>844</v>
      </c>
      <c r="I146" s="54" t="n">
        <v>14</v>
      </c>
      <c r="J146" s="19" t="s">
        <v>908</v>
      </c>
    </row>
    <row r="147" customFormat="false" ht="29.25" hidden="false" customHeight="true" outlineLevel="0" collapsed="false">
      <c r="A147" s="16" t="n">
        <v>45</v>
      </c>
      <c r="B147" s="17" t="s">
        <v>949</v>
      </c>
      <c r="C147" s="58" t="n">
        <v>46273</v>
      </c>
      <c r="D147" s="58" t="n">
        <v>46298</v>
      </c>
      <c r="E147" s="54" t="n">
        <v>21</v>
      </c>
      <c r="F147" s="18" t="n">
        <v>0</v>
      </c>
      <c r="G147" s="59" t="s">
        <v>950</v>
      </c>
      <c r="H147" s="16" t="s">
        <v>844</v>
      </c>
      <c r="I147" s="54" t="n">
        <v>14</v>
      </c>
      <c r="J147" s="19" t="s">
        <v>951</v>
      </c>
    </row>
    <row r="148" customFormat="false" ht="29.25" hidden="false" customHeight="true" outlineLevel="0" collapsed="false">
      <c r="A148" s="16" t="n">
        <v>46</v>
      </c>
      <c r="B148" s="17" t="s">
        <v>952</v>
      </c>
      <c r="C148" s="58" t="n">
        <v>46274</v>
      </c>
      <c r="D148" s="58" t="n">
        <v>46299</v>
      </c>
      <c r="E148" s="54" t="n">
        <v>17</v>
      </c>
      <c r="F148" s="18" t="n">
        <v>0</v>
      </c>
      <c r="G148" s="59" t="s">
        <v>953</v>
      </c>
      <c r="H148" s="16" t="s">
        <v>862</v>
      </c>
      <c r="I148" s="54" t="n">
        <v>12</v>
      </c>
      <c r="J148" s="19" t="s">
        <v>951</v>
      </c>
    </row>
    <row r="149" customFormat="false" ht="29.25" hidden="false" customHeight="true" outlineLevel="0" collapsed="false">
      <c r="A149" s="16" t="n">
        <v>47</v>
      </c>
      <c r="B149" s="17" t="s">
        <v>954</v>
      </c>
      <c r="C149" s="58" t="n">
        <v>46277</v>
      </c>
      <c r="D149" s="58" t="n">
        <v>46300</v>
      </c>
      <c r="E149" s="54" t="n">
        <v>20</v>
      </c>
      <c r="F149" s="18" t="n">
        <v>441252.18</v>
      </c>
      <c r="G149" s="59" t="s">
        <v>955</v>
      </c>
      <c r="H149" s="16" t="s">
        <v>844</v>
      </c>
      <c r="I149" s="54" t="n">
        <v>15</v>
      </c>
      <c r="J149" s="19" t="s">
        <v>956</v>
      </c>
    </row>
    <row r="150" customFormat="false" ht="29.25" hidden="false" customHeight="true" outlineLevel="0" collapsed="false">
      <c r="A150" s="16" t="n">
        <v>48</v>
      </c>
      <c r="B150" s="17" t="s">
        <v>896</v>
      </c>
      <c r="C150" s="58" t="n">
        <v>46286</v>
      </c>
      <c r="D150" s="58" t="n">
        <v>46291</v>
      </c>
      <c r="E150" s="54" t="n">
        <v>4</v>
      </c>
      <c r="F150" s="18" t="n">
        <v>26471.87</v>
      </c>
      <c r="G150" s="59" t="s">
        <v>957</v>
      </c>
      <c r="H150" s="16" t="s">
        <v>844</v>
      </c>
      <c r="I150" s="54" t="n">
        <v>23</v>
      </c>
      <c r="J150" s="19" t="s">
        <v>958</v>
      </c>
    </row>
    <row r="151" customFormat="false" ht="29.25" hidden="false" customHeight="true" outlineLevel="0" collapsed="false">
      <c r="A151" s="16" t="n">
        <v>49</v>
      </c>
      <c r="B151" s="17" t="s">
        <v>959</v>
      </c>
      <c r="C151" s="58" t="n">
        <v>46292</v>
      </c>
      <c r="D151" s="58" t="n">
        <v>46326</v>
      </c>
      <c r="E151" s="54" t="n">
        <v>30</v>
      </c>
      <c r="F151" s="18" t="n">
        <v>149928.13</v>
      </c>
      <c r="G151" s="59" t="s">
        <v>960</v>
      </c>
      <c r="H151" s="16" t="s">
        <v>844</v>
      </c>
      <c r="I151" s="54" t="n">
        <v>23</v>
      </c>
      <c r="J151" s="19" t="s">
        <v>961</v>
      </c>
    </row>
    <row r="152" customFormat="false" ht="29.25" hidden="false" customHeight="true" outlineLevel="0" collapsed="false">
      <c r="A152" s="16" t="n">
        <v>50</v>
      </c>
      <c r="B152" s="17" t="s">
        <v>962</v>
      </c>
      <c r="C152" s="58" t="n">
        <v>46299</v>
      </c>
      <c r="D152" s="58" t="n">
        <v>46314</v>
      </c>
      <c r="E152" s="54" t="n">
        <v>14</v>
      </c>
      <c r="F152" s="18" t="n">
        <v>295996.37</v>
      </c>
      <c r="G152" s="59" t="s">
        <v>963</v>
      </c>
      <c r="H152" s="16" t="s">
        <v>844</v>
      </c>
      <c r="I152" s="54" t="n">
        <v>15</v>
      </c>
      <c r="J152" s="19" t="s">
        <v>908</v>
      </c>
    </row>
    <row r="153" customFormat="false" ht="29.25" hidden="false" customHeight="true" outlineLevel="0" collapsed="false">
      <c r="A153" s="16" t="n">
        <v>51</v>
      </c>
      <c r="B153" s="17" t="s">
        <v>964</v>
      </c>
      <c r="C153" s="58" t="n">
        <v>46299</v>
      </c>
      <c r="D153" s="58" t="n">
        <v>46314</v>
      </c>
      <c r="E153" s="54" t="n">
        <v>14</v>
      </c>
      <c r="F153" s="18" t="n">
        <v>0</v>
      </c>
      <c r="G153" s="59" t="s">
        <v>965</v>
      </c>
      <c r="H153" s="16" t="s">
        <v>844</v>
      </c>
      <c r="I153" s="54" t="n">
        <v>15</v>
      </c>
      <c r="J153" s="19" t="s">
        <v>951</v>
      </c>
    </row>
    <row r="154" customFormat="false" ht="29.25" hidden="false" customHeight="true" outlineLevel="0" collapsed="false">
      <c r="A154" s="16" t="n">
        <v>52</v>
      </c>
      <c r="B154" s="17" t="s">
        <v>966</v>
      </c>
      <c r="C154" s="58" t="n">
        <v>46300</v>
      </c>
      <c r="D154" s="58" t="n">
        <v>46315</v>
      </c>
      <c r="E154" s="54" t="n">
        <v>12</v>
      </c>
      <c r="F154" s="18" t="n">
        <v>0</v>
      </c>
      <c r="G154" s="59" t="s">
        <v>967</v>
      </c>
      <c r="H154" s="16" t="s">
        <v>862</v>
      </c>
      <c r="I154" s="54" t="n">
        <v>13</v>
      </c>
      <c r="J154" s="19" t="s">
        <v>951</v>
      </c>
    </row>
    <row r="155" customFormat="false" ht="29.25" hidden="false" customHeight="true" outlineLevel="0" collapsed="false">
      <c r="A155" s="16" t="n">
        <v>53</v>
      </c>
      <c r="B155" s="17" t="s">
        <v>968</v>
      </c>
      <c r="C155" s="58" t="n">
        <v>46301</v>
      </c>
      <c r="D155" s="58" t="n">
        <v>46319</v>
      </c>
      <c r="E155" s="54" t="n">
        <v>16</v>
      </c>
      <c r="F155" s="18" t="n">
        <v>701992.11</v>
      </c>
      <c r="G155" s="59" t="s">
        <v>969</v>
      </c>
      <c r="H155" s="16" t="s">
        <v>844</v>
      </c>
      <c r="I155" s="54" t="n">
        <v>15</v>
      </c>
      <c r="J155" s="19" t="s">
        <v>956</v>
      </c>
    </row>
    <row r="156" customFormat="false" ht="18" hidden="false" customHeight="true" outlineLevel="0" collapsed="false">
      <c r="A156" s="16" t="n">
        <v>54</v>
      </c>
      <c r="B156" s="17" t="s">
        <v>970</v>
      </c>
      <c r="C156" s="58" t="n">
        <v>46303</v>
      </c>
      <c r="D156" s="58" t="n">
        <v>46324</v>
      </c>
      <c r="E156" s="54" t="n">
        <v>19</v>
      </c>
      <c r="F156" s="18" t="n">
        <v>260739.93</v>
      </c>
      <c r="G156" s="59" t="s">
        <v>971</v>
      </c>
      <c r="H156" s="16" t="s">
        <v>844</v>
      </c>
      <c r="I156" s="54" t="n">
        <v>15</v>
      </c>
      <c r="J156" s="19" t="s">
        <v>956</v>
      </c>
    </row>
    <row r="157" customFormat="false" ht="29.25" hidden="false" customHeight="true" outlineLevel="0" collapsed="false">
      <c r="A157" s="16" t="n">
        <v>55</v>
      </c>
      <c r="B157" s="17" t="s">
        <v>972</v>
      </c>
      <c r="C157" s="58" t="n">
        <v>46315</v>
      </c>
      <c r="D157" s="58" t="n">
        <v>46330</v>
      </c>
      <c r="E157" s="54" t="n">
        <v>14</v>
      </c>
      <c r="F157" s="18" t="n">
        <v>443958.8</v>
      </c>
      <c r="G157" s="59" t="s">
        <v>973</v>
      </c>
      <c r="H157" s="16" t="s">
        <v>844</v>
      </c>
      <c r="I157" s="54" t="n">
        <v>0</v>
      </c>
      <c r="J157" s="19" t="s">
        <v>906</v>
      </c>
    </row>
    <row r="158" customFormat="false" ht="29.25" hidden="false" customHeight="true" outlineLevel="0" collapsed="false">
      <c r="A158" s="16" t="n">
        <v>56</v>
      </c>
      <c r="B158" s="17" t="s">
        <v>974</v>
      </c>
      <c r="C158" s="58" t="n">
        <v>46315</v>
      </c>
      <c r="D158" s="58" t="n">
        <v>46330</v>
      </c>
      <c r="E158" s="54" t="n">
        <v>14</v>
      </c>
      <c r="F158" s="18" t="n">
        <v>0</v>
      </c>
      <c r="G158" s="59" t="s">
        <v>975</v>
      </c>
      <c r="H158" s="16" t="s">
        <v>844</v>
      </c>
      <c r="I158" s="54" t="n">
        <v>0</v>
      </c>
      <c r="J158" s="19" t="s">
        <v>976</v>
      </c>
    </row>
    <row r="159" customFormat="false" ht="29.25" hidden="false" customHeight="true" outlineLevel="0" collapsed="false">
      <c r="A159" s="16" t="n">
        <v>57</v>
      </c>
      <c r="B159" s="17" t="s">
        <v>954</v>
      </c>
      <c r="C159" s="58" t="n">
        <v>46317</v>
      </c>
      <c r="D159" s="58" t="n">
        <v>46323</v>
      </c>
      <c r="E159" s="54" t="n">
        <v>6</v>
      </c>
      <c r="F159" s="18" t="n">
        <v>441252.18</v>
      </c>
      <c r="G159" s="59" t="s">
        <v>977</v>
      </c>
      <c r="H159" s="16" t="s">
        <v>844</v>
      </c>
      <c r="I159" s="54" t="n">
        <v>0</v>
      </c>
      <c r="J159" s="19" t="s">
        <v>978</v>
      </c>
    </row>
    <row r="160" customFormat="false" ht="29.25" hidden="false" customHeight="true" outlineLevel="0" collapsed="false">
      <c r="A160" s="16" t="n">
        <v>58</v>
      </c>
      <c r="B160" s="17" t="s">
        <v>979</v>
      </c>
      <c r="C160" s="58" t="n">
        <v>46317</v>
      </c>
      <c r="D160" s="58" t="n">
        <v>46331</v>
      </c>
      <c r="E160" s="54" t="n">
        <v>13</v>
      </c>
      <c r="F160" s="18" t="n">
        <v>0</v>
      </c>
      <c r="G160" s="59" t="s">
        <v>980</v>
      </c>
      <c r="H160" s="16" t="s">
        <v>844</v>
      </c>
      <c r="I160" s="54" t="n">
        <v>0</v>
      </c>
      <c r="J160" s="19" t="s">
        <v>976</v>
      </c>
    </row>
    <row r="161" customFormat="false" ht="29.25" hidden="false" customHeight="true" outlineLevel="0" collapsed="false">
      <c r="A161" s="16" t="n">
        <v>59</v>
      </c>
      <c r="B161" s="17" t="s">
        <v>968</v>
      </c>
      <c r="C161" s="58" t="n">
        <v>46324</v>
      </c>
      <c r="D161" s="58" t="n">
        <v>46337</v>
      </c>
      <c r="E161" s="54" t="n">
        <v>12</v>
      </c>
      <c r="F161" s="18" t="n">
        <v>701992.11</v>
      </c>
      <c r="G161" s="59" t="s">
        <v>981</v>
      </c>
      <c r="H161" s="16" t="s">
        <v>844</v>
      </c>
      <c r="I161" s="54" t="n">
        <v>0</v>
      </c>
      <c r="J161" s="19" t="s">
        <v>978</v>
      </c>
    </row>
    <row r="162" customFormat="false" ht="18" hidden="false" customHeight="true" outlineLevel="0" collapsed="false">
      <c r="A162" s="16" t="n">
        <v>60</v>
      </c>
      <c r="B162" s="17" t="s">
        <v>982</v>
      </c>
      <c r="C162" s="58" t="n">
        <v>46326</v>
      </c>
      <c r="D162" s="58" t="n">
        <v>46330</v>
      </c>
      <c r="E162" s="54" t="n">
        <v>5</v>
      </c>
      <c r="F162" s="18" t="n">
        <v>260739.93</v>
      </c>
      <c r="G162" s="59" t="s">
        <v>983</v>
      </c>
      <c r="H162" s="16" t="s">
        <v>844</v>
      </c>
      <c r="I162" s="54" t="n">
        <v>15</v>
      </c>
      <c r="J162" s="19" t="s">
        <v>956</v>
      </c>
    </row>
    <row r="163" customFormat="false" ht="18" hidden="false" customHeight="true" outlineLevel="0" collapsed="false">
      <c r="A163" s="16" t="n">
        <v>61</v>
      </c>
      <c r="B163" s="17" t="s">
        <v>970</v>
      </c>
      <c r="C163" s="58" t="n">
        <v>46327</v>
      </c>
      <c r="D163" s="58" t="n">
        <v>46343</v>
      </c>
      <c r="E163" s="54" t="n">
        <v>15</v>
      </c>
      <c r="F163" s="18" t="n">
        <v>260739.93</v>
      </c>
      <c r="G163" s="59" t="s">
        <v>984</v>
      </c>
      <c r="H163" s="16" t="s">
        <v>844</v>
      </c>
      <c r="I163" s="54" t="n">
        <v>0</v>
      </c>
      <c r="J163" s="19" t="s">
        <v>978</v>
      </c>
    </row>
    <row r="164" customFormat="false" ht="29.25" hidden="false" customHeight="true" outlineLevel="0" collapsed="false">
      <c r="A164" s="16" t="n">
        <v>62</v>
      </c>
      <c r="B164" s="17" t="s">
        <v>985</v>
      </c>
      <c r="C164" s="58" t="n">
        <v>46327</v>
      </c>
      <c r="D164" s="58" t="n">
        <v>46327</v>
      </c>
      <c r="E164" s="54" t="n">
        <v>1</v>
      </c>
      <c r="F164" s="18" t="n">
        <v>0</v>
      </c>
      <c r="G164" s="59" t="s">
        <v>986</v>
      </c>
      <c r="H164" s="16" t="s">
        <v>844</v>
      </c>
      <c r="I164" s="54" t="n">
        <v>23</v>
      </c>
      <c r="J164" s="19" t="s">
        <v>987</v>
      </c>
    </row>
    <row r="165" customFormat="false" ht="29.25" hidden="false" customHeight="true" outlineLevel="0" collapsed="false">
      <c r="A165" s="16" t="n">
        <v>63</v>
      </c>
      <c r="B165" s="17" t="s">
        <v>988</v>
      </c>
      <c r="C165" s="58" t="n">
        <v>46328</v>
      </c>
      <c r="D165" s="58" t="n">
        <v>46329</v>
      </c>
      <c r="E165" s="54" t="n">
        <v>2</v>
      </c>
      <c r="F165" s="18" t="n">
        <v>0</v>
      </c>
      <c r="G165" s="59" t="s">
        <v>989</v>
      </c>
      <c r="H165" s="16" t="s">
        <v>862</v>
      </c>
      <c r="I165" s="54" t="n">
        <v>19</v>
      </c>
      <c r="J165" s="19" t="s">
        <v>987</v>
      </c>
    </row>
    <row r="166" customFormat="false" ht="29.25" hidden="false" customHeight="true" outlineLevel="0" collapsed="false">
      <c r="A166" s="16" t="n">
        <v>64</v>
      </c>
      <c r="B166" s="17" t="s">
        <v>990</v>
      </c>
      <c r="C166" s="58" t="n">
        <v>46331</v>
      </c>
      <c r="D166" s="58" t="n">
        <v>46337</v>
      </c>
      <c r="E166" s="54" t="n">
        <v>6</v>
      </c>
      <c r="F166" s="18" t="n">
        <v>340967.6</v>
      </c>
      <c r="G166" s="59" t="s">
        <v>991</v>
      </c>
      <c r="H166" s="16" t="s">
        <v>844</v>
      </c>
      <c r="I166" s="54" t="n">
        <v>15</v>
      </c>
      <c r="J166" s="19" t="s">
        <v>956</v>
      </c>
    </row>
    <row r="167" customFormat="false" ht="29.25" hidden="false" customHeight="true" outlineLevel="0" collapsed="false">
      <c r="A167" s="16" t="n">
        <v>65</v>
      </c>
      <c r="B167" s="17" t="s">
        <v>992</v>
      </c>
      <c r="C167" s="58" t="n">
        <v>46335</v>
      </c>
      <c r="D167" s="58" t="n">
        <v>46340</v>
      </c>
      <c r="E167" s="54" t="n">
        <v>5</v>
      </c>
      <c r="F167" s="18" t="n">
        <v>44773.92</v>
      </c>
      <c r="G167" s="59" t="s">
        <v>993</v>
      </c>
      <c r="H167" s="16" t="s">
        <v>844</v>
      </c>
      <c r="I167" s="54" t="n">
        <v>17</v>
      </c>
      <c r="J167" s="19" t="s">
        <v>994</v>
      </c>
    </row>
    <row r="168" customFormat="false" ht="29.25" hidden="false" customHeight="true" outlineLevel="0" collapsed="false">
      <c r="A168" s="16" t="n">
        <v>66</v>
      </c>
      <c r="B168" s="17" t="s">
        <v>995</v>
      </c>
      <c r="C168" s="58" t="n">
        <v>46337</v>
      </c>
      <c r="D168" s="58" t="n">
        <v>46340</v>
      </c>
      <c r="E168" s="54" t="n">
        <v>3</v>
      </c>
      <c r="F168" s="18" t="n">
        <v>22386.96</v>
      </c>
      <c r="G168" s="59" t="s">
        <v>996</v>
      </c>
      <c r="H168" s="16" t="s">
        <v>844</v>
      </c>
      <c r="I168" s="54" t="n">
        <v>17</v>
      </c>
      <c r="J168" s="19" t="s">
        <v>994</v>
      </c>
    </row>
    <row r="169" customFormat="false" ht="18" hidden="false" customHeight="true" outlineLevel="0" collapsed="false">
      <c r="A169" s="16" t="n">
        <v>67</v>
      </c>
      <c r="B169" s="17" t="s">
        <v>997</v>
      </c>
      <c r="C169" s="58" t="n">
        <v>46338</v>
      </c>
      <c r="D169" s="58" t="n">
        <v>46342</v>
      </c>
      <c r="E169" s="54" t="n">
        <v>4</v>
      </c>
      <c r="F169" s="18" t="n">
        <v>156708.71</v>
      </c>
      <c r="G169" s="59" t="s">
        <v>998</v>
      </c>
      <c r="H169" s="16" t="s">
        <v>844</v>
      </c>
      <c r="I169" s="54" t="n">
        <v>15</v>
      </c>
      <c r="J169" s="19" t="s">
        <v>994</v>
      </c>
    </row>
    <row r="170" customFormat="false" ht="18" hidden="false" customHeight="true" outlineLevel="0" collapsed="false">
      <c r="A170" s="16" t="n">
        <v>68</v>
      </c>
      <c r="B170" s="17" t="s">
        <v>982</v>
      </c>
      <c r="C170" s="58" t="n">
        <v>46344</v>
      </c>
      <c r="D170" s="58" t="n">
        <v>46349</v>
      </c>
      <c r="E170" s="54" t="n">
        <v>5</v>
      </c>
      <c r="F170" s="18" t="n">
        <v>260739.93</v>
      </c>
      <c r="G170" s="59" t="s">
        <v>999</v>
      </c>
      <c r="H170" s="16" t="s">
        <v>844</v>
      </c>
      <c r="I170" s="54" t="n">
        <v>0</v>
      </c>
      <c r="J170" s="19" t="s">
        <v>978</v>
      </c>
    </row>
    <row r="171" customFormat="false" ht="29.25" hidden="false" customHeight="true" outlineLevel="0" collapsed="false">
      <c r="A171" s="16" t="n">
        <v>69</v>
      </c>
      <c r="B171" s="17" t="s">
        <v>990</v>
      </c>
      <c r="C171" s="58" t="n">
        <v>46350</v>
      </c>
      <c r="D171" s="58" t="n">
        <v>46356</v>
      </c>
      <c r="E171" s="54" t="n">
        <v>6</v>
      </c>
      <c r="F171" s="18" t="n">
        <v>340967.6</v>
      </c>
      <c r="G171" s="59" t="s">
        <v>1000</v>
      </c>
      <c r="H171" s="16" t="s">
        <v>844</v>
      </c>
      <c r="I171" s="54" t="n">
        <v>0</v>
      </c>
      <c r="J171" s="19" t="s">
        <v>978</v>
      </c>
    </row>
    <row r="172" customFormat="false" ht="29.25" hidden="false" customHeight="true" outlineLevel="0" collapsed="false">
      <c r="A172" s="16" t="n">
        <v>70</v>
      </c>
      <c r="B172" s="17" t="s">
        <v>992</v>
      </c>
      <c r="C172" s="58" t="n">
        <v>46354</v>
      </c>
      <c r="D172" s="58" t="n">
        <v>46358</v>
      </c>
      <c r="E172" s="54" t="n">
        <v>5</v>
      </c>
      <c r="F172" s="18" t="n">
        <v>44773.92</v>
      </c>
      <c r="G172" s="59" t="s">
        <v>1001</v>
      </c>
      <c r="H172" s="16" t="s">
        <v>844</v>
      </c>
      <c r="I172" s="54" t="n">
        <v>0</v>
      </c>
      <c r="J172" s="19" t="s">
        <v>1002</v>
      </c>
    </row>
    <row r="173" customFormat="false" ht="29.25" hidden="false" customHeight="true" outlineLevel="0" collapsed="false">
      <c r="A173" s="16" t="n">
        <v>71</v>
      </c>
      <c r="B173" s="17" t="s">
        <v>995</v>
      </c>
      <c r="C173" s="58" t="n">
        <v>46356</v>
      </c>
      <c r="D173" s="58" t="n">
        <v>46358</v>
      </c>
      <c r="E173" s="54" t="n">
        <v>3</v>
      </c>
      <c r="F173" s="18" t="n">
        <v>22386.96</v>
      </c>
      <c r="G173" s="59" t="s">
        <v>1003</v>
      </c>
      <c r="H173" s="16" t="s">
        <v>844</v>
      </c>
      <c r="I173" s="54" t="n">
        <v>5</v>
      </c>
      <c r="J173" s="19" t="s">
        <v>1002</v>
      </c>
    </row>
    <row r="174" customFormat="false" ht="18" hidden="false" customHeight="true" outlineLevel="0" collapsed="false">
      <c r="A174" s="16" t="n">
        <v>72</v>
      </c>
      <c r="B174" s="17" t="s">
        <v>997</v>
      </c>
      <c r="C174" s="58" t="n">
        <v>46357</v>
      </c>
      <c r="D174" s="58" t="n">
        <v>46359</v>
      </c>
      <c r="E174" s="54" t="n">
        <v>3</v>
      </c>
      <c r="F174" s="18" t="n">
        <v>156708.71</v>
      </c>
      <c r="G174" s="59" t="s">
        <v>1004</v>
      </c>
      <c r="H174" s="16" t="s">
        <v>844</v>
      </c>
      <c r="I174" s="54" t="n">
        <v>0</v>
      </c>
      <c r="J174" s="19" t="s">
        <v>1002</v>
      </c>
    </row>
    <row r="175" customFormat="false" ht="18" hidden="false" customHeight="true" outlineLevel="0" collapsed="false">
      <c r="A175" s="16" t="n">
        <v>73</v>
      </c>
      <c r="B175" s="17" t="s">
        <v>1005</v>
      </c>
      <c r="C175" s="58" t="n">
        <v>46359</v>
      </c>
      <c r="D175" s="58" t="n">
        <v>46359</v>
      </c>
      <c r="E175" s="54" t="n">
        <v>0</v>
      </c>
      <c r="F175" s="18" t="n">
        <v>0</v>
      </c>
      <c r="G175" s="59" t="s">
        <v>1006</v>
      </c>
      <c r="H175" s="16" t="s">
        <v>844</v>
      </c>
      <c r="I175" s="54" t="n">
        <v>0</v>
      </c>
      <c r="J175" s="19" t="s">
        <v>1007</v>
      </c>
    </row>
    <row r="176" customFormat="false" ht="18" hidden="false" customHeight="true" outlineLevel="0" collapsed="false">
      <c r="A176" s="16" t="n">
        <v>74</v>
      </c>
      <c r="B176" s="17" t="s">
        <v>1008</v>
      </c>
      <c r="C176" s="58" t="n">
        <v>46361</v>
      </c>
      <c r="D176" s="58" t="n">
        <v>46364</v>
      </c>
      <c r="E176" s="54" t="n">
        <v>4</v>
      </c>
      <c r="F176" s="18" t="n">
        <v>64302.97</v>
      </c>
      <c r="G176" s="59" t="s">
        <v>1009</v>
      </c>
      <c r="H176" s="16" t="s">
        <v>844</v>
      </c>
      <c r="I176" s="54" t="n">
        <v>0</v>
      </c>
      <c r="J176" s="19" t="s">
        <v>1007</v>
      </c>
    </row>
    <row r="177" customFormat="false" ht="18" hidden="false" customHeight="true" outlineLevel="0" collapsed="false">
      <c r="A177" s="16" t="n">
        <v>75</v>
      </c>
      <c r="B177" s="17" t="s">
        <v>1010</v>
      </c>
      <c r="C177" s="58" t="n">
        <v>46365</v>
      </c>
      <c r="D177" s="58" t="n">
        <v>46372</v>
      </c>
      <c r="E177" s="54" t="n">
        <v>7</v>
      </c>
      <c r="F177" s="18" t="n">
        <v>100152.99</v>
      </c>
      <c r="G177" s="59" t="s">
        <v>1011</v>
      </c>
      <c r="H177" s="16" t="s">
        <v>844</v>
      </c>
      <c r="I177" s="54" t="n">
        <v>0</v>
      </c>
      <c r="J177" s="19" t="s">
        <v>1012</v>
      </c>
    </row>
    <row r="178" customFormat="false" ht="18" hidden="false" customHeight="true" outlineLevel="0" collapsed="false">
      <c r="A178" s="16" t="n">
        <v>76</v>
      </c>
      <c r="B178" s="17" t="s">
        <v>1013</v>
      </c>
      <c r="C178" s="58" t="n">
        <v>46365</v>
      </c>
      <c r="D178" s="58" t="n">
        <v>46372</v>
      </c>
      <c r="E178" s="54" t="n">
        <v>7</v>
      </c>
      <c r="F178" s="18" t="n">
        <v>100152.99</v>
      </c>
      <c r="G178" s="59" t="s">
        <v>1014</v>
      </c>
      <c r="H178" s="16" t="s">
        <v>844</v>
      </c>
      <c r="I178" s="54" t="n">
        <v>0</v>
      </c>
      <c r="J178" s="19" t="s">
        <v>1012</v>
      </c>
    </row>
    <row r="179" customFormat="false" ht="18" hidden="false" customHeight="true" outlineLevel="0" collapsed="false">
      <c r="A179" s="16" t="n">
        <v>77</v>
      </c>
      <c r="B179" s="17" t="s">
        <v>1015</v>
      </c>
      <c r="C179" s="58" t="n">
        <v>46372</v>
      </c>
      <c r="D179" s="58" t="n">
        <v>46372</v>
      </c>
      <c r="E179" s="54" t="n">
        <v>0</v>
      </c>
      <c r="F179" s="18" t="n">
        <v>0</v>
      </c>
      <c r="G179" s="59" t="s">
        <v>1016</v>
      </c>
      <c r="H179" s="16" t="s">
        <v>844</v>
      </c>
      <c r="I179" s="54" t="n">
        <v>7</v>
      </c>
      <c r="J179" s="19" t="s">
        <v>852</v>
      </c>
    </row>
    <row r="180" customFormat="false" ht="18" hidden="false" customHeight="true" outlineLevel="0" collapsed="false">
      <c r="A180" s="16" t="n">
        <v>78</v>
      </c>
      <c r="B180" s="17" t="s">
        <v>1017</v>
      </c>
      <c r="C180" s="58" t="n">
        <v>46372</v>
      </c>
      <c r="D180" s="58" t="n">
        <v>46372</v>
      </c>
      <c r="E180" s="54" t="n">
        <v>0</v>
      </c>
      <c r="F180" s="18" t="n">
        <v>0</v>
      </c>
      <c r="G180" s="59" t="s">
        <v>1018</v>
      </c>
      <c r="H180" s="16" t="s">
        <v>844</v>
      </c>
      <c r="I180" s="54" t="n">
        <v>7</v>
      </c>
      <c r="J180" s="19" t="s">
        <v>852</v>
      </c>
    </row>
    <row r="181" customFormat="false" ht="29.25" hidden="false" customHeight="true" outlineLevel="0" collapsed="false">
      <c r="A181" s="16" t="n">
        <v>79</v>
      </c>
      <c r="B181" s="17" t="s">
        <v>1019</v>
      </c>
      <c r="C181" s="58" t="n">
        <v>46373</v>
      </c>
      <c r="D181" s="58" t="n">
        <v>46380</v>
      </c>
      <c r="E181" s="54" t="n">
        <v>7</v>
      </c>
      <c r="F181" s="18" t="n">
        <v>50000</v>
      </c>
      <c r="G181" s="59" t="s">
        <v>1020</v>
      </c>
      <c r="H181" s="16" t="s">
        <v>844</v>
      </c>
      <c r="I181" s="54" t="n">
        <v>0</v>
      </c>
      <c r="J181" s="19" t="s">
        <v>1021</v>
      </c>
    </row>
    <row r="182" customFormat="false" ht="18" hidden="false" customHeight="true" outlineLevel="0" collapsed="false">
      <c r="A182" s="16" t="n">
        <v>80</v>
      </c>
      <c r="B182" s="17" t="s">
        <v>1022</v>
      </c>
      <c r="C182" s="58" t="n">
        <v>46373</v>
      </c>
      <c r="D182" s="58" t="n">
        <v>46380</v>
      </c>
      <c r="E182" s="54" t="n">
        <v>7</v>
      </c>
      <c r="F182" s="18" t="n">
        <v>0</v>
      </c>
      <c r="G182" s="59" t="s">
        <v>1023</v>
      </c>
      <c r="H182" s="16" t="s">
        <v>844</v>
      </c>
      <c r="I182" s="54" t="n">
        <v>0</v>
      </c>
      <c r="J182" s="19" t="s">
        <v>1024</v>
      </c>
    </row>
    <row r="183" customFormat="false" ht="18" hidden="false" customHeight="true" outlineLevel="0" collapsed="false">
      <c r="A183" s="16" t="n">
        <v>81</v>
      </c>
      <c r="B183" s="17" t="s">
        <v>1025</v>
      </c>
      <c r="C183" s="58" t="n">
        <v>46380</v>
      </c>
      <c r="D183" s="58" t="n">
        <v>46380</v>
      </c>
      <c r="E183" s="54" t="n">
        <v>0</v>
      </c>
      <c r="F183" s="18" t="n">
        <v>0</v>
      </c>
      <c r="G183" s="59" t="s">
        <v>1026</v>
      </c>
      <c r="H183" s="16" t="s">
        <v>848</v>
      </c>
      <c r="I183" s="54" t="n">
        <v>0</v>
      </c>
      <c r="J183" s="19" t="s">
        <v>849</v>
      </c>
    </row>
    <row r="184" customFormat="false" ht="29.25" hidden="false" customHeight="true" outlineLevel="0" collapsed="false">
      <c r="A184" s="23"/>
      <c r="B184" s="23" t="s">
        <v>1027</v>
      </c>
      <c r="C184" s="23"/>
      <c r="D184" s="23"/>
      <c r="E184" s="23"/>
      <c r="F184" s="35" t="n">
        <f aca="false">SUM(F103:F183)</f>
        <v>8110296.62</v>
      </c>
      <c r="G184" s="23"/>
      <c r="H184" s="23"/>
      <c r="I184" s="23"/>
      <c r="J184" s="19" t="s">
        <v>1028</v>
      </c>
    </row>
  </sheetData>
  <mergeCells count="52">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5:J45"/>
    <mergeCell ref="I46:J46"/>
    <mergeCell ref="I47:J47"/>
    <mergeCell ref="I48:J48"/>
    <mergeCell ref="I49:J49"/>
    <mergeCell ref="I50:J50"/>
    <mergeCell ref="I51:J51"/>
    <mergeCell ref="A53:J53"/>
    <mergeCell ref="A54:J54"/>
    <mergeCell ref="A100:J100"/>
    <mergeCell ref="A101:J101"/>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640625" defaultRowHeight="14.2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7"/>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6"/>
  </cols>
  <sheetData>
    <row r="1" customFormat="false" ht="25.5" hidden="false" customHeight="true" outlineLevel="0" collapsed="false">
      <c r="A1" s="8" t="s">
        <v>1029</v>
      </c>
    </row>
    <row r="2" customFormat="false" ht="15.75" hidden="false" customHeight="true" outlineLevel="0" collapsed="false">
      <c r="A2" s="9" t="s">
        <v>1030</v>
      </c>
    </row>
    <row r="3" customFormat="false" ht="15" hidden="false" customHeight="true" outlineLevel="0" collapsed="false">
      <c r="A3" s="10" t="s">
        <v>1031</v>
      </c>
    </row>
    <row r="4" customFormat="false" ht="30" hidden="false" customHeight="true" outlineLevel="0" collapsed="false">
      <c r="A4" s="60" t="s">
        <v>1032</v>
      </c>
    </row>
    <row r="5" customFormat="false" ht="19.5" hidden="false" customHeight="true" outlineLevel="0" collapsed="false">
      <c r="A5" s="61"/>
      <c r="B5" s="61"/>
      <c r="C5" s="62" t="s">
        <v>1033</v>
      </c>
      <c r="D5" s="62"/>
      <c r="E5" s="62"/>
      <c r="F5" s="62"/>
      <c r="G5" s="62"/>
    </row>
    <row r="6" customFormat="false" ht="31.5" hidden="false" customHeight="true" outlineLevel="0" collapsed="false">
      <c r="A6" s="13" t="s">
        <v>35</v>
      </c>
      <c r="B6" s="13" t="s">
        <v>36</v>
      </c>
      <c r="C6" s="13" t="s">
        <v>37</v>
      </c>
      <c r="D6" s="13" t="s">
        <v>38</v>
      </c>
      <c r="E6" s="13" t="s">
        <v>39</v>
      </c>
      <c r="F6" s="13" t="s">
        <v>40</v>
      </c>
      <c r="G6" s="13" t="s">
        <v>1034</v>
      </c>
    </row>
    <row r="7" customFormat="false" ht="21.75" hidden="false" customHeight="true" outlineLevel="0" collapsed="false">
      <c r="A7" s="63" t="s">
        <v>1035</v>
      </c>
      <c r="B7" s="63"/>
      <c r="C7" s="63"/>
      <c r="D7" s="63"/>
      <c r="E7" s="63"/>
      <c r="F7" s="63"/>
      <c r="G7" s="63"/>
    </row>
    <row r="8" customFormat="false" ht="45" hidden="false" customHeight="true" outlineLevel="0" collapsed="false">
      <c r="A8" s="64" t="n">
        <v>1</v>
      </c>
      <c r="B8" s="65" t="s">
        <v>1036</v>
      </c>
      <c r="C8" s="64" t="s">
        <v>49</v>
      </c>
      <c r="D8" s="66" t="n">
        <v>1</v>
      </c>
      <c r="E8" s="66" t="n">
        <v>816000</v>
      </c>
      <c r="F8" s="67" t="n">
        <v>816000</v>
      </c>
      <c r="G8" s="68"/>
    </row>
    <row r="9" customFormat="false" ht="21.75" hidden="false" customHeight="true" outlineLevel="0" collapsed="false">
      <c r="A9" s="63" t="s">
        <v>54</v>
      </c>
      <c r="B9" s="63"/>
      <c r="C9" s="63"/>
      <c r="D9" s="63"/>
      <c r="E9" s="63"/>
      <c r="F9" s="63"/>
      <c r="G9" s="63"/>
    </row>
    <row r="10" customFormat="false" ht="96.75" hidden="false" customHeight="true" outlineLevel="0" collapsed="false">
      <c r="A10" s="64" t="n">
        <v>2</v>
      </c>
      <c r="B10" s="65" t="s">
        <v>1037</v>
      </c>
      <c r="C10" s="64" t="s">
        <v>49</v>
      </c>
      <c r="D10" s="66" t="n">
        <v>1</v>
      </c>
      <c r="E10" s="66" t="n">
        <v>102000</v>
      </c>
      <c r="F10" s="67" t="n">
        <v>102000</v>
      </c>
      <c r="G10" s="68"/>
    </row>
    <row r="11" customFormat="false" ht="21.75" hidden="false" customHeight="true" outlineLevel="0" collapsed="false">
      <c r="A11" s="63" t="s">
        <v>1038</v>
      </c>
      <c r="B11" s="63"/>
      <c r="C11" s="63"/>
      <c r="D11" s="63"/>
      <c r="E11" s="63"/>
      <c r="F11" s="63"/>
      <c r="G11" s="63"/>
    </row>
    <row r="12" customFormat="false" ht="70.5" hidden="false" customHeight="true" outlineLevel="0" collapsed="false">
      <c r="A12" s="64" t="n">
        <v>3</v>
      </c>
      <c r="B12" s="65" t="s">
        <v>1039</v>
      </c>
      <c r="C12" s="64" t="s">
        <v>49</v>
      </c>
      <c r="D12" s="66" t="n">
        <v>1</v>
      </c>
      <c r="E12" s="66" t="n">
        <v>18000</v>
      </c>
      <c r="F12" s="67" t="n">
        <v>18000</v>
      </c>
      <c r="G12" s="68"/>
    </row>
    <row r="13" customFormat="false" ht="258.75" hidden="false" customHeight="true" outlineLevel="0" collapsed="false">
      <c r="A13" s="64" t="n">
        <v>4</v>
      </c>
      <c r="B13" s="65" t="s">
        <v>1040</v>
      </c>
      <c r="C13" s="64" t="s">
        <v>49</v>
      </c>
      <c r="D13" s="66" t="n">
        <v>1</v>
      </c>
      <c r="E13" s="66" t="n">
        <v>31500</v>
      </c>
      <c r="F13" s="67" t="n">
        <v>31500</v>
      </c>
      <c r="G13" s="68"/>
    </row>
    <row r="14" customFormat="false" ht="14.25" hidden="false" customHeight="false" outlineLevel="0" collapsed="false">
      <c r="A14" s="63" t="s">
        <v>1041</v>
      </c>
      <c r="B14" s="63"/>
      <c r="C14" s="63"/>
      <c r="D14" s="63"/>
      <c r="E14" s="63"/>
      <c r="F14" s="63"/>
      <c r="G14" s="63"/>
    </row>
    <row r="15" customFormat="false" ht="72" hidden="false" customHeight="true" outlineLevel="0" collapsed="false">
      <c r="A15" s="64" t="n">
        <v>5</v>
      </c>
      <c r="B15" s="65" t="s">
        <v>1042</v>
      </c>
      <c r="C15" s="64" t="s">
        <v>1043</v>
      </c>
      <c r="D15" s="66" t="n">
        <v>1050</v>
      </c>
      <c r="E15" s="66" t="n">
        <v>6</v>
      </c>
      <c r="F15" s="67" t="n">
        <v>6300</v>
      </c>
      <c r="G15" s="68"/>
    </row>
    <row r="16" customFormat="false" ht="100.5" hidden="false" customHeight="true" outlineLevel="0" collapsed="false">
      <c r="A16" s="64" t="n">
        <v>6</v>
      </c>
      <c r="B16" s="65" t="s">
        <v>1044</v>
      </c>
      <c r="C16" s="64" t="s">
        <v>1045</v>
      </c>
      <c r="D16" s="66" t="n">
        <v>1050</v>
      </c>
      <c r="E16" s="66" t="n">
        <v>54</v>
      </c>
      <c r="F16" s="67" t="n">
        <v>56700</v>
      </c>
      <c r="G16" s="68"/>
    </row>
    <row r="17" customFormat="false" ht="144" hidden="false" customHeight="true" outlineLevel="0" collapsed="false">
      <c r="A17" s="64" t="n">
        <v>7</v>
      </c>
      <c r="B17" s="65" t="s">
        <v>1046</v>
      </c>
      <c r="C17" s="64" t="s">
        <v>1045</v>
      </c>
      <c r="D17" s="66" t="n">
        <v>1050</v>
      </c>
      <c r="E17" s="66" t="n">
        <v>60</v>
      </c>
      <c r="F17" s="67" t="n">
        <v>63000</v>
      </c>
      <c r="G17" s="68"/>
    </row>
    <row r="18" customFormat="false" ht="14.25" hidden="false" customHeight="false" outlineLevel="0" collapsed="false">
      <c r="A18" s="63" t="s">
        <v>1047</v>
      </c>
      <c r="B18" s="63"/>
      <c r="C18" s="63"/>
      <c r="D18" s="63"/>
      <c r="E18" s="63"/>
      <c r="F18" s="63"/>
      <c r="G18" s="63"/>
    </row>
    <row r="19" customFormat="false" ht="57" hidden="false" customHeight="true" outlineLevel="0" collapsed="false">
      <c r="A19" s="64" t="n">
        <v>8</v>
      </c>
      <c r="B19" s="65" t="s">
        <v>1048</v>
      </c>
      <c r="C19" s="64" t="s">
        <v>1043</v>
      </c>
      <c r="D19" s="66" t="n">
        <v>1050</v>
      </c>
      <c r="E19" s="66" t="n">
        <v>120</v>
      </c>
      <c r="F19" s="67" t="n">
        <v>126000</v>
      </c>
      <c r="G19" s="68"/>
    </row>
    <row r="20" customFormat="false" ht="186.75" hidden="false" customHeight="true" outlineLevel="0" collapsed="false">
      <c r="A20" s="64" t="n">
        <v>9</v>
      </c>
      <c r="B20" s="65" t="s">
        <v>1049</v>
      </c>
      <c r="C20" s="64" t="s">
        <v>1045</v>
      </c>
      <c r="D20" s="66" t="n">
        <v>435.3</v>
      </c>
      <c r="E20" s="66" t="n">
        <v>1920</v>
      </c>
      <c r="F20" s="67" t="n">
        <v>835776</v>
      </c>
      <c r="G20" s="68"/>
    </row>
    <row r="21" customFormat="false" ht="144" hidden="false" customHeight="true" outlineLevel="0" collapsed="false">
      <c r="A21" s="64" t="n">
        <v>10</v>
      </c>
      <c r="B21" s="65" t="s">
        <v>1050</v>
      </c>
      <c r="C21" s="64" t="s">
        <v>1043</v>
      </c>
      <c r="D21" s="66" t="n">
        <v>1050</v>
      </c>
      <c r="E21" s="66" t="n">
        <v>108</v>
      </c>
      <c r="F21" s="67" t="n">
        <v>113400</v>
      </c>
      <c r="G21" s="68"/>
    </row>
    <row r="22" customFormat="false" ht="28.5" hidden="false" customHeight="true" outlineLevel="0" collapsed="false">
      <c r="A22" s="64" t="n">
        <v>11</v>
      </c>
      <c r="B22" s="65" t="s">
        <v>1051</v>
      </c>
      <c r="C22" s="64" t="s">
        <v>1043</v>
      </c>
      <c r="D22" s="66" t="n">
        <v>1773.2</v>
      </c>
      <c r="E22" s="66" t="n">
        <v>120</v>
      </c>
      <c r="F22" s="67" t="n">
        <v>212784</v>
      </c>
      <c r="G22" s="68"/>
    </row>
    <row r="23" customFormat="false" ht="230.25" hidden="false" customHeight="true" outlineLevel="0" collapsed="false">
      <c r="A23" s="64" t="n">
        <v>12</v>
      </c>
      <c r="B23" s="65" t="s">
        <v>1052</v>
      </c>
      <c r="C23" s="64" t="s">
        <v>37</v>
      </c>
      <c r="D23" s="66" t="n">
        <v>3</v>
      </c>
      <c r="E23" s="66" t="n">
        <v>1890000</v>
      </c>
      <c r="F23" s="67" t="n">
        <v>5670000</v>
      </c>
      <c r="G23" s="68"/>
    </row>
    <row r="24" customFormat="false" ht="129" hidden="false" customHeight="true" outlineLevel="0" collapsed="false">
      <c r="A24" s="64" t="n">
        <v>13</v>
      </c>
      <c r="B24" s="65" t="s">
        <v>1053</v>
      </c>
      <c r="C24" s="64" t="s">
        <v>37</v>
      </c>
      <c r="D24" s="66" t="n">
        <v>3</v>
      </c>
      <c r="E24" s="66" t="n">
        <v>204000</v>
      </c>
      <c r="F24" s="67" t="n">
        <v>612000</v>
      </c>
      <c r="G24" s="68"/>
    </row>
    <row r="25" customFormat="false" ht="115.5" hidden="false" customHeight="true" outlineLevel="0" collapsed="false">
      <c r="A25" s="64" t="n">
        <v>14</v>
      </c>
      <c r="B25" s="65" t="s">
        <v>1054</v>
      </c>
      <c r="C25" s="64" t="s">
        <v>49</v>
      </c>
      <c r="D25" s="66" t="n">
        <v>1</v>
      </c>
      <c r="E25" s="66" t="n">
        <v>486000</v>
      </c>
      <c r="F25" s="67" t="n">
        <v>486000</v>
      </c>
      <c r="G25" s="68"/>
    </row>
    <row r="26" customFormat="false" ht="15" hidden="false" customHeight="true" outlineLevel="0" collapsed="false">
      <c r="A26" s="69"/>
      <c r="B26" s="70" t="s">
        <v>1055</v>
      </c>
      <c r="C26" s="69"/>
      <c r="D26" s="69"/>
      <c r="E26" s="69"/>
      <c r="F26" s="71" t="n">
        <f aca="false">SUM(F8:F25)</f>
        <v>9149460</v>
      </c>
      <c r="G26" s="69"/>
    </row>
    <row r="27" customFormat="false" ht="36" hidden="false" customHeight="true" outlineLevel="0" collapsed="false">
      <c r="B27" s="72"/>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24"/>
    <col collapsed="false" customWidth="true" hidden="false" outlineLevel="0" max="2" min="2" style="0" width="2"/>
    <col collapsed="false" customWidth="true" hidden="false" outlineLevel="0" max="3" min="3" style="0" width="24"/>
    <col collapsed="false" customWidth="true" hidden="false" outlineLevel="0" max="4" min="4" style="0" width="2"/>
    <col collapsed="false" customWidth="true" hidden="false" outlineLevel="0" max="5" min="5" style="0" width="24"/>
    <col collapsed="false" customWidth="true" hidden="false" outlineLevel="0" max="6" min="6" style="0" width="2"/>
    <col collapsed="false" customWidth="true" hidden="false" outlineLevel="0" max="7" min="7" style="0" width="24"/>
    <col collapsed="false" customWidth="true" hidden="false" outlineLevel="0" max="8" min="8" style="0" width="2"/>
    <col collapsed="false" customWidth="true" hidden="false" outlineLevel="0" max="9" min="9" style="0" width="24"/>
    <col collapsed="false" customWidth="true" hidden="false" outlineLevel="0" max="10" min="10" style="0" width="2"/>
    <col collapsed="false" customWidth="true" hidden="false" outlineLevel="0" max="11" min="11" style="0" width="24"/>
    <col collapsed="false" customWidth="true" hidden="false" outlineLevel="0" max="12" min="12" style="0" width="2"/>
  </cols>
  <sheetData>
    <row r="1" customFormat="false" ht="15.75" hidden="false" customHeight="true" outlineLevel="0" collapsed="false">
      <c r="A1" s="9" t="s">
        <v>1056</v>
      </c>
    </row>
    <row r="2" customFormat="false" ht="15" hidden="false" customHeight="true" outlineLevel="0" collapsed="false">
      <c r="A2" s="73" t="s">
        <v>44</v>
      </c>
      <c r="C2" s="73" t="s">
        <v>1057</v>
      </c>
      <c r="E2" s="73" t="s">
        <v>1058</v>
      </c>
      <c r="G2" s="73" t="s">
        <v>1059</v>
      </c>
      <c r="I2" s="73" t="s">
        <v>1060</v>
      </c>
      <c r="K2" s="73" t="s">
        <v>1061</v>
      </c>
    </row>
    <row r="3" customFormat="false" ht="15" hidden="false" customHeight="true" outlineLevel="0" collapsed="false">
      <c r="A3" s="74" t="s">
        <v>1062</v>
      </c>
      <c r="C3" s="74" t="s">
        <v>1063</v>
      </c>
      <c r="E3" s="74" t="s">
        <v>1064</v>
      </c>
      <c r="G3" s="74" t="s">
        <v>1065</v>
      </c>
      <c r="I3" s="74" t="s">
        <v>1066</v>
      </c>
      <c r="K3" s="74" t="s">
        <v>1067</v>
      </c>
    </row>
    <row r="4" customFormat="false" ht="15" hidden="false" customHeight="true" outlineLevel="0" collapsed="false">
      <c r="A4" s="74" t="s">
        <v>1068</v>
      </c>
      <c r="C4" s="74" t="s">
        <v>1069</v>
      </c>
      <c r="E4" s="74" t="s">
        <v>1070</v>
      </c>
      <c r="G4" s="74" t="s">
        <v>1071</v>
      </c>
      <c r="I4" s="74" t="s">
        <v>1072</v>
      </c>
      <c r="K4" s="74" t="s">
        <v>1073</v>
      </c>
    </row>
    <row r="5" customFormat="false" ht="15" hidden="false" customHeight="true" outlineLevel="0" collapsed="false">
      <c r="A5" s="74" t="s">
        <v>1074</v>
      </c>
      <c r="C5" s="74" t="s">
        <v>1075</v>
      </c>
      <c r="E5" s="74" t="s">
        <v>1076</v>
      </c>
      <c r="G5" s="74" t="s">
        <v>1077</v>
      </c>
      <c r="I5" s="74" t="s">
        <v>1078</v>
      </c>
      <c r="K5" s="74" t="s">
        <v>1079</v>
      </c>
    </row>
    <row r="6" customFormat="false" ht="15" hidden="false" customHeight="true" outlineLevel="0" collapsed="false">
      <c r="A6" s="74" t="s">
        <v>1072</v>
      </c>
      <c r="C6" s="74" t="s">
        <v>52</v>
      </c>
      <c r="E6" s="74" t="s">
        <v>1080</v>
      </c>
      <c r="G6" s="74" t="s">
        <v>1081</v>
      </c>
      <c r="I6" s="74" t="s">
        <v>1082</v>
      </c>
      <c r="K6" s="74" t="s">
        <v>1083</v>
      </c>
    </row>
    <row r="7" customFormat="false" ht="15" hidden="false" customHeight="true" outlineLevel="0" collapsed="false">
      <c r="A7" s="74" t="s">
        <v>53</v>
      </c>
      <c r="C7" s="74" t="s">
        <v>63</v>
      </c>
      <c r="E7" s="74" t="s">
        <v>1084</v>
      </c>
      <c r="G7" s="74" t="s">
        <v>1085</v>
      </c>
      <c r="I7" s="74" t="s">
        <v>1086</v>
      </c>
      <c r="K7" s="74" t="s">
        <v>1087</v>
      </c>
    </row>
    <row r="8" customFormat="false" ht="15" hidden="false" customHeight="true" outlineLevel="0" collapsed="false">
      <c r="A8" s="74" t="s">
        <v>1088</v>
      </c>
      <c r="C8" s="74" t="s">
        <v>1089</v>
      </c>
      <c r="G8" s="74" t="s">
        <v>1090</v>
      </c>
      <c r="I8" s="74" t="s">
        <v>1091</v>
      </c>
      <c r="K8" s="74" t="s">
        <v>1092</v>
      </c>
    </row>
    <row r="9" customFormat="false" ht="15" hidden="false" customHeight="true" outlineLevel="0" collapsed="false">
      <c r="A9" s="74" t="s">
        <v>1093</v>
      </c>
      <c r="C9" s="74" t="s">
        <v>1094</v>
      </c>
      <c r="G9" s="74" t="s">
        <v>1095</v>
      </c>
      <c r="K9" s="74" t="s">
        <v>1096</v>
      </c>
    </row>
    <row r="10" customFormat="false" ht="15" hidden="false" customHeight="true" outlineLevel="0" collapsed="false">
      <c r="A10" s="74" t="s">
        <v>1097</v>
      </c>
      <c r="C10" s="74" t="s">
        <v>1098</v>
      </c>
      <c r="G10" s="74" t="s">
        <v>1099</v>
      </c>
      <c r="K10" s="74" t="s">
        <v>1100</v>
      </c>
    </row>
    <row r="11" customFormat="false" ht="15" hidden="false" customHeight="true" outlineLevel="0" collapsed="false">
      <c r="A11" s="74" t="s">
        <v>1101</v>
      </c>
      <c r="C11" s="74" t="s">
        <v>1102</v>
      </c>
      <c r="G11" s="74" t="s">
        <v>1103</v>
      </c>
    </row>
    <row r="12" customFormat="false" ht="15" hidden="false" customHeight="true" outlineLevel="0" collapsed="false">
      <c r="A12" s="74" t="s">
        <v>1104</v>
      </c>
      <c r="G12" s="74" t="s">
        <v>56</v>
      </c>
    </row>
    <row r="13" customFormat="false" ht="14.25" hidden="false" customHeight="false" outlineLevel="0" collapsed="false">
      <c r="A13" s="75" t="s">
        <v>1105</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2026-09-30T07:34:29Z</dcterms:created>
  <dcterms:modified xsi:type="dcterms:W3CDTF">2026-09-30T07:34:29Z</dcterms:modified>
  <dc:title>Cost Assessment of the Contractor's Proposal - TSE Irrigation Storage Tanks (RFP-027) - Rev 02</dc:title>
  <dc:subject>Contract QPMO-410-CT-05958</dc:subject>
</cp:coreProperties>
</file>

<file path=docProps/custom.xml><?xml version="1.0" encoding="utf-8"?>
<Properties xmlns="http://schemas.openxmlformats.org/officeDocument/2006/custom-properties" xmlns:vt="http://schemas.openxmlformats.org/officeDocument/2006/docPropsVTypes"/>
</file>